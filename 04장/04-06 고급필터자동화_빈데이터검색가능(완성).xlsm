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G15" i="2"/>
  <c r="F15" i="2"/>
  <c r="E15" i="2"/>
  <c r="D15" i="2"/>
  <c r="C15" i="2"/>
  <c r="B1" i="2"/>
</calcChain>
</file>

<file path=xl/sharedStrings.xml><?xml version="1.0" encoding="utf-8"?>
<sst xmlns="http://schemas.openxmlformats.org/spreadsheetml/2006/main" count="363" uniqueCount="63">
  <si>
    <t>【조회할 조건을 지정하세요.】</t>
    <phoneticPr fontId="1" type="noConversion"/>
  </si>
  <si>
    <t>거래처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</si>
  <si>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</si>
  <si>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</si>
  <si>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</si>
  <si>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</si>
  <si>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</si>
  <si>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</si>
  <si>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 조건</t>
    <phoneticPr fontId="1" type="noConversion"/>
  </si>
  <si>
    <t>영업담당 조건</t>
    <phoneticPr fontId="1" type="noConversion"/>
  </si>
  <si>
    <t>주문 월</t>
    <phoneticPr fontId="1" type="noConversion"/>
  </si>
  <si>
    <t>배송업체 조건</t>
    <phoneticPr fontId="1" type="noConversion"/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</si>
  <si>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</si>
  <si>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</si>
  <si>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</si>
  <si>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</si>
  <si>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</si>
  <si>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</si>
  <si>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</si>
  <si>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</si>
  <si>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</si>
  <si>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t>배송 주소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</si>
  <si>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</si>
  <si>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</si>
  <si>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</si>
  <si>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</si>
  <si>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</si>
  <si>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</si>
  <si>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</si>
  <si>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</si>
  <si>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</si>
  <si>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</si>
  <si>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</si>
  <si>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</si>
  <si>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국제 특송</t>
  </si>
  <si>
    <t>서대문구 창천동 167-3</t>
  </si>
  <si>
    <t>미성 백화점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</si>
  <si>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</si>
  <si>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</si>
  <si>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</si>
  <si>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</si>
  <si>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</si>
  <si>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</si>
  <si>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안정훈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</si>
  <si>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</si>
  <si>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</si>
  <si>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</si>
  <si>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</si>
  <si>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</si>
  <si>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</si>
  <si>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</si>
  <si>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</si>
  <si>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</si>
  <si>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</si>
  <si>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</si>
  <si>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</si>
  <si>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</si>
  <si>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</si>
  <si>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</si>
  <si>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</si>
  <si>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</si>
  <si>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주문 현황 전체</t>
    <phoneticPr fontId="1" type="noConversion"/>
  </si>
  <si>
    <t>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</si>
</sst>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000000"/>
      <name val="굴림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9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10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1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2" fillId="3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6" borderId="7" xfId="0" applyFont="1" applyFill="1" applyBorder="1">
      <alignment vertical="center"/>
    </xf>
    <xf numFmtId="0" fontId="4" fillId="7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4" fillId="5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D$11" lockText="1"/>
</file>

<file path=xl/ctrlProps/ctrlProp3.xml><?xml version="1.0" encoding="utf-8"?>
<formControlPr xmlns="http://schemas.microsoft.com/office/spreadsheetml/2009/9/main" objectType="CheckBox" checked="Checked" fmlaLink="$C$11" lockText="1"/>
</file>

<file path=xl/ctrlProps/ctrlProp4.xml><?xml version="1.0" encoding="utf-8"?>
<formControlPr xmlns="http://schemas.microsoft.com/office/spreadsheetml/2009/9/main" objectType="Drop" dropLines="20" dropStyle="combo" dx="16" fmlaLink="$D$12" fmlaRange="기초자료!$C$2:$C$11" sel="4" val="0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Radio" firstButton="1" fmlaLink="$F$12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checked="Checked" lockText="1"/>
</file>

<file path=xl/ctrlProps/ctrlProp9.xml><?xml version="1.0" encoding="utf-8"?>
<formControlPr xmlns="http://schemas.microsoft.com/office/spreadsheetml/2009/9/main" objectType="CheckBox" checked="Checked" fmlaLink="$F$11" lockText="1"/>
</file>

<file path=xl/ctrlProps/ctrlProp10.xml><?xml version="1.0" encoding="utf-8"?>
<formControlPr xmlns="http://schemas.microsoft.com/office/spreadsheetml/2009/9/main" objectType="Spin" dx="16" fmlaLink="$F$6" max="12" min="1" page="10" val="9"/>
</file>

<file path=xl/ctrlProps/ctrlProp11.xml><?xml version="1.0" encoding="utf-8"?>
<formControlPr xmlns="http://schemas.microsoft.com/office/spreadsheetml/2009/9/main" objectType="CheckBox" checked="Checked" fmlaLink="$E$11" lockText="1"/>
</file>

<file path=xl/ctrlProps/ctrlProp12.xml><?xml version="1.0" encoding="utf-8"?>
<formControlPr xmlns="http://schemas.microsoft.com/office/spreadsheetml/2009/9/main" objectType="CheckBox" checked="Checked" fmlaLink="$G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19050</xdr:rowOff>
        </xdr:from>
        <xdr:to>
          <xdr:col>3</xdr:col>
          <xdr:colOff>609600</xdr:colOff>
          <xdr:row>6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28575</xdr:rowOff>
        </xdr:from>
        <xdr:to>
          <xdr:col>3</xdr:col>
          <xdr:colOff>609600</xdr:colOff>
          <xdr:row>4</xdr:row>
          <xdr:rowOff>19050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9525</xdr:rowOff>
        </xdr:from>
        <xdr:to>
          <xdr:col>3</xdr:col>
          <xdr:colOff>0</xdr:colOff>
          <xdr:row>6</xdr:row>
          <xdr:rowOff>19050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838200</xdr:colOff>
          <xdr:row>2</xdr:row>
          <xdr:rowOff>76200</xdr:rowOff>
        </xdr:from>
        <xdr:to>
          <xdr:col>7</xdr:col>
          <xdr:colOff>866775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</xdr:row>
          <xdr:rowOff>38100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30" name="옵션 단추 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국제 특송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38100</xdr:rowOff>
        </xdr:from>
        <xdr:to>
          <xdr:col>6</xdr:col>
          <xdr:colOff>819150</xdr:colOff>
          <xdr:row>4</xdr:row>
          <xdr:rowOff>0</xdr:rowOff>
        </xdr:to>
        <xdr:sp macro="" textlink="">
          <xdr:nvSpPr>
            <xdr:cNvPr id="1031" name="옵션 단추 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대륙 특송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857250</xdr:colOff>
          <xdr:row>3</xdr:row>
          <xdr:rowOff>38100</xdr:rowOff>
        </xdr:from>
        <xdr:to>
          <xdr:col>7</xdr:col>
          <xdr:colOff>723900</xdr:colOff>
          <xdr:row>4</xdr:row>
          <xdr:rowOff>0</xdr:rowOff>
        </xdr:to>
        <xdr:sp macro="" textlink="">
          <xdr:nvSpPr>
            <xdr:cNvPr id="1032" name="옵션 단추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한일 특급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3</xdr:row>
          <xdr:rowOff>9525</xdr:rowOff>
        </xdr:from>
        <xdr:to>
          <xdr:col>7</xdr:col>
          <xdr:colOff>1495425</xdr:colOff>
          <xdr:row>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4</xdr:row>
          <xdr:rowOff>104775</xdr:rowOff>
        </xdr:from>
        <xdr:to>
          <xdr:col>6</xdr:col>
          <xdr:colOff>0</xdr:colOff>
          <xdr:row>6</xdr:row>
          <xdr:rowOff>28575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19050</xdr:rowOff>
        </xdr:from>
        <xdr:to>
          <xdr:col>6</xdr:col>
          <xdr:colOff>619125</xdr:colOff>
          <xdr:row>6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7</xdr:row>
          <xdr:rowOff>0</xdr:rowOff>
        </xdr:from>
        <xdr:to>
          <xdr:col>7</xdr:col>
          <xdr:colOff>619125</xdr:colOff>
          <xdr:row>7</xdr:row>
          <xdr:rowOff>209550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60"/>
  <sheetViews>
    <sheetView showGridLines="0" tabSelected="1" workbookViewId="0">
      <pane ySplit="18" topLeftCell="A19" activePane="bottomLeft" state="frozen"/>
      <selection pane="bottomLeft" activeCell="A9" sqref="A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2.75" customWidth="1"/>
    <col min="10" max="10" width="9.75" bestFit="1" customWidth="1"/>
  </cols>
  <sheetData>
    <row r="1" spans="2:8" s="2" customFormat="1" x14ac:dyDescent="0.3">
      <c r="B1" s="1" t="str">
        <f>"☞ 자료 개수 : " &amp; "전체 " &amp; TEXT(COUNTA(주문현황표[번호]),"#,##0")&amp;"개 중 " &amp; TEXT(DCOUNTA(주문현황표[#All],1,C14:H15),"#,##0") &amp; "개"</f>
        <v>☞ 자료 개수 : 전체 40개 중 40개</v>
      </c>
    </row>
    <row r="2" spans="2:8" s="2" customFormat="1" x14ac:dyDescent="0.3">
      <c r="B2" s="3" t="s">
        <v>0</v>
      </c>
    </row>
    <row r="3" spans="2:8" s="4" customFormat="1" ht="9.9499999999999993" customHeight="1" x14ac:dyDescent="0.3">
      <c r="C3" s="5"/>
    </row>
    <row r="4" spans="2:8" s="4" customFormat="1" ht="17.25" thickBot="1" x14ac:dyDescent="0.35">
      <c r="B4" s="6" t="s">
        <v>1</v>
      </c>
      <c r="C4" s="7"/>
      <c r="E4" s="6" t="s">
        <v>2</v>
      </c>
    </row>
    <row r="5" spans="2:8" s="4" customFormat="1" ht="9.9499999999999993" customHeight="1" x14ac:dyDescent="0.3">
      <c r="B5" s="5"/>
    </row>
    <row r="6" spans="2:8" s="4" customFormat="1" ht="17.25" thickBot="1" x14ac:dyDescent="0.35">
      <c r="B6" s="6" t="s">
        <v>3</v>
      </c>
      <c r="E6" s="6" t="s">
        <v>4</v>
      </c>
      <c r="F6" s="7">
        <v>9</v>
      </c>
    </row>
    <row r="7" spans="2:8" s="4" customFormat="1" ht="9.9499999999999993" customHeight="1" x14ac:dyDescent="0.3">
      <c r="B7" s="5"/>
    </row>
    <row r="8" spans="2:8" s="4" customFormat="1" ht="17.25" customHeight="1" thickBot="1" x14ac:dyDescent="0.35">
      <c r="B8" s="5"/>
      <c r="E8" s="6" t="s">
        <v>5</v>
      </c>
      <c r="F8" s="8">
        <v>10000</v>
      </c>
      <c r="G8" s="8"/>
    </row>
    <row r="9" spans="2:8" s="4" customFormat="1" ht="9.9499999999999993" customHeight="1" x14ac:dyDescent="0.3">
      <c r="B9" s="5"/>
    </row>
    <row r="10" spans="2:8" x14ac:dyDescent="0.3">
      <c r="B10" s="9" t="s">
        <v>6</v>
      </c>
      <c r="C10" s="10"/>
      <c r="D10" s="10"/>
      <c r="E10" s="11"/>
      <c r="F10" s="10"/>
      <c r="G10" s="12"/>
    </row>
    <row r="11" spans="2:8" x14ac:dyDescent="0.3">
      <c r="B11" s="13"/>
      <c r="C11" s="14" t="b">
        <v>1</v>
      </c>
      <c r="D11" s="14" t="b">
        <v>1</v>
      </c>
      <c r="E11" s="15" t="b">
        <v>1</v>
      </c>
      <c r="F11" s="14" t="b">
        <v>1</v>
      </c>
      <c r="G11" s="14" t="b">
        <v>1</v>
      </c>
    </row>
    <row r="12" spans="2:8" x14ac:dyDescent="0.3">
      <c r="B12" s="13"/>
      <c r="C12" s="16"/>
      <c r="D12" s="14">
        <v>4</v>
      </c>
      <c r="E12" s="17"/>
      <c r="F12" s="14">
        <v>3</v>
      </c>
      <c r="G12" s="17"/>
    </row>
    <row r="13" spans="2:8" x14ac:dyDescent="0.3">
      <c r="B13" s="18" t="s">
        <v>7</v>
      </c>
    </row>
    <row r="14" spans="2:8" x14ac:dyDescent="0.3">
      <c r="C14" s="19" t="s">
        <v>8</v>
      </c>
      <c r="D14" s="19" t="s">
        <v>9</v>
      </c>
      <c r="E14" s="19" t="s">
        <v>10</v>
      </c>
      <c r="F14" s="19" t="s">
        <v>11</v>
      </c>
      <c r="G14" s="19" t="s">
        <v>12</v>
      </c>
      <c r="H14" s="19" t="s">
        <v>13</v>
      </c>
    </row>
    <row r="15" spans="2:8" x14ac:dyDescent="0.3">
      <c r="C15" s="20" t="b">
        <f>IF(OR($C$11,$C$4=""),TRUE,전체자료!B4=$C$4)</f>
        <v>1</v>
      </c>
      <c r="D15" s="20" t="b">
        <f>IF($D$11,TRUE,전체자료!C4=INDEX(영업담당,$D$12))</f>
        <v>1</v>
      </c>
      <c r="E15" s="20" t="b">
        <f>IF($E$11,TRUE,MONTH(전체자료!D4)=$F$6)</f>
        <v>1</v>
      </c>
      <c r="F15" s="20" t="b">
        <f>IF($F$11,TRUE,전체자료!E4=INDEX(배송업체,$F$12))</f>
        <v>1</v>
      </c>
      <c r="G15" s="20" t="b">
        <f>IF(OR($G$11,$F$8=""),TRUE,전체자료!F4&gt;=$F$8)</f>
        <v>1</v>
      </c>
      <c r="H15" s="20" t="b">
        <f>IF(OR($G$11,$G$8=""),TRUE,전체자료!F4&lt;=$G$8)</f>
        <v>1</v>
      </c>
    </row>
    <row r="17" spans="2:8" x14ac:dyDescent="0.3">
      <c r="B17" s="18" t="s">
        <v>14</v>
      </c>
    </row>
    <row r="18" spans="2:8" x14ac:dyDescent="0.3">
      <c r="B18" s="21" t="s">
        <v>15</v>
      </c>
      <c r="C18" s="21" t="s">
        <v>16</v>
      </c>
      <c r="D18" s="21" t="s">
        <v>17</v>
      </c>
      <c r="E18" s="21" t="s">
        <v>18</v>
      </c>
      <c r="F18" s="21" t="s">
        <v>19</v>
      </c>
      <c r="G18" s="21" t="s">
        <v>20</v>
      </c>
      <c r="H18" s="21" t="s">
        <v>21</v>
      </c>
    </row>
    <row r="19" spans="2:8" x14ac:dyDescent="0.3">
      <c r="B19" s="10">
        <v>1</v>
      </c>
      <c r="C19" s="10"/>
      <c r="D19" s="10"/>
      <c r="E19" s="11">
        <v>41140</v>
      </c>
      <c r="F19" s="10"/>
      <c r="G19" s="12">
        <v>10000</v>
      </c>
      <c r="H19" t="s">
        <v>22</v>
      </c>
    </row>
    <row r="20" spans="2:8" x14ac:dyDescent="0.3">
      <c r="B20" s="10">
        <v>2</v>
      </c>
      <c r="C20" s="10" t="s">
        <v>23</v>
      </c>
      <c r="D20" s="10" t="s">
        <v>24</v>
      </c>
      <c r="E20" s="11">
        <v>41141</v>
      </c>
      <c r="F20" s="10" t="s">
        <v>25</v>
      </c>
      <c r="G20" s="12">
        <v>2500</v>
      </c>
      <c r="H20" t="s">
        <v>26</v>
      </c>
    </row>
    <row r="21" spans="2:8" x14ac:dyDescent="0.3">
      <c r="B21" s="10">
        <v>3</v>
      </c>
      <c r="C21" s="10" t="s">
        <v>23</v>
      </c>
      <c r="D21" s="10" t="s">
        <v>27</v>
      </c>
      <c r="E21" s="11">
        <v>41142</v>
      </c>
      <c r="F21" s="10" t="s">
        <v>25</v>
      </c>
      <c r="G21" s="12">
        <v>10000</v>
      </c>
      <c r="H21" t="s">
        <v>28</v>
      </c>
    </row>
    <row r="22" spans="2:8" x14ac:dyDescent="0.3">
      <c r="B22" s="10">
        <v>4</v>
      </c>
      <c r="C22" s="10" t="s">
        <v>23</v>
      </c>
      <c r="D22" s="10" t="s">
        <v>29</v>
      </c>
      <c r="E22" s="11">
        <v>41145</v>
      </c>
      <c r="F22" s="10" t="s">
        <v>30</v>
      </c>
      <c r="G22" s="12">
        <v>10000</v>
      </c>
      <c r="H22" t="s">
        <v>31</v>
      </c>
    </row>
    <row r="23" spans="2:8" x14ac:dyDescent="0.3">
      <c r="B23" s="10">
        <v>5</v>
      </c>
      <c r="C23" s="10" t="s">
        <v>32</v>
      </c>
      <c r="D23" s="10" t="s">
        <v>33</v>
      </c>
      <c r="E23" s="11">
        <v>41146</v>
      </c>
      <c r="F23" s="10" t="s">
        <v>34</v>
      </c>
      <c r="G23" s="12">
        <v>15000</v>
      </c>
      <c r="H23" t="s">
        <v>35</v>
      </c>
    </row>
    <row r="24" spans="2:8" x14ac:dyDescent="0.3">
      <c r="B24" s="10">
        <v>6</v>
      </c>
      <c r="C24" s="10" t="s">
        <v>36</v>
      </c>
      <c r="D24" s="10" t="s">
        <v>27</v>
      </c>
      <c r="E24" s="11">
        <v>41147</v>
      </c>
      <c r="F24" s="10" t="s">
        <v>30</v>
      </c>
      <c r="G24" s="12">
        <v>4000</v>
      </c>
      <c r="H24" t="s">
        <v>37</v>
      </c>
    </row>
    <row r="25" spans="2:8" x14ac:dyDescent="0.3">
      <c r="B25" s="10">
        <v>7</v>
      </c>
      <c r="C25" s="10" t="s">
        <v>36</v>
      </c>
      <c r="D25" s="10" t="s">
        <v>38</v>
      </c>
      <c r="E25" s="11">
        <v>41148</v>
      </c>
      <c r="F25" s="10" t="s">
        <v>30</v>
      </c>
      <c r="G25" s="12">
        <v>15000</v>
      </c>
      <c r="H25" t="s">
        <v>39</v>
      </c>
    </row>
    <row r="26" spans="2:8" x14ac:dyDescent="0.3">
      <c r="B26" s="10">
        <v>8</v>
      </c>
      <c r="C26" s="10" t="s">
        <v>32</v>
      </c>
      <c r="D26" s="10" t="s">
        <v>40</v>
      </c>
      <c r="E26" s="11">
        <v>41150</v>
      </c>
      <c r="F26" s="10" t="s">
        <v>30</v>
      </c>
      <c r="G26" s="12">
        <v>2500</v>
      </c>
      <c r="H26" t="s">
        <v>41</v>
      </c>
    </row>
    <row r="27" spans="2:8" x14ac:dyDescent="0.3">
      <c r="B27" s="10">
        <v>9</v>
      </c>
      <c r="C27" s="10" t="s">
        <v>36</v>
      </c>
      <c r="D27" s="10" t="s">
        <v>40</v>
      </c>
      <c r="E27" s="11">
        <v>41150</v>
      </c>
      <c r="F27" s="10" t="s">
        <v>30</v>
      </c>
      <c r="G27" s="12">
        <v>15000</v>
      </c>
      <c r="H27" t="s">
        <v>42</v>
      </c>
    </row>
    <row r="28" spans="2:8" x14ac:dyDescent="0.3">
      <c r="B28" s="10">
        <v>10</v>
      </c>
      <c r="C28" s="10" t="s">
        <v>32</v>
      </c>
      <c r="D28" s="10" t="s">
        <v>43</v>
      </c>
      <c r="E28" s="11">
        <v>41150</v>
      </c>
      <c r="F28" s="10" t="s">
        <v>30</v>
      </c>
      <c r="G28" s="12">
        <v>15000</v>
      </c>
      <c r="H28" t="s">
        <v>44</v>
      </c>
    </row>
    <row r="29" spans="2:8" x14ac:dyDescent="0.3">
      <c r="B29" s="10">
        <v>11</v>
      </c>
      <c r="C29" s="10" t="s">
        <v>36</v>
      </c>
      <c r="D29" s="10" t="s">
        <v>38</v>
      </c>
      <c r="E29" s="11">
        <v>41153</v>
      </c>
      <c r="F29" s="10" t="s">
        <v>34</v>
      </c>
      <c r="G29" s="12">
        <v>2500</v>
      </c>
      <c r="H29" t="s">
        <v>45</v>
      </c>
    </row>
    <row r="30" spans="2:8" x14ac:dyDescent="0.3">
      <c r="B30" s="10">
        <v>12</v>
      </c>
      <c r="C30" s="10" t="s">
        <v>32</v>
      </c>
      <c r="D30" s="10" t="s">
        <v>29</v>
      </c>
      <c r="E30" s="11">
        <v>41153</v>
      </c>
      <c r="F30" s="10" t="s">
        <v>25</v>
      </c>
      <c r="G30" s="12">
        <v>4000</v>
      </c>
      <c r="H30" t="s">
        <v>41</v>
      </c>
    </row>
    <row r="31" spans="2:8" x14ac:dyDescent="0.3">
      <c r="B31" s="10">
        <v>13</v>
      </c>
      <c r="C31" s="10" t="s">
        <v>32</v>
      </c>
      <c r="D31" s="10" t="s">
        <v>29</v>
      </c>
      <c r="E31" s="11">
        <v>41153</v>
      </c>
      <c r="F31" s="10" t="s">
        <v>30</v>
      </c>
      <c r="G31" s="12">
        <v>10000</v>
      </c>
      <c r="H31" t="s">
        <v>46</v>
      </c>
    </row>
    <row r="32" spans="2:8" x14ac:dyDescent="0.3">
      <c r="B32" s="10">
        <v>14</v>
      </c>
      <c r="C32" s="10" t="s">
        <v>47</v>
      </c>
      <c r="D32" s="10" t="s">
        <v>48</v>
      </c>
      <c r="E32" s="11">
        <v>41153</v>
      </c>
      <c r="F32" s="10" t="s">
        <v>25</v>
      </c>
      <c r="G32" s="12">
        <v>2500</v>
      </c>
      <c r="H32" t="s">
        <v>49</v>
      </c>
    </row>
    <row r="33" spans="2:8" x14ac:dyDescent="0.3">
      <c r="B33" s="10">
        <v>15</v>
      </c>
      <c r="C33" s="10" t="s">
        <v>36</v>
      </c>
      <c r="D33" s="10" t="s">
        <v>27</v>
      </c>
      <c r="E33" s="11">
        <v>41154</v>
      </c>
      <c r="F33" s="10" t="s">
        <v>30</v>
      </c>
      <c r="G33" s="12">
        <v>2500</v>
      </c>
      <c r="H33" t="s">
        <v>42</v>
      </c>
    </row>
    <row r="34" spans="2:8" x14ac:dyDescent="0.3">
      <c r="B34" s="10">
        <v>16</v>
      </c>
      <c r="C34" s="10" t="s">
        <v>47</v>
      </c>
      <c r="D34" s="10" t="s">
        <v>27</v>
      </c>
      <c r="E34" s="11">
        <v>41154</v>
      </c>
      <c r="F34" s="10" t="s">
        <v>34</v>
      </c>
      <c r="G34" s="12">
        <v>15000</v>
      </c>
      <c r="H34" t="s">
        <v>50</v>
      </c>
    </row>
    <row r="35" spans="2:8" x14ac:dyDescent="0.3">
      <c r="B35" s="10">
        <v>17</v>
      </c>
      <c r="C35" s="10" t="s">
        <v>47</v>
      </c>
      <c r="D35" s="10" t="s">
        <v>40</v>
      </c>
      <c r="E35" s="11">
        <v>41154</v>
      </c>
      <c r="F35" s="10" t="s">
        <v>25</v>
      </c>
      <c r="G35" s="12">
        <v>4000</v>
      </c>
      <c r="H35" t="s">
        <v>51</v>
      </c>
    </row>
    <row r="36" spans="2:8" x14ac:dyDescent="0.3">
      <c r="B36" s="10">
        <v>18</v>
      </c>
      <c r="C36" s="10" t="s">
        <v>23</v>
      </c>
      <c r="D36" s="10" t="s">
        <v>27</v>
      </c>
      <c r="E36" s="11">
        <v>41154</v>
      </c>
      <c r="F36" s="10" t="s">
        <v>30</v>
      </c>
      <c r="G36" s="12">
        <v>2500</v>
      </c>
      <c r="H36" t="s">
        <v>26</v>
      </c>
    </row>
    <row r="37" spans="2:8" x14ac:dyDescent="0.3">
      <c r="B37" s="10">
        <v>19</v>
      </c>
      <c r="C37" s="10" t="s">
        <v>47</v>
      </c>
      <c r="D37" s="10" t="s">
        <v>29</v>
      </c>
      <c r="E37" s="11">
        <v>41154</v>
      </c>
      <c r="F37" s="10" t="s">
        <v>30</v>
      </c>
      <c r="G37" s="12">
        <v>15000</v>
      </c>
      <c r="H37" t="s">
        <v>52</v>
      </c>
    </row>
    <row r="38" spans="2:8" x14ac:dyDescent="0.3">
      <c r="B38" s="10">
        <v>20</v>
      </c>
      <c r="C38" s="10" t="s">
        <v>47</v>
      </c>
      <c r="D38" s="10" t="s">
        <v>27</v>
      </c>
      <c r="E38" s="11">
        <v>41156</v>
      </c>
      <c r="F38" s="10" t="s">
        <v>30</v>
      </c>
      <c r="G38" s="12">
        <v>15000</v>
      </c>
      <c r="H38" t="s">
        <v>53</v>
      </c>
    </row>
    <row r="39" spans="2:8" x14ac:dyDescent="0.3">
      <c r="B39" s="10">
        <v>21</v>
      </c>
      <c r="C39" s="10" t="s">
        <v>47</v>
      </c>
      <c r="D39" s="10" t="s">
        <v>40</v>
      </c>
      <c r="E39" s="11">
        <v>41156</v>
      </c>
      <c r="F39" s="10" t="s">
        <v>25</v>
      </c>
      <c r="G39" s="12">
        <v>4000</v>
      </c>
      <c r="H39" t="s">
        <v>49</v>
      </c>
    </row>
    <row r="40" spans="2:8" x14ac:dyDescent="0.3">
      <c r="B40" s="10">
        <v>22</v>
      </c>
      <c r="C40" s="10" t="s">
        <v>23</v>
      </c>
      <c r="D40" s="10" t="s">
        <v>24</v>
      </c>
      <c r="E40" s="11">
        <v>41156</v>
      </c>
      <c r="F40" s="10" t="s">
        <v>25</v>
      </c>
      <c r="G40" s="12">
        <v>4000</v>
      </c>
      <c r="H40" t="s">
        <v>26</v>
      </c>
    </row>
    <row r="41" spans="2:8" x14ac:dyDescent="0.3">
      <c r="B41" s="10">
        <v>23</v>
      </c>
      <c r="C41" s="10" t="s">
        <v>47</v>
      </c>
      <c r="D41" s="10" t="s">
        <v>29</v>
      </c>
      <c r="E41" s="11">
        <v>41156</v>
      </c>
      <c r="F41" s="10" t="s">
        <v>30</v>
      </c>
      <c r="G41" s="12">
        <v>10000</v>
      </c>
      <c r="H41" t="s">
        <v>54</v>
      </c>
    </row>
    <row r="42" spans="2:8" x14ac:dyDescent="0.3">
      <c r="B42" s="10">
        <v>24</v>
      </c>
      <c r="C42" s="10" t="s">
        <v>36</v>
      </c>
      <c r="D42" s="10" t="s">
        <v>29</v>
      </c>
      <c r="E42" s="11">
        <v>41156</v>
      </c>
      <c r="F42" s="10" t="s">
        <v>30</v>
      </c>
      <c r="G42" s="12">
        <v>10000</v>
      </c>
      <c r="H42" t="s">
        <v>55</v>
      </c>
    </row>
    <row r="43" spans="2:8" x14ac:dyDescent="0.3">
      <c r="B43" s="10">
        <v>25</v>
      </c>
      <c r="C43" s="10" t="s">
        <v>23</v>
      </c>
      <c r="D43" s="10" t="s">
        <v>40</v>
      </c>
      <c r="E43" s="11">
        <v>41157</v>
      </c>
      <c r="F43" s="10" t="s">
        <v>30</v>
      </c>
      <c r="G43" s="12">
        <v>2500</v>
      </c>
      <c r="H43" t="s">
        <v>28</v>
      </c>
    </row>
    <row r="44" spans="2:8" x14ac:dyDescent="0.3">
      <c r="B44" s="10">
        <v>26</v>
      </c>
      <c r="C44" s="10" t="s">
        <v>36</v>
      </c>
      <c r="D44" s="10" t="s">
        <v>29</v>
      </c>
      <c r="E44" s="11">
        <v>41157</v>
      </c>
      <c r="F44" s="10" t="s">
        <v>34</v>
      </c>
      <c r="G44" s="12">
        <v>15000</v>
      </c>
      <c r="H44" t="s">
        <v>39</v>
      </c>
    </row>
    <row r="45" spans="2:8" x14ac:dyDescent="0.3">
      <c r="B45" s="10">
        <v>27</v>
      </c>
      <c r="C45" s="10" t="s">
        <v>47</v>
      </c>
      <c r="D45" s="10" t="s">
        <v>40</v>
      </c>
      <c r="E45" s="11">
        <v>41157</v>
      </c>
      <c r="F45" s="10" t="s">
        <v>25</v>
      </c>
      <c r="G45" s="12">
        <v>15000</v>
      </c>
      <c r="H45" t="s">
        <v>52</v>
      </c>
    </row>
    <row r="46" spans="2:8" x14ac:dyDescent="0.3">
      <c r="B46" s="10">
        <v>28</v>
      </c>
      <c r="C46" s="10" t="s">
        <v>47</v>
      </c>
      <c r="D46" s="10" t="s">
        <v>40</v>
      </c>
      <c r="E46" s="11">
        <v>41157</v>
      </c>
      <c r="F46" s="10" t="s">
        <v>30</v>
      </c>
      <c r="G46" s="12">
        <v>15000</v>
      </c>
      <c r="H46" t="s">
        <v>51</v>
      </c>
    </row>
    <row r="47" spans="2:8" x14ac:dyDescent="0.3">
      <c r="B47" s="10">
        <v>29</v>
      </c>
      <c r="C47" s="10" t="s">
        <v>23</v>
      </c>
      <c r="D47" s="10" t="s">
        <v>48</v>
      </c>
      <c r="E47" s="11">
        <v>41158</v>
      </c>
      <c r="F47" s="10" t="s">
        <v>34</v>
      </c>
      <c r="G47" s="12">
        <v>15000</v>
      </c>
      <c r="H47" t="s">
        <v>31</v>
      </c>
    </row>
    <row r="48" spans="2:8" x14ac:dyDescent="0.3">
      <c r="B48" s="10">
        <v>30</v>
      </c>
      <c r="C48" s="10" t="s">
        <v>23</v>
      </c>
      <c r="D48" s="10" t="s">
        <v>29</v>
      </c>
      <c r="E48" s="11">
        <v>41158</v>
      </c>
      <c r="F48" s="10" t="s">
        <v>30</v>
      </c>
      <c r="G48" s="12">
        <v>10000</v>
      </c>
      <c r="H48" t="s">
        <v>28</v>
      </c>
    </row>
    <row r="49" spans="2:8" x14ac:dyDescent="0.3">
      <c r="B49" s="10">
        <v>31</v>
      </c>
      <c r="C49" s="10" t="s">
        <v>23</v>
      </c>
      <c r="D49" s="10" t="s">
        <v>43</v>
      </c>
      <c r="E49" s="11">
        <v>41158</v>
      </c>
      <c r="F49" s="10" t="s">
        <v>34</v>
      </c>
      <c r="G49" s="12">
        <v>4000</v>
      </c>
      <c r="H49" t="s">
        <v>31</v>
      </c>
    </row>
    <row r="50" spans="2:8" x14ac:dyDescent="0.3">
      <c r="B50" s="10">
        <v>32</v>
      </c>
      <c r="C50" s="10" t="s">
        <v>32</v>
      </c>
      <c r="D50" s="10" t="s">
        <v>38</v>
      </c>
      <c r="E50" s="11">
        <v>41158</v>
      </c>
      <c r="F50" s="10" t="s">
        <v>25</v>
      </c>
      <c r="G50" s="12">
        <v>10000</v>
      </c>
      <c r="H50" t="s">
        <v>56</v>
      </c>
    </row>
    <row r="51" spans="2:8" x14ac:dyDescent="0.3">
      <c r="B51" s="10">
        <v>33</v>
      </c>
      <c r="C51" s="10" t="s">
        <v>32</v>
      </c>
      <c r="D51" s="10" t="s">
        <v>40</v>
      </c>
      <c r="E51" s="11">
        <v>41158</v>
      </c>
      <c r="F51" s="10" t="s">
        <v>25</v>
      </c>
      <c r="G51" s="12">
        <v>2500</v>
      </c>
      <c r="H51" t="s">
        <v>57</v>
      </c>
    </row>
    <row r="52" spans="2:8" x14ac:dyDescent="0.3">
      <c r="B52" s="10">
        <v>34</v>
      </c>
      <c r="C52" s="10" t="s">
        <v>32</v>
      </c>
      <c r="D52" s="10" t="s">
        <v>43</v>
      </c>
      <c r="E52" s="11">
        <v>41159</v>
      </c>
      <c r="F52" s="10" t="s">
        <v>30</v>
      </c>
      <c r="G52" s="12">
        <v>15000</v>
      </c>
      <c r="H52" t="s">
        <v>58</v>
      </c>
    </row>
    <row r="53" spans="2:8" x14ac:dyDescent="0.3">
      <c r="B53" s="10">
        <v>35</v>
      </c>
      <c r="C53" s="10" t="s">
        <v>23</v>
      </c>
      <c r="D53" s="10" t="s">
        <v>33</v>
      </c>
      <c r="E53" s="11">
        <v>41159</v>
      </c>
      <c r="F53" s="10" t="s">
        <v>25</v>
      </c>
      <c r="G53" s="12">
        <v>10000</v>
      </c>
      <c r="H53" t="s">
        <v>31</v>
      </c>
    </row>
    <row r="54" spans="2:8" x14ac:dyDescent="0.3">
      <c r="B54" s="10">
        <v>36</v>
      </c>
      <c r="C54" s="10" t="s">
        <v>47</v>
      </c>
      <c r="D54" s="10" t="s">
        <v>43</v>
      </c>
      <c r="E54" s="11">
        <v>41159</v>
      </c>
      <c r="F54" s="10" t="s">
        <v>30</v>
      </c>
      <c r="G54" s="12">
        <v>4000</v>
      </c>
      <c r="H54" t="s">
        <v>50</v>
      </c>
    </row>
    <row r="55" spans="2:8" x14ac:dyDescent="0.3">
      <c r="B55" s="10">
        <v>37</v>
      </c>
      <c r="C55" s="10" t="s">
        <v>23</v>
      </c>
      <c r="D55" s="10" t="s">
        <v>59</v>
      </c>
      <c r="E55" s="11">
        <v>41159</v>
      </c>
      <c r="F55" s="10" t="s">
        <v>34</v>
      </c>
      <c r="G55" s="12">
        <v>2500</v>
      </c>
      <c r="H55" t="s">
        <v>28</v>
      </c>
    </row>
    <row r="56" spans="2:8" x14ac:dyDescent="0.3">
      <c r="B56" s="10">
        <v>38</v>
      </c>
      <c r="C56" s="10" t="s">
        <v>32</v>
      </c>
      <c r="D56" s="10" t="s">
        <v>27</v>
      </c>
      <c r="E56" s="11">
        <v>41159</v>
      </c>
      <c r="F56" s="10" t="s">
        <v>34</v>
      </c>
      <c r="G56" s="12">
        <v>15000</v>
      </c>
      <c r="H56" t="s">
        <v>60</v>
      </c>
    </row>
    <row r="57" spans="2:8" x14ac:dyDescent="0.3">
      <c r="B57" s="10">
        <v>39</v>
      </c>
      <c r="C57" s="10" t="s">
        <v>47</v>
      </c>
      <c r="D57" s="10" t="s">
        <v>40</v>
      </c>
      <c r="E57" s="11">
        <v>41163</v>
      </c>
      <c r="F57" s="10" t="s">
        <v>30</v>
      </c>
      <c r="G57" s="12">
        <v>10000</v>
      </c>
      <c r="H57" t="s">
        <v>54</v>
      </c>
    </row>
    <row r="58" spans="2:8" x14ac:dyDescent="0.3">
      <c r="B58" s="10">
        <v>40</v>
      </c>
      <c r="C58" s="10" t="s">
        <v>32</v>
      </c>
      <c r="D58" s="10" t="s">
        <v>48</v>
      </c>
      <c r="E58" s="11">
        <v>41163</v>
      </c>
      <c r="F58" s="10" t="s">
        <v>30</v>
      </c>
      <c r="G58" s="12">
        <v>4000</v>
      </c>
      <c r="H58" t="s">
        <v>56</v>
      </c>
    </row>
    <row r="59" spans="2:8" x14ac:dyDescent="0.3">
      <c r="B59" s="10"/>
      <c r="C59" s="10"/>
      <c r="D59" s="10"/>
      <c r="E59" s="11"/>
      <c r="F59" s="10"/>
      <c r="G59" s="12"/>
    </row>
    <row r="60" spans="2:8" x14ac:dyDescent="0.3">
      <c r="B60" s="10"/>
      <c r="C60" s="10"/>
      <c r="D60" s="10"/>
      <c r="E60" s="11"/>
      <c r="F60" s="10"/>
      <c r="G60" s="1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</xdr:col>
                    <xdr:colOff>47625</xdr:colOff>
                    <xdr:row>5</xdr:row>
                    <xdr:rowOff>19050</xdr:rowOff>
                  </from>
                  <to>
                    <xdr:col>3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3</xdr:col>
                    <xdr:colOff>47625</xdr:colOff>
                    <xdr:row>3</xdr:row>
                    <xdr:rowOff>28575</xdr:rowOff>
                  </from>
                  <to>
                    <xdr:col>3</xdr:col>
                    <xdr:colOff>609600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3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4</xdr:col>
                    <xdr:colOff>838200</xdr:colOff>
                    <xdr:row>2</xdr:row>
                    <xdr:rowOff>76200</xdr:rowOff>
                  </from>
                  <to>
                    <xdr:col>7</xdr:col>
                    <xdr:colOff>866775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옵션 단추 1">
              <controlPr defaultSize="0" autoFill="0" autoLine="0" autoPict="0">
                <anchor moveWithCells="1">
                  <from>
                    <xdr:col>5</xdr:col>
                    <xdr:colOff>66675</xdr:colOff>
                    <xdr:row>3</xdr:row>
                    <xdr:rowOff>38100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38100</xdr:rowOff>
                  </from>
                  <to>
                    <xdr:col>6</xdr:col>
                    <xdr:colOff>819150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Option Button 8">
              <controlPr defaultSize="0" autoFill="0" autoLine="0" autoPict="0">
                <anchor moveWithCells="1">
                  <from>
                    <xdr:col>6</xdr:col>
                    <xdr:colOff>857250</xdr:colOff>
                    <xdr:row>3</xdr:row>
                    <xdr:rowOff>38100</xdr:rowOff>
                  </from>
                  <to>
                    <xdr:col>7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7</xdr:col>
                    <xdr:colOff>933450</xdr:colOff>
                    <xdr:row>3</xdr:row>
                    <xdr:rowOff>9525</xdr:rowOff>
                  </from>
                  <to>
                    <xdr:col>7</xdr:col>
                    <xdr:colOff>1495425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pinner 10">
              <controlPr defaultSize="0" autoPict="0">
                <anchor moveWithCells="1" sizeWithCells="1">
                  <from>
                    <xdr:col>5</xdr:col>
                    <xdr:colOff>619125</xdr:colOff>
                    <xdr:row>4</xdr:row>
                    <xdr:rowOff>104775</xdr:rowOff>
                  </from>
                  <to>
                    <xdr:col>6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6</xdr:col>
                    <xdr:colOff>57150</xdr:colOff>
                    <xdr:row>5</xdr:row>
                    <xdr:rowOff>19050</xdr:rowOff>
                  </from>
                  <to>
                    <xdr:col>6</xdr:col>
                    <xdr:colOff>619125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57150</xdr:colOff>
                    <xdr:row>7</xdr:row>
                    <xdr:rowOff>0</xdr:rowOff>
                  </from>
                  <to>
                    <xdr:col>7</xdr:col>
                    <xdr:colOff>619125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33" t="s">
        <v>61</v>
      </c>
      <c r="B1" s="33"/>
      <c r="C1" s="33"/>
      <c r="D1" s="33"/>
      <c r="E1" s="33"/>
      <c r="F1" s="33"/>
      <c r="G1" s="33"/>
    </row>
    <row r="2" spans="1:7" ht="10.5" customHeight="1" x14ac:dyDescent="0.3"/>
    <row r="3" spans="1:7" x14ac:dyDescent="0.3">
      <c r="A3" s="10" t="s">
        <v>62</v>
      </c>
      <c r="B3" s="10" t="s">
        <v>16</v>
      </c>
      <c r="C3" s="10" t="s">
        <v>17</v>
      </c>
      <c r="D3" s="10" t="s">
        <v>18</v>
      </c>
      <c r="E3" s="10" t="s">
        <v>19</v>
      </c>
      <c r="F3" s="10" t="s">
        <v>20</v>
      </c>
      <c r="G3" t="s">
        <v>21</v>
      </c>
    </row>
    <row r="4" spans="1:7" x14ac:dyDescent="0.3">
      <c r="A4" s="10">
        <v>1</v>
      </c>
      <c r="B4" s="10"/>
      <c r="C4" s="10"/>
      <c r="D4" s="11">
        <v>41140</v>
      </c>
      <c r="E4" s="10"/>
      <c r="F4" s="12">
        <v>10000</v>
      </c>
      <c r="G4" t="s">
        <v>22</v>
      </c>
    </row>
    <row r="5" spans="1:7" x14ac:dyDescent="0.3">
      <c r="A5" s="10">
        <v>2</v>
      </c>
      <c r="B5" s="10" t="s">
        <v>23</v>
      </c>
      <c r="C5" s="10" t="s">
        <v>24</v>
      </c>
      <c r="D5" s="11">
        <v>41141</v>
      </c>
      <c r="E5" s="10" t="s">
        <v>25</v>
      </c>
      <c r="F5" s="12">
        <v>2500</v>
      </c>
      <c r="G5" t="s">
        <v>26</v>
      </c>
    </row>
    <row r="6" spans="1:7" x14ac:dyDescent="0.3">
      <c r="A6" s="10">
        <v>3</v>
      </c>
      <c r="B6" s="10" t="s">
        <v>23</v>
      </c>
      <c r="C6" s="10" t="s">
        <v>27</v>
      </c>
      <c r="D6" s="11">
        <v>41142</v>
      </c>
      <c r="E6" s="10" t="s">
        <v>25</v>
      </c>
      <c r="F6" s="12">
        <v>10000</v>
      </c>
      <c r="G6" t="s">
        <v>28</v>
      </c>
    </row>
    <row r="7" spans="1:7" x14ac:dyDescent="0.3">
      <c r="A7" s="10">
        <v>4</v>
      </c>
      <c r="B7" s="10" t="s">
        <v>23</v>
      </c>
      <c r="C7" s="10" t="s">
        <v>29</v>
      </c>
      <c r="D7" s="11">
        <v>41145</v>
      </c>
      <c r="E7" s="10" t="s">
        <v>30</v>
      </c>
      <c r="F7" s="12">
        <v>10000</v>
      </c>
      <c r="G7" t="s">
        <v>31</v>
      </c>
    </row>
    <row r="8" spans="1:7" x14ac:dyDescent="0.3">
      <c r="A8" s="10">
        <v>5</v>
      </c>
      <c r="B8" s="10" t="s">
        <v>32</v>
      </c>
      <c r="C8" s="10" t="s">
        <v>33</v>
      </c>
      <c r="D8" s="11">
        <v>41146</v>
      </c>
      <c r="E8" s="10" t="s">
        <v>34</v>
      </c>
      <c r="F8" s="12">
        <v>15000</v>
      </c>
      <c r="G8" t="s">
        <v>35</v>
      </c>
    </row>
    <row r="9" spans="1:7" x14ac:dyDescent="0.3">
      <c r="A9" s="10">
        <v>6</v>
      </c>
      <c r="B9" s="10" t="s">
        <v>36</v>
      </c>
      <c r="C9" s="10" t="s">
        <v>27</v>
      </c>
      <c r="D9" s="11">
        <v>41147</v>
      </c>
      <c r="E9" s="10" t="s">
        <v>30</v>
      </c>
      <c r="F9" s="12">
        <v>4000</v>
      </c>
      <c r="G9" t="s">
        <v>37</v>
      </c>
    </row>
    <row r="10" spans="1:7" x14ac:dyDescent="0.3">
      <c r="A10" s="10">
        <v>7</v>
      </c>
      <c r="B10" s="10" t="s">
        <v>36</v>
      </c>
      <c r="C10" s="10" t="s">
        <v>38</v>
      </c>
      <c r="D10" s="11">
        <v>41148</v>
      </c>
      <c r="E10" s="10" t="s">
        <v>30</v>
      </c>
      <c r="F10" s="12">
        <v>15000</v>
      </c>
      <c r="G10" t="s">
        <v>39</v>
      </c>
    </row>
    <row r="11" spans="1:7" x14ac:dyDescent="0.3">
      <c r="A11" s="10">
        <v>8</v>
      </c>
      <c r="B11" s="10" t="s">
        <v>32</v>
      </c>
      <c r="C11" s="10" t="s">
        <v>40</v>
      </c>
      <c r="D11" s="11">
        <v>41150</v>
      </c>
      <c r="E11" s="10" t="s">
        <v>30</v>
      </c>
      <c r="F11" s="12">
        <v>2500</v>
      </c>
      <c r="G11" t="s">
        <v>41</v>
      </c>
    </row>
    <row r="12" spans="1:7" x14ac:dyDescent="0.3">
      <c r="A12" s="10">
        <v>9</v>
      </c>
      <c r="B12" s="10" t="s">
        <v>36</v>
      </c>
      <c r="C12" s="10" t="s">
        <v>40</v>
      </c>
      <c r="D12" s="11">
        <v>41150</v>
      </c>
      <c r="E12" s="10" t="s">
        <v>30</v>
      </c>
      <c r="F12" s="12">
        <v>15000</v>
      </c>
      <c r="G12" t="s">
        <v>42</v>
      </c>
    </row>
    <row r="13" spans="1:7" x14ac:dyDescent="0.3">
      <c r="A13" s="10">
        <v>10</v>
      </c>
      <c r="B13" s="10" t="s">
        <v>32</v>
      </c>
      <c r="C13" s="10" t="s">
        <v>43</v>
      </c>
      <c r="D13" s="11">
        <v>41150</v>
      </c>
      <c r="E13" s="10" t="s">
        <v>30</v>
      </c>
      <c r="F13" s="12">
        <v>15000</v>
      </c>
      <c r="G13" t="s">
        <v>44</v>
      </c>
    </row>
    <row r="14" spans="1:7" x14ac:dyDescent="0.3">
      <c r="A14" s="10">
        <v>11</v>
      </c>
      <c r="B14" s="10" t="s">
        <v>36</v>
      </c>
      <c r="C14" s="10" t="s">
        <v>38</v>
      </c>
      <c r="D14" s="11">
        <v>41153</v>
      </c>
      <c r="E14" s="10" t="s">
        <v>34</v>
      </c>
      <c r="F14" s="12">
        <v>2500</v>
      </c>
      <c r="G14" t="s">
        <v>45</v>
      </c>
    </row>
    <row r="15" spans="1:7" x14ac:dyDescent="0.3">
      <c r="A15" s="10">
        <v>12</v>
      </c>
      <c r="B15" s="10" t="s">
        <v>32</v>
      </c>
      <c r="C15" s="10" t="s">
        <v>29</v>
      </c>
      <c r="D15" s="11">
        <v>41153</v>
      </c>
      <c r="E15" s="10" t="s">
        <v>25</v>
      </c>
      <c r="F15" s="12">
        <v>4000</v>
      </c>
      <c r="G15" t="s">
        <v>41</v>
      </c>
    </row>
    <row r="16" spans="1:7" x14ac:dyDescent="0.3">
      <c r="A16" s="10">
        <v>13</v>
      </c>
      <c r="B16" s="10" t="s">
        <v>32</v>
      </c>
      <c r="C16" s="10" t="s">
        <v>29</v>
      </c>
      <c r="D16" s="11">
        <v>41153</v>
      </c>
      <c r="E16" s="10" t="s">
        <v>30</v>
      </c>
      <c r="F16" s="12">
        <v>10000</v>
      </c>
      <c r="G16" t="s">
        <v>46</v>
      </c>
    </row>
    <row r="17" spans="1:7" x14ac:dyDescent="0.3">
      <c r="A17" s="10">
        <v>14</v>
      </c>
      <c r="B17" s="10" t="s">
        <v>47</v>
      </c>
      <c r="C17" s="10" t="s">
        <v>48</v>
      </c>
      <c r="D17" s="11">
        <v>41153</v>
      </c>
      <c r="E17" s="10" t="s">
        <v>25</v>
      </c>
      <c r="F17" s="12">
        <v>2500</v>
      </c>
      <c r="G17" t="s">
        <v>49</v>
      </c>
    </row>
    <row r="18" spans="1:7" x14ac:dyDescent="0.3">
      <c r="A18" s="10">
        <v>15</v>
      </c>
      <c r="B18" s="10" t="s">
        <v>36</v>
      </c>
      <c r="C18" s="10" t="s">
        <v>27</v>
      </c>
      <c r="D18" s="11">
        <v>41154</v>
      </c>
      <c r="E18" s="10" t="s">
        <v>30</v>
      </c>
      <c r="F18" s="12">
        <v>2500</v>
      </c>
      <c r="G18" t="s">
        <v>42</v>
      </c>
    </row>
    <row r="19" spans="1:7" x14ac:dyDescent="0.3">
      <c r="A19" s="10">
        <v>16</v>
      </c>
      <c r="B19" s="10" t="s">
        <v>47</v>
      </c>
      <c r="C19" s="10" t="s">
        <v>27</v>
      </c>
      <c r="D19" s="11">
        <v>41154</v>
      </c>
      <c r="E19" s="10" t="s">
        <v>34</v>
      </c>
      <c r="F19" s="12">
        <v>15000</v>
      </c>
      <c r="G19" t="s">
        <v>50</v>
      </c>
    </row>
    <row r="20" spans="1:7" x14ac:dyDescent="0.3">
      <c r="A20" s="10">
        <v>17</v>
      </c>
      <c r="B20" s="10" t="s">
        <v>47</v>
      </c>
      <c r="C20" s="10" t="s">
        <v>40</v>
      </c>
      <c r="D20" s="11">
        <v>41154</v>
      </c>
      <c r="E20" s="10" t="s">
        <v>25</v>
      </c>
      <c r="F20" s="12">
        <v>4000</v>
      </c>
      <c r="G20" t="s">
        <v>51</v>
      </c>
    </row>
    <row r="21" spans="1:7" x14ac:dyDescent="0.3">
      <c r="A21" s="10">
        <v>18</v>
      </c>
      <c r="B21" s="10" t="s">
        <v>23</v>
      </c>
      <c r="C21" s="10" t="s">
        <v>27</v>
      </c>
      <c r="D21" s="11">
        <v>41154</v>
      </c>
      <c r="E21" s="10" t="s">
        <v>30</v>
      </c>
      <c r="F21" s="12">
        <v>2500</v>
      </c>
      <c r="G21" t="s">
        <v>26</v>
      </c>
    </row>
    <row r="22" spans="1:7" x14ac:dyDescent="0.3">
      <c r="A22" s="10">
        <v>19</v>
      </c>
      <c r="B22" s="10" t="s">
        <v>47</v>
      </c>
      <c r="C22" s="10" t="s">
        <v>29</v>
      </c>
      <c r="D22" s="11">
        <v>41154</v>
      </c>
      <c r="E22" s="10" t="s">
        <v>30</v>
      </c>
      <c r="F22" s="12">
        <v>15000</v>
      </c>
      <c r="G22" t="s">
        <v>52</v>
      </c>
    </row>
    <row r="23" spans="1:7" x14ac:dyDescent="0.3">
      <c r="A23" s="10">
        <v>20</v>
      </c>
      <c r="B23" s="10" t="s">
        <v>47</v>
      </c>
      <c r="C23" s="10" t="s">
        <v>27</v>
      </c>
      <c r="D23" s="11">
        <v>41156</v>
      </c>
      <c r="E23" s="10" t="s">
        <v>30</v>
      </c>
      <c r="F23" s="12">
        <v>15000</v>
      </c>
      <c r="G23" t="s">
        <v>53</v>
      </c>
    </row>
    <row r="24" spans="1:7" x14ac:dyDescent="0.3">
      <c r="A24" s="10">
        <v>21</v>
      </c>
      <c r="B24" s="10" t="s">
        <v>47</v>
      </c>
      <c r="C24" s="10" t="s">
        <v>40</v>
      </c>
      <c r="D24" s="11">
        <v>41156</v>
      </c>
      <c r="E24" s="10" t="s">
        <v>25</v>
      </c>
      <c r="F24" s="12">
        <v>4000</v>
      </c>
      <c r="G24" t="s">
        <v>49</v>
      </c>
    </row>
    <row r="25" spans="1:7" x14ac:dyDescent="0.3">
      <c r="A25" s="10">
        <v>22</v>
      </c>
      <c r="B25" s="10" t="s">
        <v>23</v>
      </c>
      <c r="C25" s="10" t="s">
        <v>24</v>
      </c>
      <c r="D25" s="11">
        <v>41156</v>
      </c>
      <c r="E25" s="10" t="s">
        <v>25</v>
      </c>
      <c r="F25" s="12">
        <v>4000</v>
      </c>
      <c r="G25" t="s">
        <v>26</v>
      </c>
    </row>
    <row r="26" spans="1:7" x14ac:dyDescent="0.3">
      <c r="A26" s="10">
        <v>23</v>
      </c>
      <c r="B26" s="10" t="s">
        <v>47</v>
      </c>
      <c r="C26" s="10" t="s">
        <v>29</v>
      </c>
      <c r="D26" s="11">
        <v>41156</v>
      </c>
      <c r="E26" s="10" t="s">
        <v>30</v>
      </c>
      <c r="F26" s="12">
        <v>10000</v>
      </c>
      <c r="G26" t="s">
        <v>54</v>
      </c>
    </row>
    <row r="27" spans="1:7" x14ac:dyDescent="0.3">
      <c r="A27" s="10">
        <v>24</v>
      </c>
      <c r="B27" s="10" t="s">
        <v>36</v>
      </c>
      <c r="C27" s="10" t="s">
        <v>29</v>
      </c>
      <c r="D27" s="11">
        <v>41156</v>
      </c>
      <c r="E27" s="10" t="s">
        <v>30</v>
      </c>
      <c r="F27" s="12">
        <v>10000</v>
      </c>
      <c r="G27" t="s">
        <v>55</v>
      </c>
    </row>
    <row r="28" spans="1:7" x14ac:dyDescent="0.3">
      <c r="A28" s="10">
        <v>25</v>
      </c>
      <c r="B28" s="10" t="s">
        <v>23</v>
      </c>
      <c r="C28" s="10" t="s">
        <v>40</v>
      </c>
      <c r="D28" s="11">
        <v>41157</v>
      </c>
      <c r="E28" s="10" t="s">
        <v>30</v>
      </c>
      <c r="F28" s="12">
        <v>2500</v>
      </c>
      <c r="G28" t="s">
        <v>28</v>
      </c>
    </row>
    <row r="29" spans="1:7" x14ac:dyDescent="0.3">
      <c r="A29" s="10">
        <v>26</v>
      </c>
      <c r="B29" s="10" t="s">
        <v>36</v>
      </c>
      <c r="C29" s="10" t="s">
        <v>29</v>
      </c>
      <c r="D29" s="11">
        <v>41157</v>
      </c>
      <c r="E29" s="10" t="s">
        <v>34</v>
      </c>
      <c r="F29" s="12">
        <v>15000</v>
      </c>
      <c r="G29" t="s">
        <v>39</v>
      </c>
    </row>
    <row r="30" spans="1:7" x14ac:dyDescent="0.3">
      <c r="A30" s="10">
        <v>27</v>
      </c>
      <c r="B30" s="10" t="s">
        <v>47</v>
      </c>
      <c r="C30" s="10" t="s">
        <v>40</v>
      </c>
      <c r="D30" s="11">
        <v>41157</v>
      </c>
      <c r="E30" s="10" t="s">
        <v>25</v>
      </c>
      <c r="F30" s="12">
        <v>15000</v>
      </c>
      <c r="G30" t="s">
        <v>52</v>
      </c>
    </row>
    <row r="31" spans="1:7" x14ac:dyDescent="0.3">
      <c r="A31" s="10">
        <v>28</v>
      </c>
      <c r="B31" s="10" t="s">
        <v>47</v>
      </c>
      <c r="C31" s="10" t="s">
        <v>40</v>
      </c>
      <c r="D31" s="11">
        <v>41157</v>
      </c>
      <c r="E31" s="10" t="s">
        <v>30</v>
      </c>
      <c r="F31" s="12">
        <v>15000</v>
      </c>
      <c r="G31" t="s">
        <v>51</v>
      </c>
    </row>
    <row r="32" spans="1:7" x14ac:dyDescent="0.3">
      <c r="A32" s="10">
        <v>29</v>
      </c>
      <c r="B32" s="10" t="s">
        <v>23</v>
      </c>
      <c r="C32" s="10" t="s">
        <v>48</v>
      </c>
      <c r="D32" s="11">
        <v>41158</v>
      </c>
      <c r="E32" s="10" t="s">
        <v>34</v>
      </c>
      <c r="F32" s="12">
        <v>15000</v>
      </c>
      <c r="G32" t="s">
        <v>31</v>
      </c>
    </row>
    <row r="33" spans="1:7" x14ac:dyDescent="0.3">
      <c r="A33" s="10">
        <v>30</v>
      </c>
      <c r="B33" s="10" t="s">
        <v>23</v>
      </c>
      <c r="C33" s="10" t="s">
        <v>29</v>
      </c>
      <c r="D33" s="11">
        <v>41158</v>
      </c>
      <c r="E33" s="10" t="s">
        <v>30</v>
      </c>
      <c r="F33" s="12">
        <v>10000</v>
      </c>
      <c r="G33" t="s">
        <v>28</v>
      </c>
    </row>
    <row r="34" spans="1:7" x14ac:dyDescent="0.3">
      <c r="A34" s="10">
        <v>31</v>
      </c>
      <c r="B34" s="10" t="s">
        <v>23</v>
      </c>
      <c r="C34" s="10" t="s">
        <v>43</v>
      </c>
      <c r="D34" s="11">
        <v>41158</v>
      </c>
      <c r="E34" s="10" t="s">
        <v>34</v>
      </c>
      <c r="F34" s="12">
        <v>4000</v>
      </c>
      <c r="G34" t="s">
        <v>31</v>
      </c>
    </row>
    <row r="35" spans="1:7" x14ac:dyDescent="0.3">
      <c r="A35" s="10">
        <v>32</v>
      </c>
      <c r="B35" s="10" t="s">
        <v>32</v>
      </c>
      <c r="C35" s="10" t="s">
        <v>38</v>
      </c>
      <c r="D35" s="11">
        <v>41158</v>
      </c>
      <c r="E35" s="10" t="s">
        <v>25</v>
      </c>
      <c r="F35" s="12">
        <v>10000</v>
      </c>
      <c r="G35" t="s">
        <v>56</v>
      </c>
    </row>
    <row r="36" spans="1:7" x14ac:dyDescent="0.3">
      <c r="A36" s="10">
        <v>33</v>
      </c>
      <c r="B36" s="10" t="s">
        <v>32</v>
      </c>
      <c r="C36" s="10" t="s">
        <v>40</v>
      </c>
      <c r="D36" s="11">
        <v>41158</v>
      </c>
      <c r="E36" s="10" t="s">
        <v>25</v>
      </c>
      <c r="F36" s="12">
        <v>2500</v>
      </c>
      <c r="G36" t="s">
        <v>57</v>
      </c>
    </row>
    <row r="37" spans="1:7" x14ac:dyDescent="0.3">
      <c r="A37" s="10">
        <v>34</v>
      </c>
      <c r="B37" s="10" t="s">
        <v>32</v>
      </c>
      <c r="C37" s="10" t="s">
        <v>43</v>
      </c>
      <c r="D37" s="11">
        <v>41159</v>
      </c>
      <c r="E37" s="10" t="s">
        <v>30</v>
      </c>
      <c r="F37" s="12">
        <v>15000</v>
      </c>
      <c r="G37" t="s">
        <v>58</v>
      </c>
    </row>
    <row r="38" spans="1:7" x14ac:dyDescent="0.3">
      <c r="A38" s="10">
        <v>35</v>
      </c>
      <c r="B38" s="10" t="s">
        <v>23</v>
      </c>
      <c r="C38" s="10" t="s">
        <v>33</v>
      </c>
      <c r="D38" s="11">
        <v>41159</v>
      </c>
      <c r="E38" s="10" t="s">
        <v>25</v>
      </c>
      <c r="F38" s="12">
        <v>10000</v>
      </c>
      <c r="G38" t="s">
        <v>31</v>
      </c>
    </row>
    <row r="39" spans="1:7" x14ac:dyDescent="0.3">
      <c r="A39" s="10">
        <v>36</v>
      </c>
      <c r="B39" s="10" t="s">
        <v>47</v>
      </c>
      <c r="C39" s="10" t="s">
        <v>43</v>
      </c>
      <c r="D39" s="11">
        <v>41159</v>
      </c>
      <c r="E39" s="10" t="s">
        <v>30</v>
      </c>
      <c r="F39" s="12">
        <v>4000</v>
      </c>
      <c r="G39" t="s">
        <v>50</v>
      </c>
    </row>
    <row r="40" spans="1:7" x14ac:dyDescent="0.3">
      <c r="A40" s="10">
        <v>37</v>
      </c>
      <c r="B40" s="10" t="s">
        <v>23</v>
      </c>
      <c r="C40" s="10" t="s">
        <v>59</v>
      </c>
      <c r="D40" s="11">
        <v>41159</v>
      </c>
      <c r="E40" s="10" t="s">
        <v>34</v>
      </c>
      <c r="F40" s="12">
        <v>2500</v>
      </c>
      <c r="G40" t="s">
        <v>28</v>
      </c>
    </row>
    <row r="41" spans="1:7" x14ac:dyDescent="0.3">
      <c r="A41" s="10">
        <v>38</v>
      </c>
      <c r="B41" s="10" t="s">
        <v>32</v>
      </c>
      <c r="C41" s="10" t="s">
        <v>27</v>
      </c>
      <c r="D41" s="11">
        <v>41159</v>
      </c>
      <c r="E41" s="10" t="s">
        <v>34</v>
      </c>
      <c r="F41" s="12">
        <v>15000</v>
      </c>
      <c r="G41" t="s">
        <v>60</v>
      </c>
    </row>
    <row r="42" spans="1:7" x14ac:dyDescent="0.3">
      <c r="A42" s="10">
        <v>39</v>
      </c>
      <c r="B42" s="10" t="s">
        <v>47</v>
      </c>
      <c r="C42" s="10" t="s">
        <v>40</v>
      </c>
      <c r="D42" s="11">
        <v>41163</v>
      </c>
      <c r="E42" s="10" t="s">
        <v>30</v>
      </c>
      <c r="F42" s="12">
        <v>10000</v>
      </c>
      <c r="G42" t="s">
        <v>54</v>
      </c>
    </row>
    <row r="43" spans="1:7" x14ac:dyDescent="0.3">
      <c r="A43" s="10">
        <v>40</v>
      </c>
      <c r="B43" s="10" t="s">
        <v>32</v>
      </c>
      <c r="C43" s="10" t="s">
        <v>48</v>
      </c>
      <c r="D43" s="11">
        <v>41163</v>
      </c>
      <c r="E43" s="10" t="s">
        <v>30</v>
      </c>
      <c r="F43" s="12">
        <v>4000</v>
      </c>
      <c r="G43" t="s">
        <v>56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22" t="s">
        <v>16</v>
      </c>
      <c r="C1" s="23" t="s">
        <v>17</v>
      </c>
      <c r="E1" s="24" t="s">
        <v>19</v>
      </c>
    </row>
    <row r="2" spans="1:5" x14ac:dyDescent="0.3">
      <c r="A2" s="25" t="s">
        <v>36</v>
      </c>
      <c r="C2" s="26" t="s">
        <v>43</v>
      </c>
      <c r="E2" s="27" t="s">
        <v>34</v>
      </c>
    </row>
    <row r="3" spans="1:5" x14ac:dyDescent="0.3">
      <c r="A3" s="28" t="s">
        <v>23</v>
      </c>
      <c r="C3" s="29" t="s">
        <v>24</v>
      </c>
      <c r="E3" s="27" t="s">
        <v>25</v>
      </c>
    </row>
    <row r="4" spans="1:5" x14ac:dyDescent="0.3">
      <c r="A4" s="25" t="s">
        <v>32</v>
      </c>
      <c r="C4" s="26" t="s">
        <v>27</v>
      </c>
      <c r="E4" s="27" t="s">
        <v>30</v>
      </c>
    </row>
    <row r="5" spans="1:5" x14ac:dyDescent="0.3">
      <c r="A5" s="28" t="s">
        <v>47</v>
      </c>
      <c r="C5" s="29" t="s">
        <v>29</v>
      </c>
      <c r="E5" s="30"/>
    </row>
    <row r="6" spans="1:5" x14ac:dyDescent="0.3">
      <c r="A6" s="31"/>
      <c r="C6" s="26" t="s">
        <v>33</v>
      </c>
    </row>
    <row r="7" spans="1:5" x14ac:dyDescent="0.3">
      <c r="C7" s="29" t="s">
        <v>38</v>
      </c>
    </row>
    <row r="8" spans="1:5" x14ac:dyDescent="0.3">
      <c r="C8" s="26" t="s">
        <v>40</v>
      </c>
    </row>
    <row r="9" spans="1:5" x14ac:dyDescent="0.3">
      <c r="C9" s="29" t="s">
        <v>48</v>
      </c>
    </row>
    <row r="10" spans="1:5" x14ac:dyDescent="0.3">
      <c r="C10" s="26" t="s">
        <v>59</v>
      </c>
    </row>
    <row r="11" spans="1:5" x14ac:dyDescent="0.3">
      <c r="C11" s="3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2014-01-08T05:56:47Z</dcterms:modified>
  <cp:category>엑셀 매크로</cp:category>
</cp:coreProperties>
</file>