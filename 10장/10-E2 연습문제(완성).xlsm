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0장\"/>
    </mc:Choice>
  </mc:AlternateContent>
  <bookViews>
    <workbookView xWindow="0" yWindow="0" windowWidth="25200" windowHeight="10890"/>
  </bookViews>
  <sheets>
    <sheet name="거래명세서(입력)" sheetId="2" r:id="rId1"/>
    <sheet name="거래명세서(출력)" sheetId="3" r:id="rId2"/>
    <sheet name="발급대장" sheetId="4" r:id="rId3"/>
    <sheet name="상세항목" sheetId="5" r:id="rId4"/>
    <sheet name="제품목록" sheetId="6" r:id="rId5"/>
    <sheet name="고객목록" sheetId="7" r:id="rId6"/>
    <sheet name="@작업시트" sheetId="1" r:id="rId7"/>
  </sheets>
  <definedNames>
    <definedName name="_xlnm._FilterDatabase" localSheetId="5" hidden="1">고객목록!$A$3:$G$94</definedName>
    <definedName name="_xlnm._FilterDatabase" localSheetId="3" hidden="1">상세항목!$A$3:$E$20</definedName>
    <definedName name="_xlnm.Criteria" localSheetId="6">'@작업시트'!$A$4:$A$5</definedName>
    <definedName name="_xlnm.Extract" localSheetId="6">'@작업시트'!$C$4:$F$4</definedName>
    <definedName name="nmD_고객코드">'거래명세서(입력)'!$G$4</definedName>
    <definedName name="nmD_발급번호">'거래명세서(입력)'!$E$4</definedName>
    <definedName name="nmD_상세항목시작">'거래명세서(입력)'!$B$12</definedName>
    <definedName name="nmD_상호">'거래명세서(입력)'!$E$6</definedName>
    <definedName name="nmD_인수자">'거래명세서(입력)'!$E$7</definedName>
    <definedName name="nmD_작성일">'거래명세서(입력)'!$G$7</definedName>
    <definedName name="nmD_전화번호">'거래명세서(입력)'!$G$6</definedName>
    <definedName name="nmD_주소">'거래명세서(입력)'!$E$8</definedName>
    <definedName name="nmD_합계">'거래명세서(입력)'!$E$10</definedName>
    <definedName name="nmMax코드">발급대장!$C$3</definedName>
    <definedName name="nm고객목록_조건">'@작업시트'!$H$4:$H$5</definedName>
    <definedName name="nm고객목록_출력">'@작업시트'!$J$4:$P$4</definedName>
    <definedName name="nm상세항목_조건">'@작업시트'!$A$4:$A$5</definedName>
    <definedName name="nm상세항목_출력">'@작업시트'!$C$4:$F$4</definedName>
    <definedName name="nm품목코드">tbl제품목록[품목코드]</definedName>
    <definedName name="_xlnm.Print_Titles" localSheetId="1">'거래명세서(출력)'!$2:$12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H35" i="2"/>
  <c r="F35" i="2"/>
  <c r="E35" i="2"/>
  <c r="H34" i="2"/>
  <c r="F34" i="2"/>
  <c r="E34" i="2"/>
  <c r="H33" i="2"/>
  <c r="F33" i="2"/>
  <c r="E33" i="2"/>
  <c r="H32" i="2"/>
  <c r="F32" i="2"/>
  <c r="E32" i="2"/>
  <c r="H31" i="2"/>
  <c r="F31" i="2"/>
  <c r="E31" i="2"/>
  <c r="H30" i="2"/>
  <c r="F30" i="2"/>
  <c r="E30" i="2"/>
  <c r="H29" i="2"/>
  <c r="F29" i="2"/>
  <c r="E29" i="2"/>
  <c r="H28" i="2"/>
  <c r="F28" i="2"/>
  <c r="E28" i="2"/>
  <c r="H27" i="2"/>
  <c r="F27" i="2"/>
  <c r="E27" i="2"/>
  <c r="H26" i="2"/>
  <c r="F26" i="2"/>
  <c r="E26" i="2"/>
  <c r="H25" i="2"/>
  <c r="F25" i="2"/>
  <c r="E25" i="2"/>
  <c r="H24" i="2"/>
  <c r="F24" i="2"/>
  <c r="E24" i="2"/>
  <c r="H23" i="2"/>
  <c r="F23" i="2"/>
  <c r="E23" i="2"/>
  <c r="H22" i="2"/>
  <c r="F22" i="2"/>
  <c r="E22" i="2"/>
  <c r="H21" i="2"/>
  <c r="F21" i="2"/>
  <c r="E21" i="2"/>
  <c r="H20" i="2"/>
  <c r="F20" i="2"/>
  <c r="E20" i="2"/>
  <c r="H19" i="2"/>
  <c r="F19" i="2"/>
  <c r="E19" i="2"/>
  <c r="H18" i="2"/>
  <c r="F18" i="2"/>
  <c r="E18" i="2"/>
  <c r="H17" i="2"/>
  <c r="I17" i="2" s="1"/>
  <c r="J17" i="2" s="1"/>
  <c r="F17" i="2"/>
  <c r="E17" i="2"/>
  <c r="H16" i="2"/>
  <c r="F16" i="2"/>
  <c r="E16" i="2"/>
  <c r="H15" i="2"/>
  <c r="F15" i="2"/>
  <c r="E15" i="2"/>
  <c r="H14" i="2"/>
  <c r="I14" i="2" s="1"/>
  <c r="J14" i="2" s="1"/>
  <c r="F14" i="2"/>
  <c r="E14" i="2"/>
  <c r="H13" i="2"/>
  <c r="F13" i="2"/>
  <c r="E13" i="2"/>
  <c r="J35" i="2"/>
  <c r="I35" i="2"/>
  <c r="J34" i="2"/>
  <c r="I34" i="2"/>
  <c r="J33" i="2"/>
  <c r="I33" i="2"/>
  <c r="J32" i="2"/>
  <c r="I32" i="2"/>
  <c r="J31" i="2"/>
  <c r="I31" i="2"/>
  <c r="J30" i="2"/>
  <c r="I30" i="2"/>
  <c r="J29" i="2"/>
  <c r="I29" i="2"/>
  <c r="J28" i="2"/>
  <c r="I28" i="2"/>
  <c r="J27" i="2"/>
  <c r="I27" i="2"/>
  <c r="J26" i="2"/>
  <c r="I26" i="2"/>
  <c r="J25" i="2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I16" i="2"/>
  <c r="J16" i="2" s="1"/>
  <c r="I15" i="2"/>
  <c r="J15" i="2" s="1"/>
  <c r="I13" i="2"/>
  <c r="J13" i="2" s="1"/>
  <c r="B2" i="2"/>
  <c r="B3" i="3" l="1"/>
  <c r="AG3" i="3" s="1"/>
  <c r="F4" i="3"/>
  <c r="AK4" i="3" s="1"/>
  <c r="F6" i="3"/>
  <c r="F8" i="3"/>
  <c r="B13" i="3"/>
  <c r="C13" i="3"/>
  <c r="N13" i="3"/>
  <c r="B14" i="3"/>
  <c r="C14" i="3"/>
  <c r="N14" i="3"/>
  <c r="B15" i="3"/>
  <c r="C15" i="3"/>
  <c r="N15" i="3"/>
  <c r="B16" i="3"/>
  <c r="C16" i="3"/>
  <c r="N16" i="3"/>
  <c r="B17" i="3"/>
  <c r="C17" i="3"/>
  <c r="N17" i="3"/>
  <c r="B18" i="3"/>
  <c r="C18" i="3"/>
  <c r="N18" i="3"/>
  <c r="B19" i="3"/>
  <c r="C19" i="3"/>
  <c r="N19" i="3"/>
  <c r="B20" i="3"/>
  <c r="C20" i="3"/>
  <c r="N20" i="3"/>
  <c r="B21" i="3"/>
  <c r="C21" i="3"/>
  <c r="N21" i="3"/>
  <c r="B22" i="3"/>
  <c r="C22" i="3"/>
  <c r="N22" i="3"/>
  <c r="B23" i="3"/>
  <c r="C23" i="3"/>
  <c r="N23" i="3"/>
  <c r="B24" i="3"/>
  <c r="C24" i="3"/>
  <c r="N24" i="3"/>
  <c r="B25" i="3"/>
  <c r="C25" i="3"/>
  <c r="N25" i="3"/>
  <c r="B26" i="3"/>
  <c r="C26" i="3"/>
  <c r="N26" i="3"/>
  <c r="B27" i="3"/>
  <c r="C27" i="3"/>
  <c r="N27" i="3"/>
  <c r="B28" i="3"/>
  <c r="C28" i="3"/>
  <c r="N28" i="3"/>
  <c r="B29" i="3"/>
  <c r="C29" i="3"/>
  <c r="N29" i="3"/>
  <c r="B30" i="3"/>
  <c r="C30" i="3"/>
  <c r="N30" i="3"/>
  <c r="B31" i="3"/>
  <c r="C31" i="3"/>
  <c r="N31" i="3"/>
  <c r="B32" i="3"/>
  <c r="C32" i="3"/>
  <c r="N32" i="3"/>
  <c r="B33" i="3"/>
  <c r="C33" i="3"/>
  <c r="N33" i="3"/>
  <c r="B34" i="3"/>
  <c r="C34" i="3"/>
  <c r="N34" i="3"/>
  <c r="B35" i="3"/>
  <c r="C35" i="3"/>
  <c r="N35" i="3"/>
  <c r="AA37" i="3"/>
  <c r="BI35" i="3"/>
  <c r="BI34" i="3"/>
  <c r="BI30" i="3"/>
  <c r="BI27" i="3"/>
  <c r="BI26" i="3"/>
  <c r="BI22" i="3"/>
  <c r="BI20" i="3"/>
  <c r="BI19" i="3"/>
  <c r="BI18" i="3"/>
  <c r="BI14" i="3"/>
  <c r="AY10" i="3"/>
  <c r="AY6" i="3"/>
  <c r="BJ4" i="3"/>
  <c r="BI4" i="3"/>
  <c r="BH4" i="3"/>
  <c r="BD4" i="3"/>
  <c r="BB4" i="3"/>
  <c r="BA4" i="3"/>
  <c r="AZ4" i="3"/>
  <c r="BI13" i="3"/>
  <c r="BI15" i="3"/>
  <c r="BI16" i="3"/>
  <c r="BI17" i="3"/>
  <c r="BI21" i="3"/>
  <c r="BI23" i="3"/>
  <c r="BI24" i="3"/>
  <c r="BI25" i="3"/>
  <c r="BI28" i="3"/>
  <c r="BI29" i="3"/>
  <c r="BI31" i="3"/>
  <c r="BI32" i="3"/>
  <c r="BI33" i="3"/>
  <c r="BG6" i="3"/>
  <c r="AY8" i="3"/>
  <c r="BF10" i="3"/>
  <c r="AY4" i="3"/>
  <c r="BC4" i="3"/>
  <c r="BE4" i="3"/>
  <c r="BF4" i="3"/>
  <c r="BG4" i="3"/>
  <c r="BF37" i="3" l="1"/>
  <c r="AZ37" i="3"/>
  <c r="AS35" i="3"/>
  <c r="AH35" i="3"/>
  <c r="AG35" i="3"/>
  <c r="AS34" i="3"/>
  <c r="AH34" i="3"/>
  <c r="AG34" i="3"/>
  <c r="AS33" i="3"/>
  <c r="AH33" i="3"/>
  <c r="AG33" i="3"/>
  <c r="AS32" i="3"/>
  <c r="AH32" i="3"/>
  <c r="AG32" i="3"/>
  <c r="AS31" i="3"/>
  <c r="AH31" i="3"/>
  <c r="AG31" i="3"/>
  <c r="AS30" i="3"/>
  <c r="AH30" i="3"/>
  <c r="AG30" i="3"/>
  <c r="AS29" i="3"/>
  <c r="AH29" i="3"/>
  <c r="AG29" i="3"/>
  <c r="AS28" i="3"/>
  <c r="AH28" i="3"/>
  <c r="AG28" i="3"/>
  <c r="AS27" i="3"/>
  <c r="AH27" i="3"/>
  <c r="AG27" i="3"/>
  <c r="AS26" i="3"/>
  <c r="AH26" i="3"/>
  <c r="AG26" i="3"/>
  <c r="AS25" i="3"/>
  <c r="AH25" i="3"/>
  <c r="AG25" i="3"/>
  <c r="AS24" i="3"/>
  <c r="AH24" i="3"/>
  <c r="AG24" i="3"/>
  <c r="AS23" i="3"/>
  <c r="AH23" i="3"/>
  <c r="AG23" i="3"/>
  <c r="AS22" i="3"/>
  <c r="AH22" i="3"/>
  <c r="AG22" i="3"/>
  <c r="AS21" i="3"/>
  <c r="AH21" i="3"/>
  <c r="AG21" i="3"/>
  <c r="AS20" i="3"/>
  <c r="AH20" i="3"/>
  <c r="AG20" i="3"/>
  <c r="AS19" i="3"/>
  <c r="AH19" i="3"/>
  <c r="AG19" i="3"/>
  <c r="AS18" i="3"/>
  <c r="AH18" i="3"/>
  <c r="AG18" i="3"/>
  <c r="AS17" i="3"/>
  <c r="AH17" i="3"/>
  <c r="AG17" i="3"/>
  <c r="AS16" i="3"/>
  <c r="AH16" i="3"/>
  <c r="AG16" i="3"/>
  <c r="AS15" i="3"/>
  <c r="AH15" i="3"/>
  <c r="AG15" i="3"/>
  <c r="AS14" i="3"/>
  <c r="AH14" i="3"/>
  <c r="AG14" i="3"/>
  <c r="AS13" i="3"/>
  <c r="AH13" i="3"/>
  <c r="AG13" i="3"/>
  <c r="AK8" i="3"/>
  <c r="AK6" i="3"/>
  <c r="I13" i="3"/>
  <c r="T35" i="3" l="1"/>
  <c r="AY35" i="3" s="1"/>
  <c r="D35" i="3"/>
  <c r="AI35" i="3" s="1"/>
  <c r="I35" i="3"/>
  <c r="AN35" i="3" s="1"/>
  <c r="Y35" i="3"/>
  <c r="BD35" i="3" s="1"/>
  <c r="P35" i="3"/>
  <c r="AU35" i="3" s="1"/>
  <c r="Y34" i="3"/>
  <c r="BD34" i="3" s="1"/>
  <c r="D34" i="3"/>
  <c r="AI34" i="3" s="1"/>
  <c r="P34" i="3"/>
  <c r="AU34" i="3" s="1"/>
  <c r="I34" i="3"/>
  <c r="AN34" i="3" s="1"/>
  <c r="T34" i="3"/>
  <c r="AY34" i="3" s="1"/>
  <c r="T33" i="3"/>
  <c r="AY33" i="3" s="1"/>
  <c r="Y33" i="3"/>
  <c r="BD33" i="3" s="1"/>
  <c r="P33" i="3"/>
  <c r="AU33" i="3" s="1"/>
  <c r="I33" i="3"/>
  <c r="AN33" i="3" s="1"/>
  <c r="D33" i="3"/>
  <c r="AI33" i="3" s="1"/>
  <c r="D32" i="3"/>
  <c r="AI32" i="3" s="1"/>
  <c r="I32" i="3"/>
  <c r="AN32" i="3" s="1"/>
  <c r="P32" i="3"/>
  <c r="AU32" i="3" s="1"/>
  <c r="Y32" i="3"/>
  <c r="BD32" i="3" s="1"/>
  <c r="T32" i="3"/>
  <c r="AY32" i="3" s="1"/>
  <c r="Y31" i="3"/>
  <c r="BD31" i="3" s="1"/>
  <c r="D31" i="3"/>
  <c r="AI31" i="3" s="1"/>
  <c r="I31" i="3"/>
  <c r="AN31" i="3" s="1"/>
  <c r="T31" i="3"/>
  <c r="AY31" i="3" s="1"/>
  <c r="P31" i="3"/>
  <c r="AU31" i="3" s="1"/>
  <c r="D30" i="3"/>
  <c r="AI30" i="3" s="1"/>
  <c r="P30" i="3"/>
  <c r="AU30" i="3" s="1"/>
  <c r="I30" i="3"/>
  <c r="AN30" i="3" s="1"/>
  <c r="Y30" i="3"/>
  <c r="BD30" i="3" s="1"/>
  <c r="T30" i="3"/>
  <c r="AY30" i="3" s="1"/>
  <c r="P29" i="3"/>
  <c r="AU29" i="3" s="1"/>
  <c r="D29" i="3"/>
  <c r="AI29" i="3" s="1"/>
  <c r="T29" i="3"/>
  <c r="AY29" i="3" s="1"/>
  <c r="I29" i="3"/>
  <c r="AN29" i="3" s="1"/>
  <c r="Y29" i="3"/>
  <c r="BD29" i="3" s="1"/>
  <c r="P28" i="3"/>
  <c r="AU28" i="3" s="1"/>
  <c r="T28" i="3"/>
  <c r="AY28" i="3" s="1"/>
  <c r="Y28" i="3"/>
  <c r="BD28" i="3" s="1"/>
  <c r="D28" i="3"/>
  <c r="AI28" i="3" s="1"/>
  <c r="I28" i="3"/>
  <c r="AN28" i="3" s="1"/>
  <c r="I27" i="3"/>
  <c r="AN27" i="3" s="1"/>
  <c r="P27" i="3"/>
  <c r="AU27" i="3" s="1"/>
  <c r="T27" i="3"/>
  <c r="AY27" i="3" s="1"/>
  <c r="D27" i="3"/>
  <c r="AI27" i="3" s="1"/>
  <c r="Y27" i="3"/>
  <c r="BD27" i="3" s="1"/>
  <c r="P26" i="3"/>
  <c r="AU26" i="3" s="1"/>
  <c r="Y26" i="3"/>
  <c r="BD26" i="3" s="1"/>
  <c r="T26" i="3"/>
  <c r="AY26" i="3" s="1"/>
  <c r="D26" i="3"/>
  <c r="AI26" i="3" s="1"/>
  <c r="I26" i="3"/>
  <c r="AN26" i="3" s="1"/>
  <c r="P25" i="3"/>
  <c r="AU25" i="3" s="1"/>
  <c r="I25" i="3"/>
  <c r="AN25" i="3" s="1"/>
  <c r="Y25" i="3"/>
  <c r="BD25" i="3" s="1"/>
  <c r="T25" i="3"/>
  <c r="AY25" i="3" s="1"/>
  <c r="D25" i="3"/>
  <c r="AI25" i="3" s="1"/>
  <c r="D24" i="3"/>
  <c r="AI24" i="3" s="1"/>
  <c r="P24" i="3"/>
  <c r="AU24" i="3" s="1"/>
  <c r="T24" i="3"/>
  <c r="AY24" i="3" s="1"/>
  <c r="I24" i="3"/>
  <c r="AN24" i="3" s="1"/>
  <c r="Y24" i="3"/>
  <c r="BD24" i="3" s="1"/>
  <c r="Y23" i="3"/>
  <c r="BD23" i="3" s="1"/>
  <c r="P23" i="3"/>
  <c r="AU23" i="3" s="1"/>
  <c r="T23" i="3"/>
  <c r="AY23" i="3" s="1"/>
  <c r="D23" i="3"/>
  <c r="AI23" i="3" s="1"/>
  <c r="I23" i="3"/>
  <c r="AN23" i="3" s="1"/>
  <c r="D22" i="3"/>
  <c r="AI22" i="3" s="1"/>
  <c r="I22" i="3"/>
  <c r="AN22" i="3" s="1"/>
  <c r="T22" i="3"/>
  <c r="AY22" i="3" s="1"/>
  <c r="P22" i="3"/>
  <c r="AU22" i="3" s="1"/>
  <c r="Y22" i="3"/>
  <c r="BD22" i="3" s="1"/>
  <c r="D21" i="3"/>
  <c r="AI21" i="3" s="1"/>
  <c r="P21" i="3"/>
  <c r="AU21" i="3" s="1"/>
  <c r="T21" i="3"/>
  <c r="AY21" i="3" s="1"/>
  <c r="I21" i="3"/>
  <c r="AN21" i="3" s="1"/>
  <c r="Y21" i="3"/>
  <c r="BD21" i="3" s="1"/>
  <c r="P20" i="3"/>
  <c r="AU20" i="3" s="1"/>
  <c r="Y20" i="3"/>
  <c r="BD20" i="3" s="1"/>
  <c r="T20" i="3"/>
  <c r="AY20" i="3" s="1"/>
  <c r="D20" i="3"/>
  <c r="AI20" i="3" s="1"/>
  <c r="I20" i="3"/>
  <c r="AN20" i="3" s="1"/>
  <c r="D19" i="3"/>
  <c r="AI19" i="3" s="1"/>
  <c r="I19" i="3"/>
  <c r="AN19" i="3" s="1"/>
  <c r="P19" i="3"/>
  <c r="AU19" i="3" s="1"/>
  <c r="T19" i="3"/>
  <c r="AY19" i="3" s="1"/>
  <c r="Y19" i="3"/>
  <c r="BD19" i="3" s="1"/>
  <c r="Y18" i="3"/>
  <c r="BD18" i="3" s="1"/>
  <c r="D18" i="3"/>
  <c r="AI18" i="3" s="1"/>
  <c r="I18" i="3"/>
  <c r="AN18" i="3" s="1"/>
  <c r="P18" i="3"/>
  <c r="AU18" i="3" s="1"/>
  <c r="T18" i="3"/>
  <c r="AY18" i="3" s="1"/>
  <c r="P17" i="3"/>
  <c r="AU17" i="3" s="1"/>
  <c r="T17" i="3"/>
  <c r="AY17" i="3" s="1"/>
  <c r="I17" i="3"/>
  <c r="AN17" i="3" s="1"/>
  <c r="Y17" i="3"/>
  <c r="BD17" i="3" s="1"/>
  <c r="D17" i="3"/>
  <c r="AI17" i="3" s="1"/>
  <c r="D16" i="3"/>
  <c r="AI16" i="3" s="1"/>
  <c r="I16" i="3"/>
  <c r="AN16" i="3" s="1"/>
  <c r="P16" i="3"/>
  <c r="AU16" i="3" s="1"/>
  <c r="D15" i="3"/>
  <c r="AI15" i="3" s="1"/>
  <c r="I15" i="3"/>
  <c r="AN15" i="3" s="1"/>
  <c r="T15" i="3"/>
  <c r="AY15" i="3" s="1"/>
  <c r="P15" i="3"/>
  <c r="AU15" i="3" s="1"/>
  <c r="P14" i="3"/>
  <c r="AU14" i="3" s="1"/>
  <c r="D14" i="3"/>
  <c r="AI14" i="3" s="1"/>
  <c r="I14" i="3"/>
  <c r="AN14" i="3" s="1"/>
  <c r="P13" i="3"/>
  <c r="AU13" i="3" s="1"/>
  <c r="D13" i="3"/>
  <c r="AI13" i="3" s="1"/>
  <c r="AN13" i="3"/>
  <c r="T16" i="3"/>
  <c r="T14" i="3"/>
  <c r="T13" i="3" l="1"/>
  <c r="AY13" i="3" s="1"/>
  <c r="G10" i="2"/>
  <c r="Y15" i="3"/>
  <c r="BD15" i="3" s="1"/>
  <c r="AY16" i="3"/>
  <c r="AY14" i="3"/>
  <c r="T36" i="3" l="1"/>
  <c r="D37" i="3" s="1"/>
  <c r="J10" i="2"/>
  <c r="E10" i="2" s="1"/>
  <c r="Y13" i="3"/>
  <c r="BD13" i="3" s="1"/>
  <c r="Y16" i="3"/>
  <c r="BD16" i="3" s="1"/>
  <c r="Y14" i="3"/>
  <c r="BD14" i="3" s="1"/>
  <c r="AY36" i="3"/>
  <c r="AI37" i="3" s="1"/>
  <c r="F10" i="3" l="1"/>
  <c r="AK10" i="3" s="1"/>
  <c r="BD36" i="3"/>
  <c r="AO37" i="3" s="1"/>
  <c r="Y36" i="3"/>
  <c r="J37" i="3" s="1"/>
</calcChain>
</file>

<file path=xl/sharedStrings.xml><?xml version="1.0" encoding="utf-8"?>
<sst xmlns="http://schemas.openxmlformats.org/spreadsheetml/2006/main" count="1855" uniqueCount="950">
  <si>
    <t>발급번호</t>
    <phoneticPr fontId="4" type="noConversion"/>
  </si>
  <si>
    <t>동광 통상 ㈜</t>
  </si>
  <si>
    <t>강서구 내발산동 318</t>
  </si>
  <si>
    <t>(02)989-9889</t>
  </si>
  <si>
    <t>조자룡</t>
  </si>
  <si>
    <t>품목코드</t>
    <phoneticPr fontId="4" type="noConversion"/>
  </si>
  <si>
    <t>월</t>
    <phoneticPr fontId="4" type="noConversion"/>
  </si>
  <si>
    <t>일</t>
    <phoneticPr fontId="4" type="noConversion"/>
  </si>
  <si>
    <t>품목</t>
    <phoneticPr fontId="4" type="noConversion"/>
  </si>
  <si>
    <t>포장 단위</t>
    <phoneticPr fontId="4" type="noConversion"/>
  </si>
  <si>
    <t>수량</t>
    <phoneticPr fontId="4" type="noConversion"/>
  </si>
  <si>
    <t>단가</t>
    <phoneticPr fontId="4" type="noConversion"/>
  </si>
  <si>
    <t>공급가액</t>
    <phoneticPr fontId="4" type="noConversion"/>
  </si>
  <si>
    <t>세액</t>
    <phoneticPr fontId="4" type="noConversion"/>
  </si>
  <si>
    <t>거 래 일 자</t>
    <phoneticPr fontId="4" type="noConversion"/>
  </si>
  <si>
    <t>거  래  명  세  표</t>
    <phoneticPr fontId="4" type="noConversion"/>
  </si>
  <si>
    <t>(공급받는자용)</t>
    <phoneticPr fontId="4" type="noConversion"/>
  </si>
  <si>
    <t>공급받는자</t>
    <phoneticPr fontId="4" type="noConversion"/>
  </si>
  <si>
    <t>상     호
(법인명)</t>
    <phoneticPr fontId="4" type="noConversion"/>
  </si>
  <si>
    <t>귀하</t>
    <phoneticPr fontId="4" type="noConversion"/>
  </si>
  <si>
    <t>공 급 자</t>
    <phoneticPr fontId="4" type="noConversion"/>
  </si>
  <si>
    <t>등록번호</t>
  </si>
  <si>
    <t>사 업 장</t>
  </si>
  <si>
    <t>상     호</t>
  </si>
  <si>
    <t>성명</t>
  </si>
  <si>
    <t>주     소</t>
  </si>
  <si>
    <t>(법인명)</t>
  </si>
  <si>
    <t>전화번호</t>
    <phoneticPr fontId="4" type="noConversion"/>
  </si>
  <si>
    <t>합계금액</t>
    <phoneticPr fontId="4" type="noConversion"/>
  </si>
  <si>
    <t>전   화</t>
    <phoneticPr fontId="4" type="noConversion"/>
  </si>
  <si>
    <t>팩스</t>
    <phoneticPr fontId="4" type="noConversion"/>
  </si>
  <si>
    <t>월</t>
  </si>
  <si>
    <t>일</t>
  </si>
  <si>
    <t>품          목</t>
  </si>
  <si>
    <t>포장단위</t>
    <phoneticPr fontId="4" type="noConversion"/>
  </si>
  <si>
    <t>수 량</t>
    <phoneticPr fontId="4" type="noConversion"/>
  </si>
  <si>
    <t>단   가</t>
    <phoneticPr fontId="4" type="noConversion"/>
  </si>
  <si>
    <t>공 급 가 액</t>
    <phoneticPr fontId="4" type="noConversion"/>
  </si>
  <si>
    <t>세   액</t>
    <phoneticPr fontId="4" type="noConversion"/>
  </si>
  <si>
    <t>비고</t>
  </si>
  <si>
    <t>합        계</t>
    <phoneticPr fontId="4" type="noConversion"/>
  </si>
  <si>
    <t>공급
가액</t>
    <phoneticPr fontId="4" type="noConversion"/>
  </si>
  <si>
    <t>세액</t>
    <phoneticPr fontId="4" type="noConversion"/>
  </si>
  <si>
    <t>합계
금액</t>
    <phoneticPr fontId="4" type="noConversion"/>
  </si>
  <si>
    <t>미수금</t>
    <phoneticPr fontId="4" type="noConversion"/>
  </si>
  <si>
    <t>인수자</t>
    <phoneticPr fontId="4" type="noConversion"/>
  </si>
  <si>
    <t>거 래 일 자</t>
    <phoneticPr fontId="4" type="noConversion"/>
  </si>
  <si>
    <t>거  래  명  세  표</t>
    <phoneticPr fontId="4" type="noConversion"/>
  </si>
  <si>
    <t>공 급 자</t>
    <phoneticPr fontId="4" type="noConversion"/>
  </si>
  <si>
    <t>거래명세서 발급대장</t>
    <phoneticPr fontId="1" type="noConversion"/>
  </si>
  <si>
    <t>발급번호</t>
    <phoneticPr fontId="1" type="noConversion"/>
  </si>
  <si>
    <t>인수자</t>
    <phoneticPr fontId="1" type="noConversion"/>
  </si>
  <si>
    <t>작성일</t>
    <phoneticPr fontId="1" type="noConversion"/>
  </si>
  <si>
    <t>구재석</t>
  </si>
  <si>
    <t>손미선</t>
  </si>
  <si>
    <t>거래명세서 상세 내역</t>
    <phoneticPr fontId="1" type="noConversion"/>
  </si>
  <si>
    <t>품목코드</t>
    <phoneticPr fontId="1" type="noConversion"/>
  </si>
  <si>
    <t>월</t>
    <phoneticPr fontId="1" type="noConversion"/>
  </si>
  <si>
    <t>일</t>
    <phoneticPr fontId="1" type="noConversion"/>
  </si>
  <si>
    <t>수량</t>
    <phoneticPr fontId="1" type="noConversion"/>
  </si>
  <si>
    <t>P0073</t>
  </si>
  <si>
    <t>P0076</t>
  </si>
  <si>
    <t>P0010</t>
  </si>
  <si>
    <t>P0040</t>
  </si>
  <si>
    <t>P0001</t>
  </si>
  <si>
    <t>P0003</t>
  </si>
  <si>
    <t>P0006</t>
  </si>
  <si>
    <t>제품목록</t>
    <phoneticPr fontId="1" type="noConversion"/>
  </si>
  <si>
    <t>품목</t>
    <phoneticPr fontId="1" type="noConversion"/>
  </si>
  <si>
    <t>공급업체</t>
  </si>
  <si>
    <t>제품 분류</t>
  </si>
  <si>
    <t>포장 단위</t>
  </si>
  <si>
    <t>단가</t>
  </si>
  <si>
    <t>태양 100% 오렌지 주스</t>
  </si>
  <si>
    <t>서울 무역</t>
  </si>
  <si>
    <t>유제품</t>
  </si>
  <si>
    <t>10 boxes x 20 bags</t>
  </si>
  <si>
    <t>P0002</t>
  </si>
  <si>
    <t>태양 100% 레몬 주스</t>
  </si>
  <si>
    <t>태양 식품</t>
  </si>
  <si>
    <t>음료</t>
  </si>
  <si>
    <t>24 - 12 oz bottles</t>
  </si>
  <si>
    <t>태양 체리 시럽</t>
  </si>
  <si>
    <t>조미료</t>
  </si>
  <si>
    <t>12 - 550 ml bottles</t>
  </si>
  <si>
    <t>P0004</t>
  </si>
  <si>
    <t>신한 100% 복숭아 시럽</t>
  </si>
  <si>
    <t>신한 식품</t>
  </si>
  <si>
    <t>48 - 6 oz jars</t>
  </si>
  <si>
    <t>P0005</t>
  </si>
  <si>
    <t>신한 100% 파인애플 시럽</t>
  </si>
  <si>
    <t>36 boxes</t>
  </si>
  <si>
    <t>대양 특선 블루베리 잼</t>
  </si>
  <si>
    <t>대양 농산</t>
  </si>
  <si>
    <t>12 - 8 oz jars</t>
  </si>
  <si>
    <t>P0007</t>
  </si>
  <si>
    <t>대양 특선 건과(배)</t>
  </si>
  <si>
    <t>가공 식품</t>
  </si>
  <si>
    <t>12 - 1 lb pkgs.</t>
  </si>
  <si>
    <t>P0008</t>
  </si>
  <si>
    <t>대양 특선 딸기 소스</t>
  </si>
  <si>
    <t>12 - 12 oz jars</t>
  </si>
  <si>
    <t>P0009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</si>
  <si>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</si>
  <si>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</si>
  <si>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</si>
  <si>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</si>
  <si>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</si>
  <si>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</si>
  <si>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P0011</t>
  </si>
  <si>
    <t>현진 커피 밀크</t>
  </si>
  <si>
    <t>현진 식품</t>
  </si>
  <si>
    <t>1 kg pkg.</t>
  </si>
  <si>
    <t>P0012</t>
  </si>
  <si>
    <t>현진 바닐라 엣센스</t>
  </si>
  <si>
    <t>10 - 500 g pkgs.</t>
  </si>
  <si>
    <t>P0013</t>
  </si>
  <si>
    <t>유미 돌김</t>
  </si>
  <si>
    <t>유미 식품</t>
  </si>
  <si>
    <t>2 kg box</t>
  </si>
  <si>
    <t>P0014</t>
  </si>
  <si>
    <t>유미 건조 다시마</t>
  </si>
  <si>
    <t>40 - 100 g pkgs.</t>
  </si>
  <si>
    <t>P0015</t>
  </si>
  <si>
    <t>유미 간장</t>
  </si>
  <si>
    <t>24 - 250 ml bottles</t>
  </si>
  <si>
    <t>P0016</t>
  </si>
  <si>
    <t>파블로바 피넛 스프레드</t>
  </si>
  <si>
    <t>대륙 교역</t>
  </si>
  <si>
    <t>과자류</t>
  </si>
  <si>
    <t>32 - 500 g boxes</t>
  </si>
  <si>
    <t>P0017</t>
  </si>
  <si>
    <t>앨리스 포장육</t>
  </si>
  <si>
    <t>20 - 1 kg tins</t>
  </si>
  <si>
    <t>P0018</t>
  </si>
  <si>
    <t>대륙 냉동 참치</t>
  </si>
  <si>
    <t>16 kg pkg.</t>
  </si>
  <si>
    <t>P0019</t>
  </si>
  <si>
    <t>신한 초콜릿 소스</t>
  </si>
  <si>
    <t>미미 제과</t>
  </si>
  <si>
    <t>10 boxes x 12 pieces</t>
  </si>
  <si>
    <t>P0020</t>
  </si>
  <si>
    <t>대양 마말레이드</t>
  </si>
  <si>
    <t>30 gift boxes</t>
  </si>
  <si>
    <t>P0021</t>
  </si>
  <si>
    <t>대양 핫 케이크 소스</t>
  </si>
  <si>
    <t>24 pkgs. x 4 pieces</t>
  </si>
  <si>
    <t>P0022</t>
  </si>
  <si>
    <t>신성 시리얼</t>
  </si>
  <si>
    <t>신성 곡물</t>
  </si>
  <si>
    <t>곡류</t>
  </si>
  <si>
    <t>24 - 500 g pkgs.</t>
  </si>
  <si>
    <t>P0023</t>
  </si>
  <si>
    <t>신성 쌀 튀김 과자</t>
  </si>
  <si>
    <t>12 - 250 g pkgs.</t>
  </si>
  <si>
    <t>P0024</t>
  </si>
  <si>
    <t>삼화 콜라</t>
  </si>
  <si>
    <t>삼화 음료</t>
  </si>
  <si>
    <t>12 - 355 ml cans</t>
  </si>
  <si>
    <t>P0025</t>
  </si>
  <si>
    <t>우미 특선 레몬 파이</t>
  </si>
  <si>
    <t>우미 제과</t>
  </si>
  <si>
    <t>20 - 450 g glasses</t>
  </si>
  <si>
    <t>P0026</t>
  </si>
  <si>
    <t>우미 코코넛 쿠키</t>
  </si>
  <si>
    <t>100 - 250 g bags</t>
  </si>
  <si>
    <t>P0027</t>
  </si>
  <si>
    <t>우미 피넛 샌드</t>
  </si>
  <si>
    <t>100 - 100 g pieces</t>
  </si>
  <si>
    <t>P0028</t>
  </si>
  <si>
    <t>알파 특선 튀김 다시마</t>
  </si>
  <si>
    <t>알파 식품</t>
  </si>
  <si>
    <t>25 - 825 g cans</t>
  </si>
  <si>
    <t>P0029</t>
  </si>
  <si>
    <t>알파 왕갈비 훈제육</t>
  </si>
  <si>
    <t>50 bags x 30 sausgs.</t>
  </si>
  <si>
    <t>P0030</t>
  </si>
  <si>
    <t>태평양 포장 파래</t>
  </si>
  <si>
    <t>태평양 수산</t>
  </si>
  <si>
    <t>10 - 200 g glasses</t>
  </si>
  <si>
    <t>P0031</t>
  </si>
  <si>
    <t>대관령 바닐라 아이스크림</t>
  </si>
  <si>
    <t>대관령 유업</t>
  </si>
  <si>
    <t>12 - 100 g pkgs</t>
  </si>
  <si>
    <t>P0032</t>
  </si>
  <si>
    <t>대관령 초콜릿 아이스크림</t>
  </si>
  <si>
    <t>24 - 200 g pkgs.</t>
  </si>
  <si>
    <t>P0033</t>
  </si>
  <si>
    <t>한라 멜론 아이스크림</t>
  </si>
  <si>
    <t>한라 유업</t>
  </si>
  <si>
    <t>500 g</t>
  </si>
  <si>
    <t>P0034</t>
  </si>
  <si>
    <t>태일 라이트 맥주</t>
  </si>
  <si>
    <t>태일 양조</t>
  </si>
  <si>
    <t>P0035</t>
  </si>
  <si>
    <t>태일 적포도주</t>
  </si>
  <si>
    <t>P0036</t>
  </si>
  <si>
    <t>특제 굴 통조림</t>
  </si>
  <si>
    <t>원양 수산</t>
  </si>
  <si>
    <t>24 - 250 g  jars</t>
  </si>
  <si>
    <t>P0037</t>
  </si>
  <si>
    <t>포장 건 오징어</t>
  </si>
  <si>
    <t>12 - 500 g pkgs.</t>
  </si>
  <si>
    <t>P0038</t>
  </si>
  <si>
    <t>OK 체리 셰이크</t>
  </si>
  <si>
    <t>OK 유업</t>
  </si>
  <si>
    <t>12 - 75 cl bottles</t>
  </si>
  <si>
    <t>P0039</t>
  </si>
  <si>
    <t>OK 바닐라 셰이크</t>
  </si>
  <si>
    <t>750 cc per bottle</t>
  </si>
  <si>
    <t>보스톤산 게살 통조림</t>
  </si>
  <si>
    <t>금호 수산</t>
  </si>
  <si>
    <t>24 - 4 oz tins</t>
  </si>
  <si>
    <t>P0041</t>
  </si>
  <si>
    <t>훈제 대합조개 통조림</t>
  </si>
  <si>
    <t>12 - 12 oz cans</t>
  </si>
  <si>
    <t>P0042</t>
  </si>
  <si>
    <t>싱가폴 원산 옥수수</t>
  </si>
  <si>
    <t>델타 무역</t>
  </si>
  <si>
    <t>32 - 1 kg pkgs.</t>
  </si>
  <si>
    <t>P0043</t>
  </si>
  <si>
    <t>콜롬비아산 원두커피</t>
  </si>
  <si>
    <t>16 - 500 g tins</t>
  </si>
  <si>
    <t>P0044</t>
  </si>
  <si>
    <t>델타 청정 생강즙</t>
  </si>
  <si>
    <t>20 - 2 kg bags</t>
  </si>
  <si>
    <t>P0045</t>
  </si>
  <si>
    <t>버뮤다 포장 문어</t>
  </si>
  <si>
    <t>버뮤다 수산</t>
  </si>
  <si>
    <t>1k pkg.</t>
  </si>
  <si>
    <t>P0046</t>
  </si>
  <si>
    <t>버뮤다 포장 참치</t>
  </si>
  <si>
    <t>4 - 450 g glasses</t>
  </si>
  <si>
    <t>P0047</t>
  </si>
  <si>
    <t>진미 바닐라 쿠키</t>
  </si>
  <si>
    <t>진미 식품</t>
  </si>
  <si>
    <t>10 - 4 oz boxes</t>
  </si>
  <si>
    <t>P0048</t>
  </si>
  <si>
    <t>진미 트로피컬 캔디</t>
  </si>
  <si>
    <t>10 pkgs.</t>
  </si>
  <si>
    <t>P0049</t>
  </si>
  <si>
    <t>미왕 계피 캔디</t>
  </si>
  <si>
    <t>미왕 식품</t>
  </si>
  <si>
    <t>24 - 50 g pkgs.</t>
  </si>
  <si>
    <t>P0050</t>
  </si>
  <si>
    <t>미왕 코코아 샌드</t>
  </si>
  <si>
    <t>12 - 100 g bars</t>
  </si>
  <si>
    <t>P0051</t>
  </si>
  <si>
    <t>유림 사과 통조림</t>
  </si>
  <si>
    <t>유림 농산</t>
  </si>
  <si>
    <t>50 - 300 g pkgs.</t>
  </si>
  <si>
    <t>P0052</t>
  </si>
  <si>
    <t>필로 믹스</t>
  </si>
  <si>
    <t>16 - 2 kg boxes</t>
  </si>
  <si>
    <t>P0053</t>
  </si>
  <si>
    <t>파스 페이스 티</t>
  </si>
  <si>
    <t>48 pieces</t>
  </si>
  <si>
    <t>P0054</t>
  </si>
  <si>
    <t>한림 훈제 통닭</t>
  </si>
  <si>
    <t>한림 낙농</t>
  </si>
  <si>
    <t>16 pies</t>
  </si>
  <si>
    <t>P0055</t>
  </si>
  <si>
    <t>한림 특선 양념 칠면조</t>
  </si>
  <si>
    <t>24 boxes x 2 pies</t>
  </si>
  <si>
    <t>P0056</t>
  </si>
  <si>
    <t>한성 옥수수 가루</t>
  </si>
  <si>
    <t>한성 제분</t>
  </si>
  <si>
    <t>24 - 250 g pkgs.</t>
  </si>
  <si>
    <t>P0057</t>
  </si>
  <si>
    <t>한성 통밀가루</t>
  </si>
  <si>
    <t>P0058</t>
  </si>
  <si>
    <t>대성 어묵</t>
  </si>
  <si>
    <t>대성 육가공</t>
  </si>
  <si>
    <t>24 pieces</t>
  </si>
  <si>
    <t>P0059</t>
  </si>
  <si>
    <t>대일 포장 치즈</t>
  </si>
  <si>
    <t>대일 유업</t>
  </si>
  <si>
    <t>5 kg pkg.</t>
  </si>
  <si>
    <t>P0060</t>
  </si>
  <si>
    <t>대일 파메쌍 치즈</t>
  </si>
  <si>
    <t>15 - 300 g rounds</t>
  </si>
  <si>
    <t>P0061</t>
  </si>
  <si>
    <t>사계절 핫 소스</t>
  </si>
  <si>
    <t>사계절 식품</t>
  </si>
  <si>
    <t>24 - 500 ml bottles</t>
  </si>
  <si>
    <t>P0062</t>
  </si>
  <si>
    <t>사계절 커스터드 파이</t>
  </si>
  <si>
    <t>48 pies</t>
  </si>
  <si>
    <t>P0063</t>
  </si>
  <si>
    <t>대륙 사과 식초</t>
  </si>
  <si>
    <t>15 - 625 g jars</t>
  </si>
  <si>
    <t>P0064</t>
  </si>
  <si>
    <t>알파 콘 플레이크</t>
  </si>
  <si>
    <t>20 bags x 4 pieces</t>
  </si>
  <si>
    <t>P0065</t>
  </si>
  <si>
    <t>루이지애나 특산 후추</t>
  </si>
  <si>
    <t>32 - 8 oz bottles</t>
  </si>
  <si>
    <t>P0066</t>
  </si>
  <si>
    <t>유미 멸치 가루</t>
  </si>
  <si>
    <t>24 - 8 oz jars</t>
  </si>
  <si>
    <t>P0067</t>
  </si>
  <si>
    <t>태일 브랜디</t>
  </si>
  <si>
    <t>P0068</t>
  </si>
  <si>
    <t>미미 스카치 캔디</t>
  </si>
  <si>
    <t>10 boxes x 8 pieces</t>
  </si>
  <si>
    <t>P0069</t>
  </si>
  <si>
    <t>한라 분유</t>
  </si>
  <si>
    <t>10 kg pkg.</t>
  </si>
  <si>
    <t>P0070</t>
  </si>
  <si>
    <t>트로피컬 칵테일</t>
  </si>
  <si>
    <t>24 - 355 ml bottles</t>
  </si>
  <si>
    <t>P0071</t>
  </si>
  <si>
    <t>한라 연유</t>
  </si>
  <si>
    <t>P0072</t>
  </si>
  <si>
    <t>대관령 특제 버터</t>
  </si>
  <si>
    <t>원양 순 상어알</t>
  </si>
  <si>
    <t>24 - 150 g jars</t>
  </si>
  <si>
    <t>P0074</t>
  </si>
  <si>
    <t>서울 구이 김</t>
  </si>
  <si>
    <t>P0075</t>
  </si>
  <si>
    <t>알파인 맥주</t>
  </si>
  <si>
    <t>24 - 0.5 l bottles</t>
  </si>
  <si>
    <t>미왕 초콜릿 드링크</t>
  </si>
  <si>
    <t>500 ml</t>
  </si>
  <si>
    <t>P0077</t>
  </si>
  <si>
    <t>알파 샐러드 드레싱</t>
  </si>
  <si>
    <t>12 boxes</t>
  </si>
  <si>
    <t>상호</t>
  </si>
  <si>
    <t>담당자</t>
  </si>
  <si>
    <t>주소</t>
  </si>
  <si>
    <t>팩스</t>
  </si>
  <si>
    <t>신영상사 ㈜</t>
  </si>
  <si>
    <t>한석규</t>
  </si>
  <si>
    <t>가장동 78-3</t>
  </si>
  <si>
    <t>상주시</t>
  </si>
  <si>
    <t>(051)575-5776</t>
  </si>
  <si>
    <t>(051)575-5876</t>
  </si>
  <si>
    <t>원창 ㈜</t>
  </si>
  <si>
    <t>황영순</t>
  </si>
  <si>
    <t>서초구 방배동 883-11</t>
  </si>
  <si>
    <t>서울특별시</t>
  </si>
  <si>
    <t>(02)681-6889</t>
  </si>
  <si>
    <t>(02)681-6869</t>
  </si>
  <si>
    <t>(02)989-9489</t>
  </si>
  <si>
    <t>경성 트레이딩 ㈜</t>
  </si>
  <si>
    <t>남구 연수동 208-16</t>
  </si>
  <si>
    <t>인천광역시</t>
  </si>
  <si>
    <t>(031)76-4568</t>
  </si>
  <si>
    <t>(031)76-4768</t>
  </si>
  <si>
    <t>정금 상사 ㈜</t>
  </si>
  <si>
    <t>최영희</t>
  </si>
  <si>
    <t>서구 도마동 110-6</t>
  </si>
  <si>
    <t>대전광역시</t>
  </si>
  <si>
    <t>(041)92-3778</t>
  </si>
  <si>
    <t>(041)92-3878</t>
  </si>
  <si>
    <t>협우 상사 ㈜</t>
  </si>
  <si>
    <t>서대문구 남가좌 1동 121</t>
  </si>
  <si>
    <t>(02)211-1234</t>
  </si>
  <si>
    <t>(02)211-1834</t>
  </si>
  <si>
    <t>베네디스 유통 ㈜</t>
  </si>
  <si>
    <t>장선희</t>
  </si>
  <si>
    <t>영등포구 당산동 3가 16</t>
  </si>
  <si>
    <t>(02)111-2954</t>
  </si>
  <si>
    <t>(02)111-2054</t>
  </si>
  <si>
    <t>삼화 상사 ㈜</t>
  </si>
  <si>
    <t>정영일</t>
  </si>
  <si>
    <t>부산진구 당감 3동 611-3</t>
  </si>
  <si>
    <t>부산광역시</t>
  </si>
  <si>
    <t>(051)4-1945</t>
  </si>
  <si>
    <t>(051)4-1925</t>
  </si>
  <si>
    <t>서주 무역 ㈜</t>
  </si>
  <si>
    <t>문익한</t>
  </si>
  <si>
    <t>용산구 갈월동 116-7</t>
  </si>
  <si>
    <t>(02)497-4896</t>
  </si>
  <si>
    <t>(02)497-4596</t>
  </si>
  <si>
    <t>태강 교역 ㈜</t>
  </si>
  <si>
    <t>문흥미</t>
  </si>
  <si>
    <t>사하구 신평동 701-29</t>
  </si>
  <si>
    <t>(051)45-9483</t>
  </si>
  <si>
    <t>(051)45-9473</t>
  </si>
  <si>
    <t>월드 링크 ㈜</t>
  </si>
  <si>
    <t>이강주</t>
  </si>
  <si>
    <t>구산동 17-111</t>
  </si>
  <si>
    <t>김해시</t>
  </si>
  <si>
    <t>(051)342-3333</t>
  </si>
  <si>
    <t>(051)342-3303</t>
  </si>
  <si>
    <t>혜성 백화점 ㈜</t>
  </si>
  <si>
    <t>박광준</t>
  </si>
  <si>
    <t>강남구 대치동 315-11</t>
  </si>
  <si>
    <t>(02)43-4486</t>
  </si>
  <si>
    <t>(02)43-4481</t>
  </si>
  <si>
    <t>진주 백화점 ㈜</t>
  </si>
  <si>
    <t>홍성주</t>
  </si>
  <si>
    <t>남동구 간석 3동 270-8</t>
  </si>
  <si>
    <t>(031)44-3687</t>
  </si>
  <si>
    <t>(031)44-3467</t>
  </si>
  <si>
    <t>동남 상사 ㈜</t>
  </si>
  <si>
    <t>강태준</t>
  </si>
  <si>
    <t>강남구 청담동 115</t>
  </si>
  <si>
    <t>(02)134-5897</t>
  </si>
  <si>
    <t>(02)134-5807</t>
  </si>
  <si>
    <t>대진 상사 ㈜</t>
  </si>
  <si>
    <t>천용만</t>
  </si>
  <si>
    <t>노원구 공릉동 178</t>
  </si>
  <si>
    <t>(02)878-9174</t>
  </si>
  <si>
    <t>(02)878-9274</t>
  </si>
  <si>
    <t>ITM ㈜</t>
  </si>
  <si>
    <t>남궁익선</t>
  </si>
  <si>
    <t>소하동 11-3</t>
  </si>
  <si>
    <t>광명시</t>
  </si>
  <si>
    <t>(02)489-9184</t>
  </si>
  <si>
    <t>(02)489-9164</t>
  </si>
  <si>
    <t>극동 무역 ㈜</t>
  </si>
  <si>
    <t>강민수</t>
  </si>
  <si>
    <t>송파구 잠실동 220</t>
  </si>
  <si>
    <t>(02)978-1984</t>
  </si>
  <si>
    <t>(02)978-1914</t>
  </si>
  <si>
    <t>양정 물산 ㈜</t>
  </si>
  <si>
    <t>주진국</t>
  </si>
  <si>
    <t>강동구 성내동 143</t>
  </si>
  <si>
    <t>(02)444-2971</t>
  </si>
  <si>
    <t>(02)444-2271</t>
  </si>
  <si>
    <t>성신 교역 ㈜</t>
  </si>
  <si>
    <t>성병재</t>
  </si>
  <si>
    <t>무릉동 171-3</t>
  </si>
  <si>
    <t>공주시</t>
  </si>
  <si>
    <t>(041)487-4971</t>
  </si>
  <si>
    <t>신세계 통상 ㈜</t>
  </si>
  <si>
    <t>강세라</t>
  </si>
  <si>
    <t>중구 도원동 507-16</t>
  </si>
  <si>
    <t>(031)21-9284</t>
  </si>
  <si>
    <t>(031)21-9584</t>
  </si>
  <si>
    <t>삼일 ㈜</t>
  </si>
  <si>
    <t>손미순</t>
  </si>
  <si>
    <t>마포구 공덕 1동 81</t>
  </si>
  <si>
    <t>(02)866-6667</t>
  </si>
  <si>
    <t>(02)846-6667</t>
  </si>
  <si>
    <t>세주 상사 ㈜</t>
  </si>
  <si>
    <t>유영주</t>
  </si>
  <si>
    <t>동구 마산동 250-1</t>
  </si>
  <si>
    <t>(041)33-3433</t>
  </si>
  <si>
    <t>(041)37-3433</t>
  </si>
  <si>
    <t>한일 상사 ㈜</t>
  </si>
  <si>
    <t>강판석</t>
  </si>
  <si>
    <t>양천구신월 3동 67-18</t>
  </si>
  <si>
    <t>(02)211-3421</t>
  </si>
  <si>
    <t>유미 백화점 ㈜</t>
  </si>
  <si>
    <t>최재경</t>
  </si>
  <si>
    <t>중앙동 427-10</t>
  </si>
  <si>
    <t>과천시</t>
  </si>
  <si>
    <t>(02)768-7688</t>
  </si>
  <si>
    <t>(02)768-7678</t>
  </si>
  <si>
    <t>진흥 ㈜</t>
  </si>
  <si>
    <t>성현아</t>
  </si>
  <si>
    <t>성북구 길음동 136-11</t>
  </si>
  <si>
    <t>(02)123-0345</t>
  </si>
  <si>
    <t>(02)127-0345</t>
  </si>
  <si>
    <t>미림 백화점 ㈜</t>
  </si>
  <si>
    <t>이혜준</t>
  </si>
  <si>
    <t>수택동 435</t>
  </si>
  <si>
    <t>구리시</t>
  </si>
  <si>
    <t>(031)56-2091</t>
  </si>
  <si>
    <t>한미 교역 ㈜</t>
  </si>
  <si>
    <t>정영순</t>
  </si>
  <si>
    <t>동작구 대방동 36-8</t>
  </si>
  <si>
    <t>(02)211-2221</t>
  </si>
  <si>
    <t>(02)211-2225</t>
  </si>
  <si>
    <t>오성 통상 ㈜</t>
  </si>
  <si>
    <t>오민수</t>
  </si>
  <si>
    <t>갈현동 232-8</t>
  </si>
  <si>
    <t>(02)421-9238</t>
  </si>
  <si>
    <t>(02)421-5238</t>
  </si>
  <si>
    <t>광성 교역 ㈜</t>
  </si>
  <si>
    <t>김혜린</t>
  </si>
  <si>
    <t>도봉구 방학 3동 18</t>
  </si>
  <si>
    <t>(02)892-4921</t>
  </si>
  <si>
    <t>(02)892-7921</t>
  </si>
  <si>
    <t>한미 식품 ㈜</t>
  </si>
  <si>
    <t>김윤중</t>
  </si>
  <si>
    <t>중구 광희동 1가 188-3</t>
  </si>
  <si>
    <t>(02)545-8911</t>
  </si>
  <si>
    <t>(02)545-2911</t>
  </si>
  <si>
    <t>동양 무역 ㈜</t>
  </si>
  <si>
    <t>한빈</t>
  </si>
  <si>
    <t>태평 3동 120-1</t>
  </si>
  <si>
    <t>성남시</t>
  </si>
  <si>
    <t>(031)77-7778</t>
  </si>
  <si>
    <t>(031)77-7378</t>
  </si>
  <si>
    <t>캘리포니아 ㈜</t>
  </si>
  <si>
    <t>황보영국</t>
  </si>
  <si>
    <t>종로구 송현동 87-14</t>
  </si>
  <si>
    <t>(02)676-6766</t>
  </si>
  <si>
    <t>(02)676-6760</t>
  </si>
  <si>
    <t>동성 직배 ㈜</t>
  </si>
  <si>
    <t>마창진</t>
  </si>
  <si>
    <t>서대문구 북아현 3동 36-6</t>
  </si>
  <si>
    <t>(02)111-2302</t>
  </si>
  <si>
    <t>(02)111-2332</t>
  </si>
  <si>
    <t>YH 무역 ㈜</t>
  </si>
  <si>
    <t>유영철</t>
  </si>
  <si>
    <t>강제동 57-11</t>
  </si>
  <si>
    <t>제천시</t>
  </si>
  <si>
    <t>(041)110-2181</t>
  </si>
  <si>
    <t>(041)110-2111</t>
  </si>
  <si>
    <t>칠성 상사 ㈜</t>
  </si>
  <si>
    <t>이한일</t>
  </si>
  <si>
    <t>중앙로 3가 150-1</t>
  </si>
  <si>
    <t>춘천시</t>
  </si>
  <si>
    <t>(0361)39-1243</t>
  </si>
  <si>
    <t>(0361)39-1253</t>
  </si>
  <si>
    <t>아성 교역 ㈜</t>
  </si>
  <si>
    <t>김애란</t>
  </si>
  <si>
    <t>동작구 신대방동 10-6</t>
  </si>
  <si>
    <t>(02)444-1978</t>
  </si>
  <si>
    <t>(02)434-1978</t>
  </si>
  <si>
    <t>샤론 통상 ㈜</t>
  </si>
  <si>
    <t>노소연</t>
  </si>
  <si>
    <t>동구 범일 3동 14-1</t>
  </si>
  <si>
    <t>(051)20-1993</t>
  </si>
  <si>
    <t>(051)20-1998</t>
  </si>
  <si>
    <t>글로리아 백화점 ㈜</t>
  </si>
  <si>
    <t>황길호</t>
  </si>
  <si>
    <t>강남구 개포동 135-24</t>
  </si>
  <si>
    <t>(02)113-1111</t>
  </si>
  <si>
    <t>(02)413-1111</t>
  </si>
  <si>
    <t>신세기 상사 ㈜</t>
  </si>
  <si>
    <t>강경식</t>
  </si>
  <si>
    <t>서구가좌 1동 7</t>
  </si>
  <si>
    <t>(031)46-4565</t>
  </si>
  <si>
    <t>(032)46-4566</t>
  </si>
  <si>
    <t>세준 통상 ㈜</t>
  </si>
  <si>
    <t>신민경</t>
  </si>
  <si>
    <t>구로구 가리봉 1동 22-1</t>
  </si>
  <si>
    <t>(02)123-7981</t>
  </si>
  <si>
    <t>(02)123-7961</t>
  </si>
  <si>
    <t>조선 무역 ㈜</t>
  </si>
  <si>
    <t>이대욱</t>
  </si>
  <si>
    <t>동구 자양동 34-16</t>
  </si>
  <si>
    <t>(041)91-1295</t>
  </si>
  <si>
    <t>(041)91-1395</t>
  </si>
  <si>
    <t>성화 식품 ㈜</t>
  </si>
  <si>
    <t>정영진</t>
  </si>
  <si>
    <t>강서구 등촌동 106-3</t>
  </si>
  <si>
    <t>(02)894-1111</t>
  </si>
  <si>
    <t>(02)894-1671</t>
  </si>
  <si>
    <t>한성 백화점 ㈜</t>
  </si>
  <si>
    <t>강현수</t>
  </si>
  <si>
    <t>학성동 18</t>
  </si>
  <si>
    <t>원주시</t>
  </si>
  <si>
    <t>(031)78-1911</t>
  </si>
  <si>
    <t>(031)78-1311</t>
  </si>
  <si>
    <t>동방 무역 ㈜</t>
  </si>
  <si>
    <t>최한기</t>
  </si>
  <si>
    <t>마포구 대흥동 77-5</t>
  </si>
  <si>
    <t>(02)999-9938</t>
  </si>
  <si>
    <t>(02)999-5938</t>
  </si>
  <si>
    <t>대광 상사 ㈜</t>
  </si>
  <si>
    <t>민병철</t>
  </si>
  <si>
    <t>남동구 동춘동 78-6</t>
  </si>
  <si>
    <t>의정부시</t>
  </si>
  <si>
    <t>(031)66-2911</t>
  </si>
  <si>
    <t>(031)66-2211</t>
  </si>
  <si>
    <t>경동 무역 ㈜</t>
  </si>
  <si>
    <t>임홍삼</t>
  </si>
  <si>
    <t>중구 광희동 1가 100-41</t>
  </si>
  <si>
    <t>(02)232-9181</t>
  </si>
  <si>
    <t>(02)232-1181</t>
  </si>
  <si>
    <t>흑진주 백화점 ㈜</t>
  </si>
  <si>
    <t>황규하</t>
  </si>
  <si>
    <t>동작구 노량진 1동 71</t>
  </si>
  <si>
    <t>(02)668-1097</t>
  </si>
  <si>
    <t>(02)668-5097</t>
  </si>
  <si>
    <t>개성 트레이딩 ㈜</t>
  </si>
  <si>
    <t>마은성</t>
  </si>
  <si>
    <t>고잔동 16</t>
  </si>
  <si>
    <t>안산시</t>
  </si>
  <si>
    <t>(031)78-1110</t>
  </si>
  <si>
    <t>(031)78-1610</t>
  </si>
  <si>
    <t>성진 인터내셔널 ㈜</t>
  </si>
  <si>
    <t>이성화</t>
  </si>
  <si>
    <t>용산구 용문동 81-3</t>
  </si>
  <si>
    <t>(02)890-1109</t>
  </si>
  <si>
    <t>(02)890-1609</t>
  </si>
  <si>
    <t>HQ 무역 ㈜</t>
  </si>
  <si>
    <t>이영애</t>
  </si>
  <si>
    <t>생연 1동 416-1</t>
  </si>
  <si>
    <t>동두천시</t>
  </si>
  <si>
    <t>(031)89-1098</t>
  </si>
  <si>
    <t>(031)89-1398</t>
  </si>
  <si>
    <t>장미 백화점 ㈜</t>
  </si>
  <si>
    <t>정보진</t>
  </si>
  <si>
    <t>경현동 160</t>
  </si>
  <si>
    <t>나주시</t>
  </si>
  <si>
    <t>(06113450-3400</t>
  </si>
  <si>
    <t>(061)3450-3500</t>
  </si>
  <si>
    <t>신천지 통상 ㈜</t>
  </si>
  <si>
    <t>서예희</t>
  </si>
  <si>
    <t>종로구 송월동 101</t>
  </si>
  <si>
    <t>(02)402-1092</t>
  </si>
  <si>
    <t>(02)402-1062</t>
  </si>
  <si>
    <t>아틀란티스 통상 ㈜</t>
  </si>
  <si>
    <t>우순하</t>
  </si>
  <si>
    <t>양천구 신정 3동 241-16</t>
  </si>
  <si>
    <t>(02)901-8956</t>
  </si>
  <si>
    <t>(02)901-3956</t>
  </si>
  <si>
    <t>새롬 교역 ㈜</t>
  </si>
  <si>
    <t>서한성</t>
  </si>
  <si>
    <t>종로구 와룡동 336</t>
  </si>
  <si>
    <t>(02)907-1884</t>
  </si>
  <si>
    <t>(02)907-1874</t>
  </si>
  <si>
    <t>우주 상사 ㈜</t>
  </si>
  <si>
    <t>배준호</t>
  </si>
  <si>
    <t>도봉구 미아 7동 334-7</t>
  </si>
  <si>
    <t>(02)774-1290</t>
  </si>
  <si>
    <t>(02)774-1190</t>
  </si>
  <si>
    <t>삼선 무역 ㈜</t>
  </si>
  <si>
    <t>호계동 11</t>
  </si>
  <si>
    <t>안양시</t>
  </si>
  <si>
    <t>(031)88-1039</t>
  </si>
  <si>
    <t>(031)88-1539</t>
  </si>
  <si>
    <t>평화 상사 ㈜</t>
  </si>
  <si>
    <t>김필순</t>
  </si>
  <si>
    <t>송파구 잠실본동 150</t>
  </si>
  <si>
    <t>(02)109-2094</t>
  </si>
  <si>
    <t>(02)109-2056</t>
  </si>
  <si>
    <t>동도 교역 ㈜</t>
  </si>
  <si>
    <t>하사헌</t>
  </si>
  <si>
    <t>금정구 청룡동 168-14</t>
  </si>
  <si>
    <t>(051)12-1122</t>
  </si>
  <si>
    <t>(051)12-1322</t>
  </si>
  <si>
    <t>TGIF ㈜</t>
  </si>
  <si>
    <t>임정빈</t>
  </si>
  <si>
    <t>구로구 오류 1동 101</t>
  </si>
  <si>
    <t>(02)100--1000</t>
  </si>
  <si>
    <t>(02)100--1030</t>
  </si>
  <si>
    <t>동신 상사 ㈜</t>
  </si>
  <si>
    <t>최춘실</t>
  </si>
  <si>
    <t>덕진구 고랑동 290</t>
  </si>
  <si>
    <t>전주시</t>
  </si>
  <si>
    <t>(061)145-1895</t>
  </si>
  <si>
    <t>(061)145-1475</t>
  </si>
  <si>
    <t>게이트웨이 통상 ㈜</t>
  </si>
  <si>
    <t>전준호</t>
  </si>
  <si>
    <t>동구 신흥동 75-3</t>
  </si>
  <si>
    <t>(042)45-1093</t>
  </si>
  <si>
    <t>(042)45-1293</t>
  </si>
  <si>
    <t>사하라 통상 ㈜</t>
  </si>
  <si>
    <t>정가진</t>
  </si>
  <si>
    <t>중구 남산동 3가 43</t>
  </si>
  <si>
    <t>(02)764-7644</t>
  </si>
  <si>
    <t>(02)764-7664</t>
  </si>
  <si>
    <t>미성 백화점 ㈜</t>
  </si>
  <si>
    <t>호혜경</t>
  </si>
  <si>
    <t>서구 연희동 400-16</t>
  </si>
  <si>
    <t>(031)44-1114</t>
  </si>
  <si>
    <t>(031)44-1714</t>
  </si>
  <si>
    <t>스타 상사 ㈜</t>
  </si>
  <si>
    <t>황영남</t>
  </si>
  <si>
    <t>강서구 화곡 1동 77-3</t>
  </si>
  <si>
    <t>(02)342-1111</t>
  </si>
  <si>
    <t>(02)342-1611</t>
  </si>
  <si>
    <t>금강 ㈜</t>
  </si>
  <si>
    <t>장미자</t>
  </si>
  <si>
    <t>은행동 425-12</t>
  </si>
  <si>
    <t>시흥시</t>
  </si>
  <si>
    <t>(02)565-1901</t>
  </si>
  <si>
    <t>(02)565-1931</t>
  </si>
  <si>
    <t>정문 상사 ㈜</t>
  </si>
  <si>
    <t>김완순</t>
  </si>
  <si>
    <t>송파구 마천동 120</t>
  </si>
  <si>
    <t>(02)903-1908</t>
  </si>
  <si>
    <t>(02)903-1918</t>
  </si>
  <si>
    <t>크리스탈 교역 ㈜</t>
  </si>
  <si>
    <t>김찬진</t>
  </si>
  <si>
    <t>비전 1동 118-36</t>
  </si>
  <si>
    <t>평택시</t>
  </si>
  <si>
    <t>(031)45-1932</t>
  </si>
  <si>
    <t>(031)45-1732</t>
  </si>
  <si>
    <t>한남 상사 ㈜</t>
  </si>
  <si>
    <t>서태진</t>
  </si>
  <si>
    <t>서대문구 창천동 167-3</t>
  </si>
  <si>
    <t>(02)712-8931</t>
  </si>
  <si>
    <t>(02)712-9311</t>
  </si>
  <si>
    <t>백조 백화점 ㈜</t>
  </si>
  <si>
    <t>안재혁</t>
  </si>
  <si>
    <t>외삼미동 123-8</t>
  </si>
  <si>
    <t>오산시</t>
  </si>
  <si>
    <t>(031)56-9859</t>
  </si>
  <si>
    <t>(031)56-9858</t>
  </si>
  <si>
    <t>태흥 무역 ㈜</t>
  </si>
  <si>
    <t>김종설</t>
  </si>
  <si>
    <t>서대문구 미근동 11-7</t>
  </si>
  <si>
    <t>(02)108-1298</t>
  </si>
  <si>
    <t>(02)108-1198</t>
  </si>
  <si>
    <t>알프스 무역 ㈜</t>
  </si>
  <si>
    <t>조규현</t>
  </si>
  <si>
    <t>강정동 718-1</t>
  </si>
  <si>
    <t>서귀포시</t>
  </si>
  <si>
    <t>(061)77-2091</t>
  </si>
  <si>
    <t>(061)77-2071</t>
  </si>
  <si>
    <t>엘르 ㈜</t>
  </si>
  <si>
    <t>김명석</t>
  </si>
  <si>
    <t>동대문구 전농 1동 742-3</t>
  </si>
  <si>
    <t>(02)106-2841</t>
  </si>
  <si>
    <t>(02)106-2641</t>
  </si>
  <si>
    <t>은성 상사 ㈜</t>
  </si>
  <si>
    <t>허청일</t>
  </si>
  <si>
    <t>권선구 세류 3동 116</t>
  </si>
  <si>
    <t>수원시</t>
  </si>
  <si>
    <t>(031)56-1431</t>
  </si>
  <si>
    <t>(031)56-1331</t>
  </si>
  <si>
    <t>대성 교역 ㈜</t>
  </si>
  <si>
    <t>황영신</t>
  </si>
  <si>
    <t>서초구 방배본동 102-3</t>
  </si>
  <si>
    <t>(02)184-1484</t>
  </si>
  <si>
    <t>(02)184-1481</t>
  </si>
  <si>
    <t>세일 상사 ㈜</t>
  </si>
  <si>
    <t>김재균</t>
  </si>
  <si>
    <t>남구 소사 3동 146</t>
  </si>
  <si>
    <t>부천시</t>
  </si>
  <si>
    <t>(031)11-9438</t>
  </si>
  <si>
    <t>(031)11-1438</t>
  </si>
  <si>
    <t>삼양 상사 ㈜</t>
  </si>
  <si>
    <t>감성동</t>
  </si>
  <si>
    <t>용산구서빙고동 111-16</t>
  </si>
  <si>
    <t>(02)34-1984</t>
  </si>
  <si>
    <t>(02)34-6811</t>
  </si>
  <si>
    <t>신성 식품 ㈜</t>
  </si>
  <si>
    <t>김혜령</t>
  </si>
  <si>
    <t>남동구 간석동 264-11</t>
  </si>
  <si>
    <t>(031)45-1846</t>
  </si>
  <si>
    <t>(031)45-1876</t>
  </si>
  <si>
    <t>몽블랑 백화점 ㈜</t>
  </si>
  <si>
    <t>박찬희</t>
  </si>
  <si>
    <t>종로구 내자동 190-53</t>
  </si>
  <si>
    <t>(02)954-1397</t>
  </si>
  <si>
    <t>(02)954-1597</t>
  </si>
  <si>
    <t>산타페 ㈜</t>
  </si>
  <si>
    <t>박영아</t>
  </si>
  <si>
    <t>중구 원미 1동 120-16</t>
  </si>
  <si>
    <t>(031)110-1238</t>
  </si>
  <si>
    <t>(031)110-1638</t>
  </si>
  <si>
    <t>한진 교역 ㈜</t>
  </si>
  <si>
    <t>박민희</t>
  </si>
  <si>
    <t>양천구 신정 1동 1041-21</t>
  </si>
  <si>
    <t>(02)555-2933</t>
  </si>
  <si>
    <t>(02)555-2033</t>
  </si>
  <si>
    <t>국제 무역 ㈜</t>
  </si>
  <si>
    <t>심영국</t>
  </si>
  <si>
    <t>동작구 흑석 3동 140-3</t>
  </si>
  <si>
    <t>(02)345-1945</t>
  </si>
  <si>
    <t>(02)345-1645</t>
  </si>
  <si>
    <t>삼영 식품 ㈜</t>
  </si>
  <si>
    <t>배한석</t>
  </si>
  <si>
    <t>가학동 301</t>
  </si>
  <si>
    <t>(02)31-0345</t>
  </si>
  <si>
    <t>(02)31-0395</t>
  </si>
  <si>
    <t>천지 교역 ㈜</t>
  </si>
  <si>
    <t>한민정</t>
  </si>
  <si>
    <t>마포구 동교동 211-11</t>
  </si>
  <si>
    <t>(02)456-5667</t>
  </si>
  <si>
    <t>(02)456-5637</t>
  </si>
  <si>
    <t>삼왕 통상 ㈜</t>
  </si>
  <si>
    <t>최지한</t>
  </si>
  <si>
    <t>중구 답동 78</t>
  </si>
  <si>
    <t>(031)58-1984</t>
  </si>
  <si>
    <t>(031)58-1784</t>
  </si>
  <si>
    <t>해바라기 백화점 ㈜</t>
  </si>
  <si>
    <t>채송아</t>
  </si>
  <si>
    <t>도봉구 창 1동 218-16</t>
  </si>
  <si>
    <t>(02)222-2243</t>
  </si>
  <si>
    <t>(02)222-8243</t>
  </si>
  <si>
    <t>언더우드 상사 ㈜</t>
  </si>
  <si>
    <t>정승화</t>
  </si>
  <si>
    <t>강서구 오쇠동 124-7</t>
  </si>
  <si>
    <t>(02)132-3845</t>
  </si>
  <si>
    <t>(02)132-6845</t>
  </si>
  <si>
    <t>이화 무역 ㈜</t>
  </si>
  <si>
    <t>홍현아</t>
  </si>
  <si>
    <t>야탑동 77</t>
  </si>
  <si>
    <t>(031)57-1934</t>
  </si>
  <si>
    <t>(031)57-1834</t>
  </si>
  <si>
    <t>금화 유통 ㈜</t>
  </si>
  <si>
    <t>강미란</t>
  </si>
  <si>
    <t>부산진구 양정 1동 462-77</t>
  </si>
  <si>
    <t>(051)555-5111</t>
  </si>
  <si>
    <t>(051)555-5711</t>
  </si>
  <si>
    <t>신흥 교역 ㈜</t>
  </si>
  <si>
    <t>천동석</t>
  </si>
  <si>
    <t>동대문구 신설동 721-11</t>
  </si>
  <si>
    <t>(02)222-1113</t>
  </si>
  <si>
    <t>(02)222-1119</t>
  </si>
  <si>
    <t>미주 상사 ㈜</t>
  </si>
  <si>
    <t>박춘심</t>
  </si>
  <si>
    <t>용산구 동자동 181-7</t>
  </si>
  <si>
    <t>(02)112-4864</t>
  </si>
  <si>
    <t>(02)112-4869</t>
  </si>
  <si>
    <t>프랑소아 백화점 ㈜</t>
  </si>
  <si>
    <t>이화란</t>
  </si>
  <si>
    <t>건입동 111-16</t>
  </si>
  <si>
    <t>제주시</t>
  </si>
  <si>
    <t>(061)643-2871</t>
  </si>
  <si>
    <t>(061)643-2071</t>
  </si>
  <si>
    <t>고객코드</t>
    <phoneticPr fontId="1" type="noConversion"/>
  </si>
  <si>
    <t>전화번호</t>
    <phoneticPr fontId="1" type="noConversion"/>
  </si>
  <si>
    <t>도시</t>
    <phoneticPr fontId="1" type="noConversion"/>
  </si>
  <si>
    <t>1</t>
  </si>
  <si>
    <t>2</t>
  </si>
  <si>
    <t>3</t>
  </si>
  <si>
    <t>-</t>
  </si>
  <si>
    <t>4</t>
  </si>
  <si>
    <t>5</t>
  </si>
  <si>
    <t>6</t>
  </si>
  <si>
    <t>7</t>
  </si>
  <si>
    <t>8</t>
  </si>
  <si>
    <t>9</t>
  </si>
  <si>
    <t>0</t>
  </si>
  <si>
    <t>길벗 출판사</t>
  </si>
  <si>
    <t>이길벗</t>
  </si>
  <si>
    <t>서울시 마포구 서교동 380-15</t>
  </si>
  <si>
    <t>02-332-0931</t>
  </si>
  <si>
    <t>02-323-0586</t>
  </si>
  <si>
    <t>팩스</t>
    <phoneticPr fontId="4" type="noConversion"/>
  </si>
  <si>
    <t>(공급자용)</t>
    <phoneticPr fontId="4" type="noConversion"/>
  </si>
  <si>
    <t>합계</t>
    <phoneticPr fontId="1" type="noConversion"/>
  </si>
  <si>
    <t>고객 관리 대장</t>
    <phoneticPr fontId="4" type="noConversion"/>
  </si>
  <si>
    <t>고객코드</t>
    <phoneticPr fontId="4" type="noConversion"/>
  </si>
  <si>
    <t>고객사</t>
  </si>
  <si>
    <t>전화번호</t>
    <phoneticPr fontId="4" type="noConversion"/>
  </si>
  <si>
    <t>작성일</t>
    <phoneticPr fontId="4" type="noConversion"/>
  </si>
  <si>
    <t>인수자</t>
    <phoneticPr fontId="1" type="noConversion"/>
  </si>
  <si>
    <t>상호</t>
    <phoneticPr fontId="1" type="noConversion"/>
  </si>
  <si>
    <t>전화번호</t>
    <phoneticPr fontId="1" type="noConversion"/>
  </si>
  <si>
    <t>주소</t>
    <phoneticPr fontId="1" type="noConversion"/>
  </si>
  <si>
    <t>C0001</t>
    <phoneticPr fontId="1" type="noConversion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</si>
  <si>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</si>
  <si>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</si>
  <si>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</si>
  <si>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</si>
  <si>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</si>
  <si>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</si>
  <si>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</si>
  <si>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</si>
  <si>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</si>
  <si>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</si>
  <si>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</si>
  <si>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</si>
  <si>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</si>
  <si>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</si>
  <si>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</si>
  <si>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</si>
  <si>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</si>
  <si>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</si>
  <si>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</si>
  <si>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</si>
  <si>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</si>
  <si>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</si>
  <si>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</si>
  <si>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</si>
  <si>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</si>
  <si>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</si>
  <si>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</si>
  <si>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</si>
  <si>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</si>
  <si>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</si>
  <si>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</si>
  <si>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</si>
  <si>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</si>
  <si>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</si>
  <si>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</si>
  <si>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</si>
  <si>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</si>
  <si>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</si>
  <si>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</si>
  <si>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</si>
  <si>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</si>
  <si>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</si>
  <si>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</si>
  <si>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</si>
  <si>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</si>
  <si>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</si>
  <si>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</si>
  <si>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</si>
  <si>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</si>
  <si>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</si>
  <si>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</si>
  <si>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</si>
  <si>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</si>
  <si>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</si>
  <si>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</si>
  <si>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</si>
  <si>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</si>
  <si>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</si>
  <si>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</si>
  <si>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</si>
  <si>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</si>
  <si>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</si>
  <si>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</si>
  <si>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</si>
  <si>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</si>
  <si>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</si>
  <si>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</si>
  <si>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</si>
  <si>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</si>
  <si>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</si>
  <si>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</si>
  <si>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</si>
  <si>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</si>
  <si>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</si>
  <si>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</si>
  <si>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</si>
  <si>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</si>
  <si>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</si>
  <si>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</si>
  <si>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</si>
  <si>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</si>
  <si>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</si>
  <si>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</si>
  <si>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</si>
  <si>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</si>
  <si>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</si>
  <si>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</si>
  <si>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</si>
  <si>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</si>
  <si>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</si>
  <si>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세액</t>
    <phoneticPr fontId="1" type="noConversion"/>
  </si>
  <si>
    <t>공급가액</t>
    <phoneticPr fontId="1" type="noConversion"/>
  </si>
  <si>
    <t>최종 발급 번호</t>
    <phoneticPr fontId="1" type="noConversion"/>
  </si>
  <si>
    <t>**</t>
    <phoneticPr fontId="1" type="noConversion"/>
  </si>
  <si>
    <t>C0079</t>
    <phoneticPr fontId="1" type="noConversion"/>
  </si>
  <si>
    <t>산타페 ㈜</t>
    <phoneticPr fontId="1" type="noConversion"/>
  </si>
  <si>
    <t>박영아</t>
    <phoneticPr fontId="1" type="noConversion"/>
  </si>
  <si>
    <t>(031)110-1238</t>
    <phoneticPr fontId="1" type="noConversion"/>
  </si>
  <si>
    <t>중구 원미 1동 120-16</t>
    <phoneticPr fontId="1" type="noConversion"/>
  </si>
  <si>
    <t>C0087</t>
    <phoneticPr fontId="1" type="noConversion"/>
  </si>
  <si>
    <t>홍현아</t>
    <phoneticPr fontId="1" type="noConversion"/>
  </si>
  <si>
    <t>이화 무역 ㈜</t>
    <phoneticPr fontId="1" type="noConversion"/>
  </si>
  <si>
    <t>(031)57-1934</t>
    <phoneticPr fontId="1" type="noConversion"/>
  </si>
  <si>
    <t>야탑동 77</t>
    <phoneticPr fontId="1" type="noConversion"/>
  </si>
  <si>
    <t>C0081</t>
    <phoneticPr fontId="1" type="noConversion"/>
  </si>
  <si>
    <t>심영국</t>
    <phoneticPr fontId="1" type="noConversion"/>
  </si>
  <si>
    <t>국제 무역 ㈜</t>
    <phoneticPr fontId="1" type="noConversion"/>
  </si>
  <si>
    <t>(02)345-1945</t>
    <phoneticPr fontId="1" type="noConversion"/>
  </si>
  <si>
    <t>동작구 흑석 3동 140-3</t>
    <phoneticPr fontId="1" type="noConversion"/>
  </si>
  <si>
    <t>C0025</t>
    <phoneticPr fontId="1" type="noConversion"/>
  </si>
  <si>
    <t>진흥 ㈜</t>
    <phoneticPr fontId="1" type="noConversion"/>
  </si>
  <si>
    <t>(02)123-0345</t>
    <phoneticPr fontId="1" type="noConversion"/>
  </si>
  <si>
    <t>성현아</t>
    <phoneticPr fontId="1" type="noConversion"/>
  </si>
  <si>
    <t>성북구 길음동 136-11</t>
    <phoneticPr fontId="1" type="noConversion"/>
  </si>
  <si>
    <t>진흥 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</si>
</sst>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* #,##0_);_(* \(#,##0\);_(* &quot;-&quot;_);_(@_)"/>
    <numFmt numFmtId="177" formatCode="yyyy&quot;-&quot;m&quot;-&quot;d;@"/>
    <numFmt numFmtId="178" formatCode="#,##0_ "/>
    <numFmt numFmtId="179" formatCode="yyyy&quot;년&quot;\ m&quot;월&quot;\ d&quot;일&quot;"/>
    <numFmt numFmtId="180" formatCode="&quot;₩&quot;#,##0"/>
    <numFmt numFmtId="181" formatCode="0_ "/>
    <numFmt numFmtId="182" formatCode="#,##0;[Red]#,##0"/>
    <numFmt numFmtId="183" formatCode="\\#,##0;&quot;-\&quot;#,##0"/>
  </numFmts>
  <fonts count="3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indexed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8"/>
      <color indexed="17"/>
      <name val="맑은 고딕"/>
      <family val="3"/>
      <charset val="129"/>
      <scheme val="minor"/>
    </font>
    <font>
      <sz val="11"/>
      <color indexed="17"/>
      <name val="맑은 고딕"/>
      <family val="3"/>
      <charset val="129"/>
      <scheme val="minor"/>
    </font>
    <font>
      <sz val="9"/>
      <color indexed="17"/>
      <name val="맑은 고딕"/>
      <family val="3"/>
      <charset val="129"/>
      <scheme val="minor"/>
    </font>
    <font>
      <b/>
      <sz val="12"/>
      <color indexed="17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indexed="17"/>
      <name val="맑은 고딕"/>
      <family val="3"/>
      <charset val="129"/>
      <scheme val="minor"/>
    </font>
    <font>
      <sz val="9"/>
      <color indexed="57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color indexed="62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color indexed="17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0"/>
      </patternFill>
    </fill>
    <fill>
      <patternFill patternType="solid">
        <fgColor indexed="62"/>
        <bgColor indexed="64"/>
      </patternFill>
    </fill>
  </fills>
  <borders count="121">
    <border>
      <left/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17"/>
      </left>
      <right/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 style="hair">
        <color indexed="17"/>
      </bottom>
      <diagonal/>
    </border>
    <border>
      <left/>
      <right style="hair">
        <color indexed="17"/>
      </right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 style="hair">
        <color indexed="17"/>
      </top>
      <bottom style="medium">
        <color indexed="17"/>
      </bottom>
      <diagonal/>
    </border>
    <border>
      <left/>
      <right/>
      <top style="hair">
        <color indexed="17"/>
      </top>
      <bottom style="medium">
        <color indexed="17"/>
      </bottom>
      <diagonal/>
    </border>
    <border>
      <left/>
      <right style="hair">
        <color indexed="17"/>
      </right>
      <top style="hair">
        <color indexed="17"/>
      </top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hair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/>
      <bottom style="hair">
        <color indexed="17"/>
      </bottom>
      <diagonal/>
    </border>
    <border>
      <left/>
      <right/>
      <top/>
      <bottom style="hair">
        <color indexed="17"/>
      </bottom>
      <diagonal/>
    </border>
    <border>
      <left/>
      <right style="thin">
        <color indexed="17"/>
      </right>
      <top/>
      <bottom style="hair">
        <color indexed="17"/>
      </bottom>
      <diagonal/>
    </border>
    <border>
      <left/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/>
      <diagonal/>
    </border>
    <border>
      <left/>
      <right/>
      <top style="hair">
        <color indexed="17"/>
      </top>
      <bottom/>
      <diagonal/>
    </border>
    <border>
      <left/>
      <right style="hair">
        <color indexed="17"/>
      </right>
      <top style="hair">
        <color indexed="17"/>
      </top>
      <bottom/>
      <diagonal/>
    </border>
    <border>
      <left/>
      <right style="thin">
        <color indexed="17"/>
      </right>
      <top style="hair">
        <color indexed="17"/>
      </top>
      <bottom/>
      <diagonal/>
    </border>
    <border>
      <left style="hair">
        <color indexed="17"/>
      </left>
      <right style="hair">
        <color indexed="17"/>
      </right>
      <top style="hair">
        <color indexed="17"/>
      </top>
      <bottom/>
      <diagonal/>
    </border>
    <border>
      <left/>
      <right style="medium">
        <color indexed="17"/>
      </right>
      <top style="hair">
        <color indexed="17"/>
      </top>
      <bottom/>
      <diagonal/>
    </border>
    <border>
      <left/>
      <right style="hair">
        <color indexed="17"/>
      </right>
      <top/>
      <bottom style="hair">
        <color indexed="17"/>
      </bottom>
      <diagonal/>
    </border>
    <border>
      <left/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hair">
        <color indexed="17"/>
      </bottom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/>
      <top/>
      <bottom style="medium">
        <color indexed="17"/>
      </bottom>
      <diagonal/>
    </border>
    <border>
      <left/>
      <right style="thin">
        <color indexed="17"/>
      </right>
      <top/>
      <bottom style="medium">
        <color indexed="17"/>
      </bottom>
      <diagonal/>
    </border>
    <border>
      <left style="hair">
        <color indexed="17"/>
      </left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/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hair">
        <color indexed="17"/>
      </bottom>
      <diagonal/>
    </border>
    <border>
      <left/>
      <right/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/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/>
      <diagonal/>
    </border>
    <border>
      <left/>
      <right style="medium">
        <color indexed="17"/>
      </right>
      <top style="hair">
        <color indexed="17"/>
      </top>
      <bottom style="hair">
        <color indexed="17"/>
      </bottom>
      <diagonal/>
    </border>
    <border>
      <left/>
      <right style="medium">
        <color indexed="17"/>
      </right>
      <top style="hair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rgb="FFC00000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22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hair">
        <color indexed="17"/>
      </left>
      <right/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/>
      <diagonal/>
    </border>
    <border>
      <left style="thin">
        <color indexed="17"/>
      </left>
      <right style="hair">
        <color indexed="17"/>
      </right>
      <top/>
      <bottom/>
      <diagonal/>
    </border>
    <border>
      <left style="thin">
        <color indexed="17"/>
      </left>
      <right style="hair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/>
      <bottom/>
      <diagonal/>
    </border>
    <border>
      <left style="medium">
        <color indexed="17"/>
      </left>
      <right style="hair">
        <color indexed="17"/>
      </right>
      <top/>
      <bottom style="medium">
        <color indexed="17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thin">
        <color indexed="9"/>
      </right>
      <top style="medium">
        <color indexed="22"/>
      </top>
      <bottom/>
      <diagonal/>
    </border>
    <border>
      <left style="thin">
        <color indexed="9"/>
      </left>
      <right style="thin">
        <color indexed="9"/>
      </right>
      <top style="medium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9">
    <xf numFmtId="0" fontId="0" fillId="0" borderId="0" xfId="0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Protection="1">
      <alignment vertical="center"/>
    </xf>
    <xf numFmtId="0" fontId="5" fillId="0" borderId="0" xfId="0" applyFont="1" applyFill="1" applyAlignment="1" applyProtection="1">
      <alignment horizontal="left" vertical="center" indent="1"/>
    </xf>
    <xf numFmtId="0" fontId="3" fillId="0" borderId="0" xfId="0" applyFont="1" applyFill="1" applyBorder="1" applyAlignment="1" applyProtection="1">
      <alignment horizontal="center" vertical="center"/>
    </xf>
    <xf numFmtId="0" fontId="3" fillId="4" borderId="13" xfId="0" applyFont="1" applyFill="1" applyBorder="1" applyAlignment="1" applyProtection="1">
      <alignment horizontal="center" vertical="center"/>
    </xf>
    <xf numFmtId="0" fontId="3" fillId="4" borderId="1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3" borderId="16" xfId="0" applyFont="1" applyFill="1" applyBorder="1" applyAlignment="1" applyProtection="1">
      <alignment horizontal="center" vertical="center"/>
      <protection locked="0"/>
    </xf>
    <xf numFmtId="177" fontId="3" fillId="0" borderId="17" xfId="0" applyNumberFormat="1" applyFont="1" applyFill="1" applyBorder="1" applyAlignment="1" applyProtection="1">
      <alignment vertical="center"/>
    </xf>
    <xf numFmtId="38" fontId="3" fillId="3" borderId="17" xfId="0" applyNumberFormat="1" applyFont="1" applyFill="1" applyBorder="1" applyAlignment="1" applyProtection="1">
      <alignment horizontal="center" vertical="center"/>
      <protection locked="0"/>
    </xf>
    <xf numFmtId="38" fontId="3" fillId="0" borderId="17" xfId="0" applyNumberFormat="1" applyFont="1" applyFill="1" applyBorder="1" applyProtection="1">
      <alignment vertical="center"/>
    </xf>
    <xf numFmtId="38" fontId="3" fillId="0" borderId="18" xfId="0" applyNumberFormat="1" applyFont="1" applyFill="1" applyBorder="1" applyProtection="1">
      <alignment vertical="center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vertical="center"/>
    </xf>
    <xf numFmtId="38" fontId="3" fillId="3" borderId="19" xfId="0" applyNumberFormat="1" applyFont="1" applyFill="1" applyBorder="1" applyAlignment="1" applyProtection="1">
      <alignment horizontal="center" vertical="center"/>
      <protection locked="0"/>
    </xf>
    <xf numFmtId="38" fontId="3" fillId="0" borderId="19" xfId="0" applyNumberFormat="1" applyFont="1" applyFill="1" applyBorder="1" applyProtection="1">
      <alignment vertical="center"/>
    </xf>
    <xf numFmtId="38" fontId="3" fillId="0" borderId="20" xfId="0" applyNumberFormat="1" applyFont="1" applyFill="1" applyBorder="1" applyProtection="1">
      <alignment vertical="center"/>
    </xf>
    <xf numFmtId="0" fontId="3" fillId="3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vertical="center"/>
    </xf>
    <xf numFmtId="38" fontId="3" fillId="3" borderId="22" xfId="0" applyNumberFormat="1" applyFont="1" applyFill="1" applyBorder="1" applyAlignment="1" applyProtection="1">
      <alignment horizontal="center" vertical="center"/>
      <protection locked="0"/>
    </xf>
    <xf numFmtId="38" fontId="3" fillId="0" borderId="22" xfId="0" applyNumberFormat="1" applyFont="1" applyFill="1" applyBorder="1" applyProtection="1">
      <alignment vertical="center"/>
    </xf>
    <xf numFmtId="38" fontId="3" fillId="0" borderId="23" xfId="0" applyNumberFormat="1" applyFont="1" applyFill="1" applyBorder="1" applyProtection="1">
      <alignment vertical="center"/>
    </xf>
    <xf numFmtId="0" fontId="3" fillId="0" borderId="0" xfId="0" applyFont="1" applyFill="1" applyAlignment="1" applyProtection="1">
      <alignment vertical="center" wrapText="1"/>
    </xf>
    <xf numFmtId="0" fontId="6" fillId="0" borderId="0" xfId="0" applyFont="1" applyFill="1" applyAlignment="1" applyProtection="1">
      <alignment horizontal="center" vertical="center" wrapText="1"/>
    </xf>
    <xf numFmtId="178" fontId="3" fillId="0" borderId="0" xfId="0" applyNumberFormat="1" applyFont="1" applyFill="1" applyProtection="1">
      <alignment vertical="center"/>
    </xf>
    <xf numFmtId="178" fontId="3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vertical="top" wrapText="1"/>
    </xf>
    <xf numFmtId="0" fontId="8" fillId="0" borderId="0" xfId="0" applyFont="1" applyBorder="1" applyAlignment="1">
      <alignment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 vertical="center" wrapText="1"/>
    </xf>
    <xf numFmtId="0" fontId="8" fillId="0" borderId="28" xfId="0" applyFont="1" applyBorder="1" applyAlignment="1">
      <alignment horizontal="righ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64" xfId="0" applyFont="1" applyBorder="1" applyAlignment="1">
      <alignment horizontal="left" vertical="center" wrapText="1"/>
    </xf>
    <xf numFmtId="181" fontId="16" fillId="0" borderId="69" xfId="0" applyNumberFormat="1" applyFont="1" applyBorder="1" applyAlignment="1">
      <alignment horizontal="center" vertical="center" shrinkToFit="1"/>
    </xf>
    <xf numFmtId="181" fontId="16" fillId="0" borderId="38" xfId="0" applyNumberFormat="1" applyFont="1" applyBorder="1" applyAlignment="1">
      <alignment horizontal="center" vertical="center" shrinkToFit="1"/>
    </xf>
    <xf numFmtId="181" fontId="16" fillId="0" borderId="40" xfId="0" applyNumberFormat="1" applyFont="1" applyBorder="1" applyAlignment="1">
      <alignment horizontal="center" vertical="center" shrinkToFit="1"/>
    </xf>
    <xf numFmtId="181" fontId="16" fillId="0" borderId="41" xfId="0" applyNumberFormat="1" applyFont="1" applyBorder="1" applyAlignment="1">
      <alignment horizontal="center" vertical="center" shrinkToFit="1"/>
    </xf>
    <xf numFmtId="181" fontId="16" fillId="0" borderId="57" xfId="0" applyNumberFormat="1" applyFont="1" applyBorder="1" applyAlignment="1">
      <alignment horizontal="center" vertical="center" shrinkToFit="1"/>
    </xf>
    <xf numFmtId="181" fontId="16" fillId="0" borderId="58" xfId="0" applyNumberFormat="1" applyFont="1" applyBorder="1" applyAlignment="1">
      <alignment horizontal="center" vertical="center" shrinkToFit="1"/>
    </xf>
    <xf numFmtId="176" fontId="0" fillId="0" borderId="0" xfId="1" applyFont="1">
      <alignment vertical="center"/>
    </xf>
    <xf numFmtId="0" fontId="0" fillId="6" borderId="0" xfId="0" applyFill="1">
      <alignment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76" fontId="0" fillId="0" borderId="19" xfId="1" applyFont="1" applyBorder="1" applyAlignment="1">
      <alignment horizontal="center" vertical="center"/>
    </xf>
    <xf numFmtId="0" fontId="0" fillId="8" borderId="82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6" fillId="0" borderId="83" xfId="0" applyFont="1" applyFill="1" applyBorder="1" applyAlignment="1">
      <alignment horizontal="center" vertical="center" wrapText="1"/>
    </xf>
    <xf numFmtId="0" fontId="26" fillId="0" borderId="83" xfId="0" applyFont="1" applyFill="1" applyBorder="1" applyAlignment="1">
      <alignment vertical="center" wrapText="1"/>
    </xf>
    <xf numFmtId="183" fontId="26" fillId="0" borderId="83" xfId="0" applyNumberFormat="1" applyFont="1" applyFill="1" applyBorder="1" applyAlignment="1">
      <alignment horizontal="right" vertical="center" wrapText="1"/>
    </xf>
    <xf numFmtId="0" fontId="24" fillId="0" borderId="84" xfId="0" applyFont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NumberFormat="1" applyFont="1" applyFill="1" applyAlignment="1" applyProtection="1">
      <alignment vertical="center"/>
    </xf>
    <xf numFmtId="14" fontId="14" fillId="0" borderId="0" xfId="0" applyNumberFormat="1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/>
    </xf>
    <xf numFmtId="0" fontId="26" fillId="0" borderId="83" xfId="0" applyFont="1" applyFill="1" applyBorder="1" applyAlignment="1">
      <alignment wrapText="1"/>
    </xf>
    <xf numFmtId="0" fontId="14" fillId="0" borderId="85" xfId="0" applyFont="1" applyBorder="1">
      <alignment vertical="center"/>
    </xf>
    <xf numFmtId="0" fontId="28" fillId="10" borderId="86" xfId="0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0" fontId="28" fillId="10" borderId="87" xfId="0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0" fontId="26" fillId="0" borderId="88" xfId="0" applyFont="1" applyFill="1" applyBorder="1" applyAlignment="1">
      <alignment wrapText="1"/>
    </xf>
    <xf numFmtId="0" fontId="9" fillId="0" borderId="27" xfId="0" applyFont="1" applyBorder="1" applyAlignment="1">
      <alignment vertical="center" wrapText="1"/>
    </xf>
    <xf numFmtId="0" fontId="0" fillId="0" borderId="102" xfId="0" applyBorder="1" applyAlignment="1">
      <alignment horizontal="center" vertical="center"/>
    </xf>
    <xf numFmtId="14" fontId="0" fillId="0" borderId="102" xfId="0" applyNumberFormat="1" applyBorder="1" applyAlignment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22" xfId="0" applyFont="1" applyFill="1" applyBorder="1" applyAlignment="1" applyProtection="1">
      <alignment horizontal="center" vertical="center"/>
      <protection locked="0"/>
    </xf>
    <xf numFmtId="0" fontId="25" fillId="9" borderId="109" xfId="0" applyFont="1" applyFill="1" applyBorder="1" applyAlignment="1">
      <alignment horizontal="center" vertical="center"/>
    </xf>
    <xf numFmtId="0" fontId="26" fillId="0" borderId="88" xfId="0" applyFont="1" applyFill="1" applyBorder="1" applyAlignment="1">
      <alignment horizontal="center" vertical="center" wrapText="1"/>
    </xf>
    <xf numFmtId="0" fontId="26" fillId="0" borderId="88" xfId="0" applyFont="1" applyFill="1" applyBorder="1" applyAlignment="1">
      <alignment vertical="center" wrapText="1"/>
    </xf>
    <xf numFmtId="183" fontId="26" fillId="0" borderId="88" xfId="0" applyNumberFormat="1" applyFont="1" applyFill="1" applyBorder="1" applyAlignment="1">
      <alignment horizontal="right" vertical="center" wrapText="1"/>
    </xf>
    <xf numFmtId="38" fontId="3" fillId="0" borderId="17" xfId="0" applyNumberFormat="1" applyFont="1" applyFill="1" applyBorder="1" applyAlignment="1" applyProtection="1">
      <alignment horizontal="center" vertical="center" shrinkToFit="1"/>
    </xf>
    <xf numFmtId="38" fontId="3" fillId="0" borderId="19" xfId="0" applyNumberFormat="1" applyFont="1" applyFill="1" applyBorder="1" applyAlignment="1" applyProtection="1">
      <alignment horizontal="center" vertical="center" shrinkToFit="1"/>
    </xf>
    <xf numFmtId="38" fontId="3" fillId="0" borderId="22" xfId="0" applyNumberFormat="1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distributed" vertical="center" indent="1"/>
    </xf>
    <xf numFmtId="0" fontId="3" fillId="0" borderId="0" xfId="0" applyFont="1" applyFill="1" applyAlignment="1" applyProtection="1">
      <alignment horizontal="distributed" vertical="center" indent="1"/>
    </xf>
    <xf numFmtId="0" fontId="6" fillId="2" borderId="103" xfId="0" applyFont="1" applyFill="1" applyBorder="1" applyAlignment="1" applyProtection="1">
      <alignment horizontal="distributed" vertical="center" indent="1"/>
    </xf>
    <xf numFmtId="0" fontId="6" fillId="2" borderId="105" xfId="0" applyFont="1" applyFill="1" applyBorder="1" applyAlignment="1" applyProtection="1">
      <alignment horizontal="distributed" vertical="center" indent="1"/>
    </xf>
    <xf numFmtId="0" fontId="0" fillId="7" borderId="101" xfId="0" applyFill="1" applyBorder="1" applyAlignment="1">
      <alignment horizontal="left" vertical="center"/>
    </xf>
    <xf numFmtId="176" fontId="0" fillId="7" borderId="101" xfId="1" applyFont="1" applyFill="1" applyBorder="1" applyAlignment="1">
      <alignment horizontal="left" vertical="center"/>
    </xf>
    <xf numFmtId="0" fontId="0" fillId="8" borderId="101" xfId="0" applyFill="1" applyBorder="1" applyAlignment="1">
      <alignment horizontal="center" vertical="center"/>
    </xf>
    <xf numFmtId="0" fontId="0" fillId="8" borderId="115" xfId="0" applyFill="1" applyBorder="1" applyAlignment="1">
      <alignment horizontal="center" vertical="center"/>
    </xf>
    <xf numFmtId="0" fontId="0" fillId="0" borderId="115" xfId="0" applyBorder="1">
      <alignment vertical="center"/>
    </xf>
    <xf numFmtId="0" fontId="0" fillId="0" borderId="17" xfId="0" applyBorder="1" applyAlignment="1">
      <alignment horizontal="center" vertical="center"/>
    </xf>
    <xf numFmtId="0" fontId="28" fillId="10" borderId="116" xfId="0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0" fontId="28" fillId="10" borderId="117" xfId="0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0" fontId="6" fillId="2" borderId="119" xfId="0" applyFont="1" applyFill="1" applyBorder="1" applyAlignment="1" applyProtection="1">
      <alignment horizontal="center" vertical="center"/>
    </xf>
    <xf numFmtId="176" fontId="6" fillId="0" borderId="120" xfId="1" applyFont="1" applyFill="1" applyBorder="1" applyAlignment="1" applyProtection="1">
      <alignment horizontal="center" vertical="center"/>
    </xf>
    <xf numFmtId="176" fontId="6" fillId="0" borderId="119" xfId="1" applyFont="1" applyFill="1" applyBorder="1" applyProtection="1">
      <alignment vertical="center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5" xfId="0" applyFont="1" applyFill="1" applyBorder="1" applyAlignment="1" applyProtection="1">
      <alignment horizontal="left" vertical="center" indent="1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176" fontId="31" fillId="0" borderId="102" xfId="1" applyFont="1" applyBorder="1" applyAlignment="1">
      <alignment horizontal="center" vertical="center"/>
    </xf>
    <xf numFmtId="0" fontId="0" fillId="0" borderId="102" xfId="0" applyNumberFormat="1" applyBorder="1" applyAlignment="1">
      <alignment horizontal="center" vertical="center"/>
    </xf>
    <xf numFmtId="0" fontId="30" fillId="6" borderId="1" xfId="0" applyFont="1" applyFill="1" applyBorder="1" applyAlignment="1" applyProtection="1">
      <alignment horizontal="center" vertical="center"/>
    </xf>
    <xf numFmtId="0" fontId="30" fillId="6" borderId="2" xfId="0" applyFont="1" applyFill="1" applyBorder="1" applyAlignment="1" applyProtection="1">
      <alignment horizontal="center" vertical="center"/>
    </xf>
    <xf numFmtId="0" fontId="30" fillId="6" borderId="3" xfId="0" applyFont="1" applyFill="1" applyBorder="1" applyAlignment="1" applyProtection="1">
      <alignment horizontal="center" vertical="center"/>
    </xf>
    <xf numFmtId="0" fontId="6" fillId="2" borderId="110" xfId="0" applyFont="1" applyFill="1" applyBorder="1" applyAlignment="1" applyProtection="1">
      <alignment horizontal="distributed" vertical="center" indent="1"/>
    </xf>
    <xf numFmtId="0" fontId="6" fillId="2" borderId="111" xfId="0" applyFont="1" applyFill="1" applyBorder="1" applyAlignment="1" applyProtection="1">
      <alignment horizontal="distributed" vertical="center" indent="1"/>
    </xf>
    <xf numFmtId="0" fontId="6" fillId="2" borderId="112" xfId="0" applyFont="1" applyFill="1" applyBorder="1" applyAlignment="1" applyProtection="1">
      <alignment horizontal="distributed" vertical="center" inden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distributed" vertical="center" indent="1"/>
    </xf>
    <xf numFmtId="0" fontId="6" fillId="2" borderId="9" xfId="0" applyFont="1" applyFill="1" applyBorder="1" applyAlignment="1" applyProtection="1">
      <alignment horizontal="distributed" vertical="center" indent="1"/>
    </xf>
    <xf numFmtId="0" fontId="6" fillId="2" borderId="113" xfId="0" applyFont="1" applyFill="1" applyBorder="1" applyAlignment="1" applyProtection="1">
      <alignment horizontal="distributed" vertical="center" indent="1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4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Fill="1" applyAlignment="1" applyProtection="1">
      <alignment horizontal="right" vertical="center"/>
    </xf>
    <xf numFmtId="0" fontId="6" fillId="2" borderId="11" xfId="0" applyFont="1" applyFill="1" applyBorder="1" applyAlignment="1" applyProtection="1">
      <alignment horizontal="distributed" vertical="center" indent="1"/>
    </xf>
    <xf numFmtId="0" fontId="6" fillId="2" borderId="12" xfId="0" applyFont="1" applyFill="1" applyBorder="1" applyAlignment="1" applyProtection="1">
      <alignment horizontal="distributed" vertical="center" indent="1"/>
    </xf>
    <xf numFmtId="0" fontId="6" fillId="2" borderId="114" xfId="0" applyFont="1" applyFill="1" applyBorder="1" applyAlignment="1" applyProtection="1">
      <alignment horizontal="distributed" vertical="center" indent="1"/>
    </xf>
    <xf numFmtId="14" fontId="3" fillId="3" borderId="105" xfId="1" applyNumberFormat="1" applyFont="1" applyFill="1" applyBorder="1" applyAlignment="1" applyProtection="1">
      <alignment horizontal="left" vertical="center" indent="1"/>
      <protection locked="0"/>
    </xf>
    <xf numFmtId="14" fontId="3" fillId="3" borderId="106" xfId="1" applyNumberFormat="1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Alignment="1" applyProtection="1">
      <alignment vertical="center"/>
    </xf>
    <xf numFmtId="176" fontId="6" fillId="0" borderId="119" xfId="1" applyFont="1" applyFill="1" applyBorder="1" applyAlignment="1" applyProtection="1">
      <alignment horizontal="center" vertical="center"/>
    </xf>
    <xf numFmtId="178" fontId="7" fillId="0" borderId="0" xfId="0" applyNumberFormat="1" applyFont="1" applyFill="1" applyAlignment="1" applyProtection="1">
      <alignment horizontal="right" vertical="center"/>
    </xf>
    <xf numFmtId="0" fontId="3" fillId="0" borderId="107" xfId="0" applyFont="1" applyFill="1" applyBorder="1" applyAlignment="1" applyProtection="1">
      <alignment horizontal="left" vertical="center" indent="1"/>
      <protection locked="0"/>
    </xf>
    <xf numFmtId="0" fontId="3" fillId="0" borderId="108" xfId="0" applyFont="1" applyFill="1" applyBorder="1" applyAlignment="1" applyProtection="1">
      <alignment horizontal="left" vertical="center" indent="1"/>
      <protection locked="0"/>
    </xf>
    <xf numFmtId="0" fontId="6" fillId="2" borderId="118" xfId="0" applyFont="1" applyFill="1" applyBorder="1" applyAlignment="1" applyProtection="1">
      <alignment horizontal="center" vertical="center"/>
    </xf>
    <xf numFmtId="0" fontId="6" fillId="2" borderId="119" xfId="0" applyFont="1" applyFill="1" applyBorder="1" applyAlignment="1" applyProtection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179" fontId="8" fillId="0" borderId="29" xfId="0" applyNumberFormat="1" applyFont="1" applyBorder="1" applyAlignment="1">
      <alignment horizontal="center" vertical="center" shrinkToFit="1"/>
    </xf>
    <xf numFmtId="179" fontId="8" fillId="0" borderId="30" xfId="0" applyNumberFormat="1" applyFont="1" applyBorder="1" applyAlignment="1">
      <alignment horizontal="center" vertical="center" shrinkToFit="1"/>
    </xf>
    <xf numFmtId="179" fontId="8" fillId="0" borderId="31" xfId="0" applyNumberFormat="1" applyFont="1" applyBorder="1" applyAlignment="1">
      <alignment horizontal="center" vertical="center" shrinkToFit="1"/>
    </xf>
    <xf numFmtId="0" fontId="10" fillId="0" borderId="69" xfId="0" applyFont="1" applyBorder="1" applyAlignment="1">
      <alignment horizontal="center" vertical="center" textRotation="255" wrapText="1"/>
    </xf>
    <xf numFmtId="0" fontId="10" fillId="0" borderId="99" xfId="0" applyFont="1" applyBorder="1" applyAlignment="1">
      <alignment horizontal="center" vertical="center" textRotation="255" wrapText="1"/>
    </xf>
    <xf numFmtId="0" fontId="10" fillId="0" borderId="100" xfId="0" applyFont="1" applyBorder="1" applyAlignment="1">
      <alignment horizontal="center" vertical="center" textRotation="255" wrapText="1"/>
    </xf>
    <xf numFmtId="0" fontId="11" fillId="0" borderId="3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0" fillId="0" borderId="96" xfId="0" applyFont="1" applyBorder="1" applyAlignment="1">
      <alignment horizontal="center" vertical="center" textRotation="255" wrapText="1"/>
    </xf>
    <xf numFmtId="0" fontId="10" fillId="0" borderId="97" xfId="0" applyFont="1" applyBorder="1" applyAlignment="1">
      <alignment horizontal="center" vertical="center" textRotation="255" wrapText="1"/>
    </xf>
    <xf numFmtId="0" fontId="10" fillId="0" borderId="98" xfId="0" applyFont="1" applyBorder="1" applyAlignment="1">
      <alignment horizontal="center" vertical="center" textRotation="255" wrapText="1"/>
    </xf>
    <xf numFmtId="0" fontId="13" fillId="0" borderId="3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left" vertical="center" indent="1" shrinkToFit="1"/>
    </xf>
    <xf numFmtId="0" fontId="14" fillId="0" borderId="49" xfId="0" applyFont="1" applyBorder="1" applyAlignment="1">
      <alignment horizontal="left" vertical="center" indent="1" shrinkToFit="1"/>
    </xf>
    <xf numFmtId="0" fontId="14" fillId="0" borderId="51" xfId="0" applyFont="1" applyBorder="1" applyAlignment="1">
      <alignment horizontal="left" vertical="center" indent="1" shrinkToFit="1"/>
    </xf>
    <xf numFmtId="0" fontId="14" fillId="0" borderId="42" xfId="0" applyFont="1" applyBorder="1" applyAlignment="1">
      <alignment horizontal="left" vertical="center" indent="1" shrinkToFit="1"/>
    </xf>
    <xf numFmtId="0" fontId="14" fillId="0" borderId="43" xfId="0" applyFont="1" applyBorder="1" applyAlignment="1">
      <alignment horizontal="left" vertical="center" indent="1" shrinkToFit="1"/>
    </xf>
    <xf numFmtId="0" fontId="14" fillId="0" borderId="44" xfId="0" applyFont="1" applyBorder="1" applyAlignment="1">
      <alignment horizontal="left" vertical="center" indent="1" shrinkToFit="1"/>
    </xf>
    <xf numFmtId="0" fontId="6" fillId="0" borderId="48" xfId="0" applyFont="1" applyBorder="1" applyAlignment="1">
      <alignment horizontal="center" vertical="center" shrinkToFit="1"/>
    </xf>
    <xf numFmtId="0" fontId="6" fillId="0" borderId="49" xfId="0" applyFont="1" applyBorder="1" applyAlignment="1">
      <alignment horizontal="center" vertical="center" shrinkToFit="1"/>
    </xf>
    <xf numFmtId="0" fontId="6" fillId="0" borderId="50" xfId="0" applyFont="1" applyBorder="1" applyAlignment="1">
      <alignment horizontal="center" vertical="center" shrinkToFit="1"/>
    </xf>
    <xf numFmtId="0" fontId="6" fillId="0" borderId="42" xfId="0" applyFont="1" applyBorder="1" applyAlignment="1">
      <alignment horizontal="center" vertical="center" shrinkToFit="1"/>
    </xf>
    <xf numFmtId="0" fontId="6" fillId="0" borderId="43" xfId="0" applyFont="1" applyBorder="1" applyAlignment="1">
      <alignment horizontal="center" vertical="center" shrinkToFit="1"/>
    </xf>
    <xf numFmtId="0" fontId="6" fillId="0" borderId="54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/>
    </xf>
    <xf numFmtId="0" fontId="8" fillId="0" borderId="46" xfId="0" applyFont="1" applyBorder="1" applyAlignment="1">
      <alignment horizontal="center" vertical="center" textRotation="255"/>
    </xf>
    <xf numFmtId="0" fontId="15" fillId="0" borderId="48" xfId="0" applyFont="1" applyBorder="1" applyAlignment="1">
      <alignment horizontal="center" vertical="center" shrinkToFit="1"/>
    </xf>
    <xf numFmtId="0" fontId="15" fillId="0" borderId="49" xfId="0" applyFont="1" applyBorder="1" applyAlignment="1">
      <alignment horizontal="center" vertical="center" shrinkToFit="1"/>
    </xf>
    <xf numFmtId="0" fontId="15" fillId="0" borderId="53" xfId="0" applyFont="1" applyBorder="1" applyAlignment="1">
      <alignment horizontal="center" vertical="center" shrinkToFit="1"/>
    </xf>
    <xf numFmtId="0" fontId="15" fillId="0" borderId="42" xfId="0" applyFont="1" applyBorder="1" applyAlignment="1">
      <alignment horizontal="center" vertical="center" shrinkToFit="1"/>
    </xf>
    <xf numFmtId="0" fontId="15" fillId="0" borderId="43" xfId="0" applyFont="1" applyBorder="1" applyAlignment="1">
      <alignment horizontal="center" vertical="center" shrinkToFit="1"/>
    </xf>
    <xf numFmtId="0" fontId="15" fillId="0" borderId="55" xfId="0" applyFont="1" applyBorder="1" applyAlignment="1">
      <alignment horizontal="center" vertical="center" shrinkToFit="1"/>
    </xf>
    <xf numFmtId="0" fontId="15" fillId="0" borderId="38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shrinkToFit="1"/>
    </xf>
    <xf numFmtId="0" fontId="14" fillId="0" borderId="49" xfId="0" applyFont="1" applyBorder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32" xfId="0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 shrinkToFit="1"/>
    </xf>
    <xf numFmtId="0" fontId="8" fillId="0" borderId="65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8" fillId="0" borderId="81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 shrinkToFit="1"/>
    </xf>
    <xf numFmtId="0" fontId="16" fillId="0" borderId="49" xfId="0" applyFont="1" applyBorder="1" applyAlignment="1">
      <alignment horizontal="center" vertical="center" wrapText="1" shrinkToFit="1"/>
    </xf>
    <xf numFmtId="0" fontId="16" fillId="0" borderId="53" xfId="0" applyFont="1" applyBorder="1" applyAlignment="1">
      <alignment horizontal="center" vertical="center" wrapText="1" shrinkToFit="1"/>
    </xf>
    <xf numFmtId="0" fontId="16" fillId="0" borderId="42" xfId="0" applyFont="1" applyBorder="1" applyAlignment="1">
      <alignment horizontal="center" vertical="center" wrapText="1" shrinkToFit="1"/>
    </xf>
    <xf numFmtId="0" fontId="16" fillId="0" borderId="43" xfId="0" applyFont="1" applyBorder="1" applyAlignment="1">
      <alignment horizontal="center" vertical="center" wrapText="1" shrinkToFit="1"/>
    </xf>
    <xf numFmtId="0" fontId="16" fillId="0" borderId="55" xfId="0" applyFont="1" applyBorder="1" applyAlignment="1">
      <alignment horizontal="center" vertical="center" wrapText="1" shrinkToFit="1"/>
    </xf>
    <xf numFmtId="0" fontId="11" fillId="0" borderId="59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76" xfId="0" applyFont="1" applyBorder="1" applyAlignment="1">
      <alignment horizontal="center" vertical="center" wrapText="1"/>
    </xf>
    <xf numFmtId="180" fontId="17" fillId="0" borderId="48" xfId="0" applyNumberFormat="1" applyFont="1" applyBorder="1" applyAlignment="1">
      <alignment horizontal="right" vertical="center" shrinkToFit="1"/>
    </xf>
    <xf numFmtId="180" fontId="17" fillId="0" borderId="49" xfId="0" applyNumberFormat="1" applyFont="1" applyBorder="1" applyAlignment="1">
      <alignment horizontal="right" vertical="center" shrinkToFit="1"/>
    </xf>
    <xf numFmtId="180" fontId="17" fillId="0" borderId="51" xfId="0" applyNumberFormat="1" applyFont="1" applyBorder="1" applyAlignment="1">
      <alignment horizontal="right" vertical="center" shrinkToFit="1"/>
    </xf>
    <xf numFmtId="180" fontId="17" fillId="0" borderId="59" xfId="0" applyNumberFormat="1" applyFont="1" applyBorder="1" applyAlignment="1">
      <alignment horizontal="right" vertical="center" shrinkToFit="1"/>
    </xf>
    <xf numFmtId="180" fontId="17" fillId="0" borderId="32" xfId="0" applyNumberFormat="1" applyFont="1" applyBorder="1" applyAlignment="1">
      <alignment horizontal="right" vertical="center" shrinkToFit="1"/>
    </xf>
    <xf numFmtId="180" fontId="17" fillId="0" borderId="60" xfId="0" applyNumberFormat="1" applyFont="1" applyBorder="1" applyAlignment="1">
      <alignment horizontal="right" vertical="center" shrinkToFit="1"/>
    </xf>
    <xf numFmtId="0" fontId="14" fillId="0" borderId="50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 shrinkToFit="1"/>
    </xf>
    <xf numFmtId="0" fontId="8" fillId="0" borderId="61" xfId="0" applyFont="1" applyBorder="1" applyAlignment="1">
      <alignment horizontal="center" vertical="center" textRotation="255" shrinkToFit="1"/>
    </xf>
    <xf numFmtId="0" fontId="14" fillId="0" borderId="89" xfId="0" applyFont="1" applyBorder="1" applyAlignment="1">
      <alignment horizontal="center" vertical="center" shrinkToFit="1"/>
    </xf>
    <xf numFmtId="0" fontId="14" fillId="0" borderId="95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14" fillId="0" borderId="72" xfId="0" applyFont="1" applyBorder="1" applyAlignment="1">
      <alignment horizontal="center" vertical="center" shrinkToFit="1"/>
    </xf>
    <xf numFmtId="0" fontId="14" fillId="0" borderId="45" xfId="0" applyFont="1" applyBorder="1" applyAlignment="1">
      <alignment horizontal="center" vertical="center" shrinkToFit="1"/>
    </xf>
    <xf numFmtId="178" fontId="14" fillId="0" borderId="71" xfId="0" applyNumberFormat="1" applyFont="1" applyBorder="1" applyAlignment="1">
      <alignment horizontal="center" vertical="center" shrinkToFit="1"/>
    </xf>
    <xf numFmtId="178" fontId="14" fillId="0" borderId="45" xfId="0" applyNumberFormat="1" applyFont="1" applyBorder="1" applyAlignment="1">
      <alignment horizontal="center" vertical="center" shrinkToFit="1"/>
    </xf>
    <xf numFmtId="38" fontId="14" fillId="0" borderId="71" xfId="0" applyNumberFormat="1" applyFont="1" applyBorder="1" applyAlignment="1">
      <alignment horizontal="right" vertical="center" shrinkToFit="1"/>
    </xf>
    <xf numFmtId="38" fontId="14" fillId="0" borderId="72" xfId="0" applyNumberFormat="1" applyFont="1" applyBorder="1" applyAlignment="1">
      <alignment horizontal="right" vertical="center" shrinkToFit="1"/>
    </xf>
    <xf numFmtId="38" fontId="14" fillId="0" borderId="45" xfId="0" applyNumberFormat="1" applyFont="1" applyBorder="1" applyAlignment="1">
      <alignment horizontal="right" vertical="center" shrinkToFit="1"/>
    </xf>
    <xf numFmtId="0" fontId="14" fillId="0" borderId="79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horizontal="center" vertical="center" shrinkToFit="1"/>
    </xf>
    <xf numFmtId="178" fontId="14" fillId="0" borderId="89" xfId="0" applyNumberFormat="1" applyFont="1" applyBorder="1" applyAlignment="1">
      <alignment horizontal="center" vertical="center" shrinkToFit="1"/>
    </xf>
    <xf numFmtId="178" fontId="14" fillId="0" borderId="26" xfId="0" applyNumberFormat="1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horizontal="right" vertical="center" shrinkToFit="1"/>
    </xf>
    <xf numFmtId="38" fontId="14" fillId="0" borderId="25" xfId="0" applyNumberFormat="1" applyFont="1" applyBorder="1" applyAlignment="1">
      <alignment horizontal="right" vertical="center" shrinkToFit="1"/>
    </xf>
    <xf numFmtId="38" fontId="14" fillId="0" borderId="26" xfId="0" applyNumberFormat="1" applyFont="1" applyBorder="1" applyAlignment="1">
      <alignment horizontal="right" vertical="center" shrinkToFit="1"/>
    </xf>
    <xf numFmtId="38" fontId="14" fillId="0" borderId="89" xfId="0" applyNumberFormat="1" applyFont="1" applyBorder="1" applyAlignment="1">
      <alignment vertical="center" shrinkToFit="1"/>
    </xf>
    <xf numFmtId="38" fontId="14" fillId="0" borderId="25" xfId="0" applyNumberFormat="1" applyFont="1" applyBorder="1" applyAlignment="1">
      <alignment vertical="center" shrinkToFit="1"/>
    </xf>
    <xf numFmtId="38" fontId="14" fillId="0" borderId="26" xfId="0" applyNumberFormat="1" applyFont="1" applyBorder="1" applyAlignment="1">
      <alignment vertical="center" shrinkToFit="1"/>
    </xf>
    <xf numFmtId="38" fontId="14" fillId="0" borderId="71" xfId="0" applyNumberFormat="1" applyFont="1" applyBorder="1" applyAlignment="1">
      <alignment vertical="center" shrinkToFit="1"/>
    </xf>
    <xf numFmtId="38" fontId="14" fillId="0" borderId="72" xfId="0" applyNumberFormat="1" applyFont="1" applyBorder="1" applyAlignment="1">
      <alignment vertical="center" shrinkToFit="1"/>
    </xf>
    <xf numFmtId="38" fontId="14" fillId="0" borderId="45" xfId="0" applyNumberFormat="1" applyFont="1" applyBorder="1" applyAlignment="1">
      <alignment vertical="center" shrinkToFit="1"/>
    </xf>
    <xf numFmtId="0" fontId="14" fillId="0" borderId="73" xfId="0" applyFont="1" applyBorder="1" applyAlignment="1">
      <alignment horizontal="center" vertical="center" shrinkToFit="1"/>
    </xf>
    <xf numFmtId="0" fontId="14" fillId="0" borderId="80" xfId="0" applyFont="1" applyBorder="1" applyAlignment="1">
      <alignment horizontal="center" vertical="center" shrinkToFit="1"/>
    </xf>
    <xf numFmtId="181" fontId="18" fillId="0" borderId="94" xfId="0" applyNumberFormat="1" applyFont="1" applyBorder="1" applyAlignment="1">
      <alignment horizontal="center" vertical="center" shrinkToFit="1"/>
    </xf>
    <xf numFmtId="181" fontId="18" fillId="0" borderId="66" xfId="0" applyNumberFormat="1" applyFont="1" applyBorder="1" applyAlignment="1">
      <alignment horizontal="center" vertical="center" shrinkToFit="1"/>
    </xf>
    <xf numFmtId="181" fontId="18" fillId="0" borderId="67" xfId="0" applyNumberFormat="1" applyFont="1" applyBorder="1" applyAlignment="1">
      <alignment horizontal="center" vertical="center" shrinkToFit="1"/>
    </xf>
    <xf numFmtId="38" fontId="15" fillId="0" borderId="65" xfId="0" applyNumberFormat="1" applyFont="1" applyBorder="1" applyAlignment="1">
      <alignment horizontal="right" vertical="center" shrinkToFit="1"/>
    </xf>
    <xf numFmtId="38" fontId="15" fillId="0" borderId="66" xfId="0" applyNumberFormat="1" applyFont="1" applyBorder="1" applyAlignment="1">
      <alignment horizontal="right" vertical="center" shrinkToFit="1"/>
    </xf>
    <xf numFmtId="38" fontId="15" fillId="0" borderId="67" xfId="0" applyNumberFormat="1" applyFont="1" applyBorder="1" applyAlignment="1">
      <alignment horizontal="right" vertical="center" shrinkToFit="1"/>
    </xf>
    <xf numFmtId="0" fontId="14" fillId="0" borderId="65" xfId="0" applyFont="1" applyBorder="1" applyAlignment="1">
      <alignment horizontal="center" vertical="center" shrinkToFit="1"/>
    </xf>
    <xf numFmtId="0" fontId="14" fillId="0" borderId="81" xfId="0" applyFont="1" applyBorder="1" applyAlignment="1">
      <alignment horizontal="center" vertical="center" shrinkToFit="1"/>
    </xf>
    <xf numFmtId="0" fontId="19" fillId="0" borderId="93" xfId="0" applyFont="1" applyBorder="1" applyAlignment="1">
      <alignment horizontal="center" vertical="center" wrapText="1"/>
    </xf>
    <xf numFmtId="0" fontId="19" fillId="0" borderId="78" xfId="0" applyFont="1" applyBorder="1" applyAlignment="1">
      <alignment horizontal="center" vertical="center" wrapText="1"/>
    </xf>
    <xf numFmtId="0" fontId="19" fillId="0" borderId="75" xfId="0" applyFont="1" applyBorder="1" applyAlignment="1">
      <alignment horizontal="center" vertical="center" wrapText="1"/>
    </xf>
    <xf numFmtId="0" fontId="19" fillId="0" borderId="76" xfId="0" applyFont="1" applyBorder="1" applyAlignment="1">
      <alignment horizontal="center" vertical="center" wrapText="1"/>
    </xf>
    <xf numFmtId="182" fontId="14" fillId="0" borderId="36" xfId="0" applyNumberFormat="1" applyFont="1" applyBorder="1" applyAlignment="1">
      <alignment horizontal="right" vertical="center" shrinkToFit="1"/>
    </xf>
    <xf numFmtId="182" fontId="14" fillId="0" borderId="27" xfId="0" applyNumberFormat="1" applyFont="1" applyBorder="1" applyAlignment="1">
      <alignment horizontal="right" vertical="center" shrinkToFit="1"/>
    </xf>
    <xf numFmtId="182" fontId="14" fillId="0" borderId="78" xfId="0" applyNumberFormat="1" applyFont="1" applyBorder="1" applyAlignment="1">
      <alignment horizontal="right" vertical="center" shrinkToFit="1"/>
    </xf>
    <xf numFmtId="182" fontId="14" fillId="0" borderId="59" xfId="0" applyNumberFormat="1" applyFont="1" applyBorder="1" applyAlignment="1">
      <alignment horizontal="right" vertical="center" shrinkToFit="1"/>
    </xf>
    <xf numFmtId="182" fontId="14" fillId="0" borderId="32" xfId="0" applyNumberFormat="1" applyFont="1" applyBorder="1" applyAlignment="1">
      <alignment horizontal="right" vertical="center" shrinkToFit="1"/>
    </xf>
    <xf numFmtId="182" fontId="14" fillId="0" borderId="76" xfId="0" applyNumberFormat="1" applyFont="1" applyBorder="1" applyAlignment="1">
      <alignment horizontal="right" vertical="center" shrinkToFit="1"/>
    </xf>
    <xf numFmtId="0" fontId="19" fillId="0" borderId="36" xfId="0" applyFont="1" applyBorder="1" applyAlignment="1">
      <alignment horizontal="center" vertical="center" wrapText="1"/>
    </xf>
    <xf numFmtId="0" fontId="19" fillId="0" borderId="59" xfId="0" applyFont="1" applyBorder="1" applyAlignment="1">
      <alignment horizontal="center" vertical="center" wrapText="1"/>
    </xf>
    <xf numFmtId="3" fontId="14" fillId="0" borderId="36" xfId="0" applyNumberFormat="1" applyFont="1" applyBorder="1" applyAlignment="1">
      <alignment horizontal="right" vertical="center" shrinkToFit="1"/>
    </xf>
    <xf numFmtId="3" fontId="14" fillId="0" borderId="27" xfId="0" applyNumberFormat="1" applyFont="1" applyBorder="1" applyAlignment="1">
      <alignment horizontal="right" vertical="center" shrinkToFit="1"/>
    </xf>
    <xf numFmtId="3" fontId="14" fillId="0" borderId="78" xfId="0" applyNumberFormat="1" applyFont="1" applyBorder="1" applyAlignment="1">
      <alignment horizontal="right" vertical="center" shrinkToFit="1"/>
    </xf>
    <xf numFmtId="3" fontId="14" fillId="0" borderId="59" xfId="0" applyNumberFormat="1" applyFont="1" applyBorder="1" applyAlignment="1">
      <alignment horizontal="right" vertical="center" shrinkToFit="1"/>
    </xf>
    <xf numFmtId="3" fontId="14" fillId="0" borderId="32" xfId="0" applyNumberFormat="1" applyFont="1" applyBorder="1" applyAlignment="1">
      <alignment horizontal="right" vertical="center" shrinkToFit="1"/>
    </xf>
    <xf numFmtId="3" fontId="14" fillId="0" borderId="76" xfId="0" applyNumberFormat="1" applyFont="1" applyBorder="1" applyAlignment="1">
      <alignment horizontal="right" vertical="center" shrinkToFit="1"/>
    </xf>
    <xf numFmtId="0" fontId="14" fillId="0" borderId="30" xfId="0" applyFont="1" applyBorder="1" applyAlignment="1">
      <alignment horizontal="center" vertical="center" shrinkToFit="1"/>
    </xf>
    <xf numFmtId="0" fontId="14" fillId="0" borderId="31" xfId="0" applyFont="1" applyBorder="1" applyAlignment="1">
      <alignment horizontal="center" vertical="center" shrinkToFit="1"/>
    </xf>
    <xf numFmtId="178" fontId="14" fillId="0" borderId="73" xfId="0" applyNumberFormat="1" applyFont="1" applyBorder="1" applyAlignment="1">
      <alignment horizontal="center" vertical="center" shrinkToFit="1"/>
    </xf>
    <xf numFmtId="178" fontId="14" fillId="0" borderId="31" xfId="0" applyNumberFormat="1" applyFont="1" applyBorder="1" applyAlignment="1">
      <alignment horizontal="center" vertical="center" shrinkToFit="1"/>
    </xf>
    <xf numFmtId="38" fontId="14" fillId="0" borderId="73" xfId="0" applyNumberFormat="1" applyFont="1" applyBorder="1" applyAlignment="1">
      <alignment horizontal="right" vertical="center" shrinkToFit="1"/>
    </xf>
    <xf numFmtId="38" fontId="14" fillId="0" borderId="30" xfId="0" applyNumberFormat="1" applyFont="1" applyBorder="1" applyAlignment="1">
      <alignment horizontal="right" vertical="center" shrinkToFit="1"/>
    </xf>
    <xf numFmtId="38" fontId="14" fillId="0" borderId="31" xfId="0" applyNumberFormat="1" applyFont="1" applyBorder="1" applyAlignment="1">
      <alignment horizontal="right" vertical="center" shrinkToFit="1"/>
    </xf>
    <xf numFmtId="38" fontId="14" fillId="0" borderId="73" xfId="0" applyNumberFormat="1" applyFont="1" applyBorder="1" applyAlignment="1">
      <alignment vertical="center" shrinkToFit="1"/>
    </xf>
    <xf numFmtId="38" fontId="14" fillId="0" borderId="30" xfId="0" applyNumberFormat="1" applyFont="1" applyBorder="1" applyAlignment="1">
      <alignment vertical="center" shrinkToFit="1"/>
    </xf>
    <xf numFmtId="38" fontId="14" fillId="0" borderId="31" xfId="0" applyNumberFormat="1" applyFont="1" applyBorder="1" applyAlignment="1">
      <alignment vertical="center" shrinkToFit="1"/>
    </xf>
    <xf numFmtId="3" fontId="15" fillId="0" borderId="36" xfId="0" applyNumberFormat="1" applyFont="1" applyBorder="1" applyAlignment="1">
      <alignment horizontal="right" vertical="center" shrinkToFit="1"/>
    </xf>
    <xf numFmtId="3" fontId="15" fillId="0" borderId="27" xfId="0" applyNumberFormat="1" applyFont="1" applyBorder="1" applyAlignment="1">
      <alignment horizontal="right" vertical="center" shrinkToFit="1"/>
    </xf>
    <xf numFmtId="3" fontId="15" fillId="0" borderId="78" xfId="0" applyNumberFormat="1" applyFont="1" applyBorder="1" applyAlignment="1">
      <alignment horizontal="right" vertical="center" shrinkToFit="1"/>
    </xf>
    <xf numFmtId="3" fontId="15" fillId="0" borderId="59" xfId="0" applyNumberFormat="1" applyFont="1" applyBorder="1" applyAlignment="1">
      <alignment horizontal="right" vertical="center" shrinkToFit="1"/>
    </xf>
    <xf numFmtId="3" fontId="15" fillId="0" borderId="32" xfId="0" applyNumberFormat="1" applyFont="1" applyBorder="1" applyAlignment="1">
      <alignment horizontal="right" vertical="center" shrinkToFit="1"/>
    </xf>
    <xf numFmtId="3" fontId="15" fillId="0" borderId="76" xfId="0" applyNumberFormat="1" applyFont="1" applyBorder="1" applyAlignment="1">
      <alignment horizontal="right" vertical="center" shrinkToFit="1"/>
    </xf>
    <xf numFmtId="180" fontId="19" fillId="0" borderId="36" xfId="0" applyNumberFormat="1" applyFont="1" applyBorder="1" applyAlignment="1">
      <alignment horizontal="center" vertical="center" wrapText="1"/>
    </xf>
    <xf numFmtId="180" fontId="19" fillId="0" borderId="78" xfId="0" applyNumberFormat="1" applyFont="1" applyBorder="1" applyAlignment="1">
      <alignment horizontal="center" vertical="center" wrapText="1"/>
    </xf>
    <xf numFmtId="180" fontId="19" fillId="0" borderId="59" xfId="0" applyNumberFormat="1" applyFont="1" applyBorder="1" applyAlignment="1">
      <alignment horizontal="center" vertical="center" wrapText="1"/>
    </xf>
    <xf numFmtId="180" fontId="19" fillId="0" borderId="76" xfId="0" applyNumberFormat="1" applyFont="1" applyBorder="1" applyAlignment="1">
      <alignment horizontal="center" vertical="center" wrapText="1"/>
    </xf>
    <xf numFmtId="176" fontId="16" fillId="0" borderId="36" xfId="0" applyNumberFormat="1" applyFont="1" applyBorder="1" applyAlignment="1">
      <alignment horizontal="center" vertical="center" shrinkToFit="1"/>
    </xf>
    <xf numFmtId="176" fontId="16" fillId="0" borderId="27" xfId="0" applyNumberFormat="1" applyFont="1" applyBorder="1" applyAlignment="1">
      <alignment horizontal="center" vertical="center" shrinkToFit="1"/>
    </xf>
    <xf numFmtId="176" fontId="16" fillId="0" borderId="78" xfId="0" applyNumberFormat="1" applyFont="1" applyBorder="1" applyAlignment="1">
      <alignment horizontal="center" vertical="center" shrinkToFit="1"/>
    </xf>
    <xf numFmtId="176" fontId="16" fillId="0" borderId="59" xfId="0" applyNumberFormat="1" applyFont="1" applyBorder="1" applyAlignment="1">
      <alignment horizontal="center" vertical="center" shrinkToFit="1"/>
    </xf>
    <xf numFmtId="176" fontId="16" fillId="0" borderId="32" xfId="0" applyNumberFormat="1" applyFont="1" applyBorder="1" applyAlignment="1">
      <alignment horizontal="center" vertical="center" shrinkToFit="1"/>
    </xf>
    <xf numFmtId="176" fontId="16" fillId="0" borderId="76" xfId="0" applyNumberFormat="1" applyFont="1" applyBorder="1" applyAlignment="1">
      <alignment horizontal="center" vertical="center" shrinkToFit="1"/>
    </xf>
    <xf numFmtId="180" fontId="19" fillId="0" borderId="36" xfId="0" applyNumberFormat="1" applyFont="1" applyBorder="1" applyAlignment="1">
      <alignment vertical="center" wrapText="1"/>
    </xf>
    <xf numFmtId="180" fontId="19" fillId="0" borderId="78" xfId="0" applyNumberFormat="1" applyFont="1" applyBorder="1" applyAlignment="1">
      <alignment vertical="center" wrapText="1"/>
    </xf>
    <xf numFmtId="180" fontId="19" fillId="0" borderId="59" xfId="0" applyNumberFormat="1" applyFont="1" applyBorder="1" applyAlignment="1">
      <alignment vertical="center" wrapText="1"/>
    </xf>
    <xf numFmtId="180" fontId="19" fillId="0" borderId="76" xfId="0" applyNumberFormat="1" applyFont="1" applyBorder="1" applyAlignment="1">
      <alignment vertical="center" wrapText="1"/>
    </xf>
    <xf numFmtId="180" fontId="20" fillId="0" borderId="36" xfId="0" applyNumberFormat="1" applyFont="1" applyBorder="1" applyAlignment="1">
      <alignment horizontal="center" vertical="center" shrinkToFit="1"/>
    </xf>
    <xf numFmtId="180" fontId="20" fillId="0" borderId="27" xfId="0" applyNumberFormat="1" applyFont="1" applyBorder="1" applyAlignment="1">
      <alignment horizontal="center" vertical="center" shrinkToFit="1"/>
    </xf>
    <xf numFmtId="180" fontId="20" fillId="0" borderId="28" xfId="0" applyNumberFormat="1" applyFont="1" applyBorder="1" applyAlignment="1">
      <alignment horizontal="center" vertical="center" shrinkToFit="1"/>
    </xf>
    <xf numFmtId="180" fontId="20" fillId="0" borderId="59" xfId="0" applyNumberFormat="1" applyFont="1" applyBorder="1" applyAlignment="1">
      <alignment horizontal="center" vertical="center" shrinkToFit="1"/>
    </xf>
    <xf numFmtId="180" fontId="20" fillId="0" borderId="32" xfId="0" applyNumberFormat="1" applyFont="1" applyBorder="1" applyAlignment="1">
      <alignment horizontal="center" vertical="center" shrinkToFit="1"/>
    </xf>
    <xf numFmtId="180" fontId="20" fillId="0" borderId="33" xfId="0" applyNumberFormat="1" applyFont="1" applyBorder="1" applyAlignment="1">
      <alignment horizontal="center" vertical="center" shrinkToFit="1"/>
    </xf>
    <xf numFmtId="179" fontId="8" fillId="0" borderId="29" xfId="0" applyNumberFormat="1" applyFont="1" applyBorder="1" applyAlignment="1">
      <alignment horizontal="center" vertical="center" wrapText="1"/>
    </xf>
    <xf numFmtId="179" fontId="8" fillId="0" borderId="30" xfId="0" applyNumberFormat="1" applyFont="1" applyBorder="1" applyAlignment="1">
      <alignment horizontal="center" vertical="center" wrapText="1"/>
    </xf>
    <xf numFmtId="179" fontId="8" fillId="0" borderId="31" xfId="0" applyNumberFormat="1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textRotation="255" wrapText="1"/>
    </xf>
    <xf numFmtId="0" fontId="10" fillId="0" borderId="40" xfId="0" applyFont="1" applyBorder="1" applyAlignment="1">
      <alignment horizontal="center" vertical="center" textRotation="255" wrapText="1"/>
    </xf>
    <xf numFmtId="0" fontId="10" fillId="0" borderId="57" xfId="0" applyFont="1" applyBorder="1" applyAlignment="1">
      <alignment horizontal="center" vertical="center" textRotation="255" wrapText="1"/>
    </xf>
    <xf numFmtId="0" fontId="11" fillId="0" borderId="35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0" fillId="0" borderId="90" xfId="0" applyFont="1" applyBorder="1" applyAlignment="1">
      <alignment horizontal="center" vertical="center" textRotation="255" wrapText="1"/>
    </xf>
    <xf numFmtId="0" fontId="10" fillId="0" borderId="91" xfId="0" applyFont="1" applyBorder="1" applyAlignment="1">
      <alignment horizontal="center" vertical="center" textRotation="255" wrapText="1"/>
    </xf>
    <xf numFmtId="0" fontId="10" fillId="0" borderId="92" xfId="0" applyFont="1" applyBorder="1" applyAlignment="1">
      <alignment horizontal="center" vertical="center" textRotation="255" wrapText="1"/>
    </xf>
    <xf numFmtId="0" fontId="11" fillId="0" borderId="52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180" fontId="13" fillId="0" borderId="48" xfId="0" applyNumberFormat="1" applyFont="1" applyBorder="1" applyAlignment="1">
      <alignment horizontal="right" vertical="center" shrinkToFit="1"/>
    </xf>
    <xf numFmtId="180" fontId="13" fillId="0" borderId="49" xfId="0" applyNumberFormat="1" applyFont="1" applyBorder="1" applyAlignment="1">
      <alignment horizontal="right" vertical="center" shrinkToFit="1"/>
    </xf>
    <xf numFmtId="180" fontId="13" fillId="0" borderId="59" xfId="0" applyNumberFormat="1" applyFont="1" applyBorder="1" applyAlignment="1">
      <alignment horizontal="right" vertical="center" shrinkToFit="1"/>
    </xf>
    <xf numFmtId="180" fontId="13" fillId="0" borderId="32" xfId="0" applyNumberFormat="1" applyFont="1" applyBorder="1" applyAlignment="1">
      <alignment horizontal="right" vertical="center" shrinkToFit="1"/>
    </xf>
    <xf numFmtId="0" fontId="15" fillId="0" borderId="50" xfId="0" applyFont="1" applyBorder="1" applyAlignment="1">
      <alignment horizontal="center" vertical="center" shrinkToFit="1"/>
    </xf>
    <xf numFmtId="0" fontId="15" fillId="0" borderId="54" xfId="0" applyFont="1" applyBorder="1" applyAlignment="1">
      <alignment horizontal="center" vertical="center" shrinkToFit="1"/>
    </xf>
    <xf numFmtId="0" fontId="14" fillId="0" borderId="41" xfId="0" applyFont="1" applyBorder="1" applyAlignment="1">
      <alignment horizontal="center" vertical="center" shrinkToFit="1"/>
    </xf>
    <xf numFmtId="0" fontId="14" fillId="0" borderId="52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left" vertical="center" indent="1" shrinkToFit="1"/>
    </xf>
    <xf numFmtId="0" fontId="14" fillId="0" borderId="71" xfId="0" applyFont="1" applyBorder="1" applyAlignment="1">
      <alignment horizontal="left" vertical="center" indent="1" shrinkToFit="1"/>
    </xf>
    <xf numFmtId="0" fontId="14" fillId="0" borderId="56" xfId="0" applyFont="1" applyBorder="1" applyAlignment="1">
      <alignment horizontal="center" vertical="center" shrinkToFit="1"/>
    </xf>
    <xf numFmtId="0" fontId="14" fillId="0" borderId="62" xfId="0" applyFont="1" applyBorder="1" applyAlignment="1">
      <alignment horizontal="center" vertical="center" shrinkToFit="1"/>
    </xf>
    <xf numFmtId="0" fontId="3" fillId="0" borderId="67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38" fontId="14" fillId="0" borderId="35" xfId="0" applyNumberFormat="1" applyFont="1" applyBorder="1" applyAlignment="1">
      <alignment horizontal="right" vertical="center" shrinkToFit="1"/>
    </xf>
    <xf numFmtId="0" fontId="14" fillId="0" borderId="35" xfId="0" applyFont="1" applyBorder="1" applyAlignment="1">
      <alignment horizontal="center" vertical="center" shrinkToFit="1"/>
    </xf>
    <xf numFmtId="0" fontId="14" fillId="0" borderId="70" xfId="0" applyFont="1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shrinkToFit="1"/>
    </xf>
    <xf numFmtId="38" fontId="14" fillId="0" borderId="41" xfId="0" applyNumberFormat="1" applyFont="1" applyBorder="1" applyAlignment="1">
      <alignment horizontal="right" vertical="center" shrinkToFit="1"/>
    </xf>
    <xf numFmtId="0" fontId="3" fillId="0" borderId="56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38" fontId="14" fillId="0" borderId="58" xfId="0" applyNumberFormat="1" applyFont="1" applyBorder="1" applyAlignment="1">
      <alignment horizontal="right" vertical="center" shrinkToFit="1"/>
    </xf>
    <xf numFmtId="0" fontId="3" fillId="0" borderId="74" xfId="0" applyFont="1" applyBorder="1" applyAlignment="1">
      <alignment horizontal="center" vertical="center" shrinkToFit="1"/>
    </xf>
    <xf numFmtId="180" fontId="19" fillId="0" borderId="38" xfId="0" applyNumberFormat="1" applyFont="1" applyBorder="1" applyAlignment="1">
      <alignment horizontal="center" vertical="center" wrapText="1"/>
    </xf>
    <xf numFmtId="180" fontId="19" fillId="0" borderId="61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shrinkToFit="1"/>
    </xf>
    <xf numFmtId="0" fontId="16" fillId="0" borderId="59" xfId="0" applyFont="1" applyBorder="1" applyAlignment="1">
      <alignment horizontal="center" vertical="center" shrinkToFit="1"/>
    </xf>
    <xf numFmtId="0" fontId="16" fillId="0" borderId="32" xfId="0" applyFont="1" applyBorder="1" applyAlignment="1">
      <alignment horizontal="center" vertical="center" shrinkToFit="1"/>
    </xf>
    <xf numFmtId="0" fontId="19" fillId="0" borderId="78" xfId="0" applyFont="1" applyBorder="1" applyAlignment="1">
      <alignment vertical="center" wrapText="1"/>
    </xf>
    <xf numFmtId="0" fontId="19" fillId="0" borderId="59" xfId="0" applyFont="1" applyBorder="1" applyAlignment="1">
      <alignment vertical="center" wrapText="1"/>
    </xf>
    <xf numFmtId="0" fontId="19" fillId="0" borderId="76" xfId="0" applyFont="1" applyBorder="1" applyAlignment="1">
      <alignment vertical="center" wrapText="1"/>
    </xf>
    <xf numFmtId="181" fontId="18" fillId="0" borderId="75" xfId="0" applyNumberFormat="1" applyFont="1" applyBorder="1" applyAlignment="1">
      <alignment horizontal="center" vertical="center" shrinkToFit="1"/>
    </xf>
    <xf numFmtId="181" fontId="18" fillId="0" borderId="32" xfId="0" applyNumberFormat="1" applyFont="1" applyBorder="1" applyAlignment="1">
      <alignment horizontal="center" vertical="center" shrinkToFit="1"/>
    </xf>
    <xf numFmtId="181" fontId="18" fillId="0" borderId="76" xfId="0" applyNumberFormat="1" applyFont="1" applyBorder="1" applyAlignment="1">
      <alignment horizontal="center" vertical="center" shrinkToFit="1"/>
    </xf>
    <xf numFmtId="38" fontId="15" fillId="0" borderId="59" xfId="0" applyNumberFormat="1" applyFont="1" applyBorder="1" applyAlignment="1">
      <alignment horizontal="right" vertical="center" shrinkToFit="1"/>
    </xf>
    <xf numFmtId="38" fontId="15" fillId="0" borderId="32" xfId="0" applyNumberFormat="1" applyFont="1" applyBorder="1" applyAlignment="1">
      <alignment horizontal="right" vertical="center" shrinkToFit="1"/>
    </xf>
    <xf numFmtId="38" fontId="15" fillId="0" borderId="76" xfId="0" applyNumberFormat="1" applyFont="1" applyBorder="1" applyAlignment="1">
      <alignment horizontal="right" vertical="center" shrinkToFit="1"/>
    </xf>
    <xf numFmtId="38" fontId="15" fillId="0" borderId="61" xfId="0" applyNumberFormat="1" applyFont="1" applyBorder="1" applyAlignment="1">
      <alignment horizontal="right" vertical="center" shrinkToFit="1"/>
    </xf>
    <xf numFmtId="0" fontId="14" fillId="0" borderId="61" xfId="0" applyFont="1" applyBorder="1" applyAlignment="1">
      <alignment horizontal="center" vertical="center" shrinkToFit="1"/>
    </xf>
    <xf numFmtId="0" fontId="14" fillId="0" borderId="77" xfId="0" applyFont="1" applyBorder="1" applyAlignment="1">
      <alignment horizontal="center" vertical="center" shrinkToFit="1"/>
    </xf>
    <xf numFmtId="0" fontId="19" fillId="0" borderId="34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58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medium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numFmt numFmtId="19" formatCode="yyyy/mm/dd"/>
      <fill>
        <patternFill patternType="solid">
          <fgColor indexed="64"/>
          <bgColor indexed="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83" formatCode="\\#,##0;&quot;-\&quot;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solid">
          <fgColor indexed="0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bl발급대장" displayName="tbl발급대장" ref="A5:H9" totalsRowShown="0" headerRowDxfId="39" dataDxfId="38" tableBorderDxfId="37">
  <tableColumns count="8">
    <tableColumn id="1" name="발급번호" dataDxfId="36"/>
    <tableColumn id="2" name="고객코드" dataDxfId="35"/>
    <tableColumn id="3" name="인수자" dataDxfId="34"/>
    <tableColumn id="5" name="작성일" dataDxfId="33"/>
    <tableColumn id="7" name="합계" dataDxfId="32" dataCellStyle="쉼표 [0]"/>
    <tableColumn id="8" name="상호" dataDxfId="31"/>
    <tableColumn id="9" name="전화번호" dataDxfId="30"/>
    <tableColumn id="10" name="주소" dataDxfId="2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bl상세항목" displayName="tbl상세항목" ref="A3:E20" totalsRowShown="0" headerRowDxfId="28" dataDxfId="27" tableBorderDxfId="26">
  <tableColumns count="5">
    <tableColumn id="1" name="발급번호" dataDxfId="25"/>
    <tableColumn id="2" name="품목코드" dataDxfId="24"/>
    <tableColumn id="3" name="월" dataDxfId="23"/>
    <tableColumn id="4" name="일" dataDxfId="22"/>
    <tableColumn id="5" name="수량" dataDxfId="2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제품목록" displayName="tbl제품목록" ref="A3:F80" totalsRowShown="0" headerRowDxfId="20" dataDxfId="18" headerRowBorderDxfId="19" tableBorderDxfId="17" totalsRowBorderDxfId="16">
  <autoFilter ref="A3:F80"/>
  <tableColumns count="6">
    <tableColumn id="1" name="품목코드" dataDxfId="15"/>
    <tableColumn id="2" name="품목" dataDxfId="14"/>
    <tableColumn id="3" name="공급업체" dataDxfId="13"/>
    <tableColumn id="4" name="제품 분류" dataDxfId="12"/>
    <tableColumn id="5" name="포장 단위" dataDxfId="11"/>
    <tableColumn id="6" name="단가" dataDxfId="1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" name="tbl고객" displayName="tbl고객" ref="A3:G94" totalsRowShown="0" headerRowDxfId="9" dataDxfId="8" tableBorderDxfId="7">
  <tableColumns count="7">
    <tableColumn id="1" name="고객코드" dataDxfId="6"/>
    <tableColumn id="2" name="상호" dataDxfId="5"/>
    <tableColumn id="3" name="담당자" dataDxfId="4"/>
    <tableColumn id="4" name="주소" dataDxfId="3"/>
    <tableColumn id="5" name="도시" dataDxfId="2"/>
    <tableColumn id="6" name="전화번호" dataDxfId="1"/>
    <tableColumn id="7" name="팩스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J44"/>
  <sheetViews>
    <sheetView showGridLines="0" tabSelected="1" workbookViewId="0">
      <selection activeCell="I5" sqref="I5"/>
    </sheetView>
  </sheetViews>
  <sheetFormatPr defaultRowHeight="16.5"/>
  <cols>
    <col min="1" max="1" width="1.5" style="2" customWidth="1"/>
    <col min="2" max="2" width="8.875" style="1" customWidth="1"/>
    <col min="3" max="4" width="3.875" style="2" customWidth="1"/>
    <col min="5" max="5" width="21.375" style="2" customWidth="1"/>
    <col min="6" max="6" width="15.625" style="2" customWidth="1"/>
    <col min="7" max="7" width="6" style="1" customWidth="1"/>
    <col min="8" max="8" width="9.25" style="2" customWidth="1"/>
    <col min="9" max="10" width="9.5" style="2" customWidth="1"/>
    <col min="11" max="16384" width="9" style="2"/>
  </cols>
  <sheetData>
    <row r="1" spans="1:10" ht="10.5" customHeight="1" thickBot="1">
      <c r="A1" s="2" t="b">
        <v>1</v>
      </c>
    </row>
    <row r="2" spans="1:10" ht="24" customHeight="1" thickBot="1">
      <c r="B2" s="103" t="str">
        <f>"거 래 명 세 서 " &amp; IF(COUNTIF(tbl발급대장[발급번호],nmD_발급번호)=0,"신규등록","조회")</f>
        <v>거 래 명 세 서 신규등록</v>
      </c>
      <c r="C2" s="104"/>
      <c r="D2" s="104"/>
      <c r="E2" s="104"/>
      <c r="F2" s="104"/>
      <c r="G2" s="104"/>
      <c r="H2" s="104"/>
      <c r="I2" s="105"/>
    </row>
    <row r="3" spans="1:10" ht="17.25" customHeight="1" thickBot="1">
      <c r="B3" s="3"/>
    </row>
    <row r="4" spans="1:10" ht="18.75" customHeight="1" thickBot="1">
      <c r="B4" s="106" t="s">
        <v>0</v>
      </c>
      <c r="C4" s="107"/>
      <c r="D4" s="108"/>
      <c r="E4" s="100">
        <v>5</v>
      </c>
      <c r="F4" s="79" t="s">
        <v>826</v>
      </c>
      <c r="G4" s="109" t="s">
        <v>944</v>
      </c>
      <c r="H4" s="110"/>
      <c r="I4" s="111"/>
    </row>
    <row r="5" spans="1:10" ht="8.25" customHeight="1" thickBot="1">
      <c r="F5" s="80"/>
    </row>
    <row r="6" spans="1:10" ht="20.100000000000001" customHeight="1">
      <c r="B6" s="106" t="s">
        <v>827</v>
      </c>
      <c r="C6" s="107"/>
      <c r="D6" s="108"/>
      <c r="E6" s="98" t="s">
        <v>945</v>
      </c>
      <c r="F6" s="81" t="s">
        <v>828</v>
      </c>
      <c r="G6" s="115" t="s">
        <v>946</v>
      </c>
      <c r="H6" s="115"/>
      <c r="I6" s="116"/>
    </row>
    <row r="7" spans="1:10" ht="20.100000000000001" customHeight="1">
      <c r="B7" s="112" t="s">
        <v>830</v>
      </c>
      <c r="C7" s="113"/>
      <c r="D7" s="114"/>
      <c r="E7" s="99" t="s">
        <v>947</v>
      </c>
      <c r="F7" s="82" t="s">
        <v>829</v>
      </c>
      <c r="G7" s="121">
        <v>41784</v>
      </c>
      <c r="H7" s="121"/>
      <c r="I7" s="122"/>
    </row>
    <row r="8" spans="1:10" ht="20.100000000000001" customHeight="1" thickBot="1">
      <c r="B8" s="118" t="s">
        <v>329</v>
      </c>
      <c r="C8" s="119"/>
      <c r="D8" s="120"/>
      <c r="E8" s="126" t="s">
        <v>948</v>
      </c>
      <c r="F8" s="126"/>
      <c r="G8" s="126"/>
      <c r="H8" s="126"/>
      <c r="I8" s="127"/>
    </row>
    <row r="9" spans="1:10" ht="6.75" customHeight="1" thickBot="1">
      <c r="B9" s="4"/>
      <c r="C9" s="123"/>
      <c r="D9" s="123"/>
    </row>
    <row r="10" spans="1:10" ht="18.75" customHeight="1" thickBot="1">
      <c r="B10" s="128" t="s">
        <v>28</v>
      </c>
      <c r="C10" s="129"/>
      <c r="D10" s="129"/>
      <c r="E10" s="97">
        <f>G10+J10</f>
        <v>78100</v>
      </c>
      <c r="F10" s="95" t="s">
        <v>926</v>
      </c>
      <c r="G10" s="124">
        <f>SUM(I13:I35)</f>
        <v>71000</v>
      </c>
      <c r="H10" s="124"/>
      <c r="I10" s="95" t="s">
        <v>925</v>
      </c>
      <c r="J10" s="96">
        <f>SUM(J13:J35)</f>
        <v>7100</v>
      </c>
    </row>
    <row r="11" spans="1:10" ht="8.25" customHeight="1" thickBot="1"/>
    <row r="12" spans="1:10" ht="17.100000000000001" customHeight="1">
      <c r="B12" s="5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6" t="s">
        <v>11</v>
      </c>
      <c r="I12" s="6" t="s">
        <v>12</v>
      </c>
      <c r="J12" s="7" t="s">
        <v>13</v>
      </c>
    </row>
    <row r="13" spans="1:10" ht="17.100000000000001" customHeight="1">
      <c r="B13" s="8" t="s">
        <v>89</v>
      </c>
      <c r="C13" s="69"/>
      <c r="D13" s="69"/>
      <c r="E13" s="9" t="str">
        <f>IF(B13="","",VLOOKUP(B13,tbl제품목록[#Data],2,0))</f>
        <v>신한 100% 파인애플 시럽</v>
      </c>
      <c r="F13" s="76" t="str">
        <f>IF(B13="","",VLOOKUP(B13,tbl제품목록[#Data],5,0))</f>
        <v>36 boxes</v>
      </c>
      <c r="G13" s="10">
        <v>1</v>
      </c>
      <c r="H13" s="11">
        <f>IF(B13="","",VLOOKUP(B13,tbl제품목록[#Data],6,0))</f>
        <v>21000</v>
      </c>
      <c r="I13" s="11">
        <f>IF(B13="","",G13*H13)</f>
        <v>21000</v>
      </c>
      <c r="J13" s="12">
        <f t="shared" ref="J13:J35" si="0">IF(B13="","",I13*10%)</f>
        <v>2100</v>
      </c>
    </row>
    <row r="14" spans="1:10" ht="17.100000000000001" customHeight="1">
      <c r="B14" s="13" t="s">
        <v>66</v>
      </c>
      <c r="C14" s="70"/>
      <c r="D14" s="70"/>
      <c r="E14" s="14" t="str">
        <f>IF(B14="","",VLOOKUP(B14,tbl제품목록[#Data],2,0))</f>
        <v>대양 특선 블루베리 잼</v>
      </c>
      <c r="F14" s="77" t="str">
        <f>IF(B14="","",VLOOKUP(B14,tbl제품목록[#Data],5,0))</f>
        <v>12 - 8 oz jars</v>
      </c>
      <c r="G14" s="15">
        <v>2</v>
      </c>
      <c r="H14" s="16">
        <f>IF(B14="","",VLOOKUP(B14,tbl제품목록[#Data],6,0))</f>
        <v>25000</v>
      </c>
      <c r="I14" s="16">
        <f t="shared" ref="I14:I35" si="1">IF(B14="","",G14*H14)</f>
        <v>50000</v>
      </c>
      <c r="J14" s="17">
        <f t="shared" si="0"/>
        <v>5000</v>
      </c>
    </row>
    <row r="15" spans="1:10" ht="17.100000000000001" customHeight="1">
      <c r="B15" s="13"/>
      <c r="C15" s="70"/>
      <c r="D15" s="70"/>
      <c r="E15" s="14" t="str">
        <f>IF(B15="","",VLOOKUP(B15,tbl제품목록[#Data],2,0))</f>
        <v/>
      </c>
      <c r="F15" s="77" t="str">
        <f>IF(B15="","",VLOOKUP(B15,tbl제품목록[#Data],5,0))</f>
        <v/>
      </c>
      <c r="G15" s="15"/>
      <c r="H15" s="16" t="str">
        <f>IF(B15="","",VLOOKUP(B15,tbl제품목록[#Data],6,0))</f>
        <v/>
      </c>
      <c r="I15" s="16" t="str">
        <f t="shared" si="1"/>
        <v/>
      </c>
      <c r="J15" s="17" t="str">
        <f t="shared" si="0"/>
        <v/>
      </c>
    </row>
    <row r="16" spans="1:10" ht="17.100000000000001" customHeight="1">
      <c r="B16" s="13"/>
      <c r="C16" s="70"/>
      <c r="D16" s="70"/>
      <c r="E16" s="14" t="str">
        <f>IF(B16="","",VLOOKUP(B16,tbl제품목록[#Data],2,0))</f>
        <v/>
      </c>
      <c r="F16" s="77" t="str">
        <f>IF(B16="","",VLOOKUP(B16,tbl제품목록[#Data],5,0))</f>
        <v/>
      </c>
      <c r="G16" s="15"/>
      <c r="H16" s="16" t="str">
        <f>IF(B16="","",VLOOKUP(B16,tbl제품목록[#Data],6,0))</f>
        <v/>
      </c>
      <c r="I16" s="16" t="str">
        <f t="shared" si="1"/>
        <v/>
      </c>
      <c r="J16" s="17" t="str">
        <f t="shared" si="0"/>
        <v/>
      </c>
    </row>
    <row r="17" spans="2:10" ht="17.100000000000001" customHeight="1">
      <c r="B17" s="13"/>
      <c r="C17" s="70"/>
      <c r="D17" s="70"/>
      <c r="E17" s="14" t="str">
        <f>IF(B17="","",VLOOKUP(B17,tbl제품목록[#Data],2,0))</f>
        <v/>
      </c>
      <c r="F17" s="77" t="str">
        <f>IF(B17="","",VLOOKUP(B17,tbl제품목록[#Data],5,0))</f>
        <v/>
      </c>
      <c r="G17" s="15"/>
      <c r="H17" s="16" t="str">
        <f>IF(B17="","",VLOOKUP(B17,tbl제품목록[#Data],6,0))</f>
        <v/>
      </c>
      <c r="I17" s="16" t="str">
        <f t="shared" si="1"/>
        <v/>
      </c>
      <c r="J17" s="17" t="str">
        <f t="shared" si="0"/>
        <v/>
      </c>
    </row>
    <row r="18" spans="2:10" ht="17.100000000000001" customHeight="1">
      <c r="B18" s="13"/>
      <c r="C18" s="70"/>
      <c r="D18" s="70"/>
      <c r="E18" s="14" t="str">
        <f>IF(B18="","",VLOOKUP(B18,tbl제품목록[#Data],2,0))</f>
        <v/>
      </c>
      <c r="F18" s="77" t="str">
        <f>IF(B18="","",VLOOKUP(B18,tbl제품목록[#Data],5,0))</f>
        <v/>
      </c>
      <c r="G18" s="15"/>
      <c r="H18" s="16" t="str">
        <f>IF(B18="","",VLOOKUP(B18,tbl제품목록[#Data],6,0))</f>
        <v/>
      </c>
      <c r="I18" s="16" t="str">
        <f t="shared" si="1"/>
        <v/>
      </c>
      <c r="J18" s="17" t="str">
        <f t="shared" si="0"/>
        <v/>
      </c>
    </row>
    <row r="19" spans="2:10" ht="17.100000000000001" customHeight="1">
      <c r="B19" s="13"/>
      <c r="C19" s="70"/>
      <c r="D19" s="70"/>
      <c r="E19" s="14" t="str">
        <f>IF(B19="","",VLOOKUP(B19,tbl제품목록[#Data],2,0))</f>
        <v/>
      </c>
      <c r="F19" s="77" t="str">
        <f>IF(B19="","",VLOOKUP(B19,tbl제품목록[#Data],5,0))</f>
        <v/>
      </c>
      <c r="G19" s="15"/>
      <c r="H19" s="16" t="str">
        <f>IF(B19="","",VLOOKUP(B19,tbl제품목록[#Data],6,0))</f>
        <v/>
      </c>
      <c r="I19" s="16" t="str">
        <f t="shared" si="1"/>
        <v/>
      </c>
      <c r="J19" s="17" t="str">
        <f t="shared" si="0"/>
        <v/>
      </c>
    </row>
    <row r="20" spans="2:10" ht="17.100000000000001" customHeight="1">
      <c r="B20" s="13"/>
      <c r="C20" s="70"/>
      <c r="D20" s="70"/>
      <c r="E20" s="14" t="str">
        <f>IF(B20="","",VLOOKUP(B20,tbl제품목록[#Data],2,0))</f>
        <v/>
      </c>
      <c r="F20" s="77" t="str">
        <f>IF(B20="","",VLOOKUP(B20,tbl제품목록[#Data],5,0))</f>
        <v/>
      </c>
      <c r="G20" s="15"/>
      <c r="H20" s="16" t="str">
        <f>IF(B20="","",VLOOKUP(B20,tbl제품목록[#Data],6,0))</f>
        <v/>
      </c>
      <c r="I20" s="16" t="str">
        <f t="shared" si="1"/>
        <v/>
      </c>
      <c r="J20" s="17" t="str">
        <f t="shared" si="0"/>
        <v/>
      </c>
    </row>
    <row r="21" spans="2:10" ht="17.100000000000001" customHeight="1">
      <c r="B21" s="13"/>
      <c r="C21" s="70"/>
      <c r="D21" s="70"/>
      <c r="E21" s="14" t="str">
        <f>IF(B21="","",VLOOKUP(B21,tbl제품목록[#Data],2,0))</f>
        <v/>
      </c>
      <c r="F21" s="77" t="str">
        <f>IF(B21="","",VLOOKUP(B21,tbl제품목록[#Data],5,0))</f>
        <v/>
      </c>
      <c r="G21" s="15"/>
      <c r="H21" s="16" t="str">
        <f>IF(B21="","",VLOOKUP(B21,tbl제품목록[#Data],6,0))</f>
        <v/>
      </c>
      <c r="I21" s="16" t="str">
        <f t="shared" si="1"/>
        <v/>
      </c>
      <c r="J21" s="17" t="str">
        <f t="shared" si="0"/>
        <v/>
      </c>
    </row>
    <row r="22" spans="2:10" ht="17.100000000000001" customHeight="1">
      <c r="B22" s="13"/>
      <c r="C22" s="70"/>
      <c r="D22" s="70"/>
      <c r="E22" s="14" t="str">
        <f>IF(B22="","",VLOOKUP(B22,tbl제품목록[#Data],2,0))</f>
        <v/>
      </c>
      <c r="F22" s="77" t="str">
        <f>IF(B22="","",VLOOKUP(B22,tbl제품목록[#Data],5,0))</f>
        <v/>
      </c>
      <c r="G22" s="15"/>
      <c r="H22" s="16" t="str">
        <f>IF(B22="","",VLOOKUP(B22,tbl제품목록[#Data],6,0))</f>
        <v/>
      </c>
      <c r="I22" s="16" t="str">
        <f t="shared" si="1"/>
        <v/>
      </c>
      <c r="J22" s="17" t="str">
        <f t="shared" si="0"/>
        <v/>
      </c>
    </row>
    <row r="23" spans="2:10" ht="17.100000000000001" customHeight="1">
      <c r="B23" s="13"/>
      <c r="C23" s="70"/>
      <c r="D23" s="70"/>
      <c r="E23" s="14" t="str">
        <f>IF(B23="","",VLOOKUP(B23,tbl제품목록[#Data],2,0))</f>
        <v/>
      </c>
      <c r="F23" s="77" t="str">
        <f>IF(B23="","",VLOOKUP(B23,tbl제품목록[#Data],5,0))</f>
        <v/>
      </c>
      <c r="G23" s="15"/>
      <c r="H23" s="16" t="str">
        <f>IF(B23="","",VLOOKUP(B23,tbl제품목록[#Data],6,0))</f>
        <v/>
      </c>
      <c r="I23" s="16" t="str">
        <f t="shared" si="1"/>
        <v/>
      </c>
      <c r="J23" s="17" t="str">
        <f t="shared" si="0"/>
        <v/>
      </c>
    </row>
    <row r="24" spans="2:10" ht="17.100000000000001" customHeight="1">
      <c r="B24" s="13"/>
      <c r="C24" s="70"/>
      <c r="D24" s="70"/>
      <c r="E24" s="14" t="str">
        <f>IF(B24="","",VLOOKUP(B24,tbl제품목록[#Data],2,0))</f>
        <v/>
      </c>
      <c r="F24" s="77" t="str">
        <f>IF(B24="","",VLOOKUP(B24,tbl제품목록[#Data],5,0))</f>
        <v/>
      </c>
      <c r="G24" s="15"/>
      <c r="H24" s="16" t="str">
        <f>IF(B24="","",VLOOKUP(B24,tbl제품목록[#Data],6,0))</f>
        <v/>
      </c>
      <c r="I24" s="16" t="str">
        <f t="shared" si="1"/>
        <v/>
      </c>
      <c r="J24" s="17" t="str">
        <f t="shared" si="0"/>
        <v/>
      </c>
    </row>
    <row r="25" spans="2:10" ht="17.100000000000001" customHeight="1">
      <c r="B25" s="13"/>
      <c r="C25" s="70"/>
      <c r="D25" s="70"/>
      <c r="E25" s="14" t="str">
        <f>IF(B25="","",VLOOKUP(B25,tbl제품목록[#Data],2,0))</f>
        <v/>
      </c>
      <c r="F25" s="77" t="str">
        <f>IF(B25="","",VLOOKUP(B25,tbl제품목록[#Data],5,0))</f>
        <v/>
      </c>
      <c r="G25" s="15"/>
      <c r="H25" s="16" t="str">
        <f>IF(B25="","",VLOOKUP(B25,tbl제품목록[#Data],6,0))</f>
        <v/>
      </c>
      <c r="I25" s="16" t="str">
        <f t="shared" si="1"/>
        <v/>
      </c>
      <c r="J25" s="17" t="str">
        <f t="shared" si="0"/>
        <v/>
      </c>
    </row>
    <row r="26" spans="2:10" ht="17.100000000000001" customHeight="1">
      <c r="B26" s="13"/>
      <c r="C26" s="70"/>
      <c r="D26" s="70"/>
      <c r="E26" s="14" t="str">
        <f>IF(B26="","",VLOOKUP(B26,tbl제품목록[#Data],2,0))</f>
        <v/>
      </c>
      <c r="F26" s="77" t="str">
        <f>IF(B26="","",VLOOKUP(B26,tbl제품목록[#Data],5,0))</f>
        <v/>
      </c>
      <c r="G26" s="15"/>
      <c r="H26" s="16" t="str">
        <f>IF(B26="","",VLOOKUP(B26,tbl제품목록[#Data],6,0))</f>
        <v/>
      </c>
      <c r="I26" s="16" t="str">
        <f t="shared" si="1"/>
        <v/>
      </c>
      <c r="J26" s="17" t="str">
        <f t="shared" si="0"/>
        <v/>
      </c>
    </row>
    <row r="27" spans="2:10" ht="17.100000000000001" customHeight="1">
      <c r="B27" s="13"/>
      <c r="C27" s="70"/>
      <c r="D27" s="70"/>
      <c r="E27" s="14" t="str">
        <f>IF(B27="","",VLOOKUP(B27,tbl제품목록[#Data],2,0))</f>
        <v/>
      </c>
      <c r="F27" s="77" t="str">
        <f>IF(B27="","",VLOOKUP(B27,tbl제품목록[#Data],5,0))</f>
        <v/>
      </c>
      <c r="G27" s="15"/>
      <c r="H27" s="16" t="str">
        <f>IF(B27="","",VLOOKUP(B27,tbl제품목록[#Data],6,0))</f>
        <v/>
      </c>
      <c r="I27" s="16" t="str">
        <f t="shared" si="1"/>
        <v/>
      </c>
      <c r="J27" s="17" t="str">
        <f t="shared" si="0"/>
        <v/>
      </c>
    </row>
    <row r="28" spans="2:10" ht="17.100000000000001" customHeight="1">
      <c r="B28" s="13"/>
      <c r="C28" s="70"/>
      <c r="D28" s="70"/>
      <c r="E28" s="14" t="str">
        <f>IF(B28="","",VLOOKUP(B28,tbl제품목록[#Data],2,0))</f>
        <v/>
      </c>
      <c r="F28" s="77" t="str">
        <f>IF(B28="","",VLOOKUP(B28,tbl제품목록[#Data],5,0))</f>
        <v/>
      </c>
      <c r="G28" s="15"/>
      <c r="H28" s="16" t="str">
        <f>IF(B28="","",VLOOKUP(B28,tbl제품목록[#Data],6,0))</f>
        <v/>
      </c>
      <c r="I28" s="16" t="str">
        <f t="shared" si="1"/>
        <v/>
      </c>
      <c r="J28" s="17" t="str">
        <f t="shared" si="0"/>
        <v/>
      </c>
    </row>
    <row r="29" spans="2:10" ht="17.100000000000001" customHeight="1">
      <c r="B29" s="13"/>
      <c r="C29" s="70"/>
      <c r="D29" s="70"/>
      <c r="E29" s="14" t="str">
        <f>IF(B29="","",VLOOKUP(B29,tbl제품목록[#Data],2,0))</f>
        <v/>
      </c>
      <c r="F29" s="77" t="str">
        <f>IF(B29="","",VLOOKUP(B29,tbl제품목록[#Data],5,0))</f>
        <v/>
      </c>
      <c r="G29" s="15"/>
      <c r="H29" s="16" t="str">
        <f>IF(B29="","",VLOOKUP(B29,tbl제품목록[#Data],6,0))</f>
        <v/>
      </c>
      <c r="I29" s="16" t="str">
        <f t="shared" si="1"/>
        <v/>
      </c>
      <c r="J29" s="17" t="str">
        <f t="shared" si="0"/>
        <v/>
      </c>
    </row>
    <row r="30" spans="2:10" ht="17.100000000000001" customHeight="1">
      <c r="B30" s="13"/>
      <c r="C30" s="70"/>
      <c r="D30" s="70"/>
      <c r="E30" s="14" t="str">
        <f>IF(B30="","",VLOOKUP(B30,tbl제품목록[#Data],2,0))</f>
        <v/>
      </c>
      <c r="F30" s="77" t="str">
        <f>IF(B30="","",VLOOKUP(B30,tbl제품목록[#Data],5,0))</f>
        <v/>
      </c>
      <c r="G30" s="15"/>
      <c r="H30" s="16" t="str">
        <f>IF(B30="","",VLOOKUP(B30,tbl제품목록[#Data],6,0))</f>
        <v/>
      </c>
      <c r="I30" s="16" t="str">
        <f t="shared" si="1"/>
        <v/>
      </c>
      <c r="J30" s="17" t="str">
        <f t="shared" si="0"/>
        <v/>
      </c>
    </row>
    <row r="31" spans="2:10" ht="17.100000000000001" customHeight="1">
      <c r="B31" s="13"/>
      <c r="C31" s="70"/>
      <c r="D31" s="70"/>
      <c r="E31" s="14" t="str">
        <f>IF(B31="","",VLOOKUP(B31,tbl제품목록[#Data],2,0))</f>
        <v/>
      </c>
      <c r="F31" s="77" t="str">
        <f>IF(B31="","",VLOOKUP(B31,tbl제품목록[#Data],5,0))</f>
        <v/>
      </c>
      <c r="G31" s="15"/>
      <c r="H31" s="16" t="str">
        <f>IF(B31="","",VLOOKUP(B31,tbl제품목록[#Data],6,0))</f>
        <v/>
      </c>
      <c r="I31" s="16" t="str">
        <f t="shared" si="1"/>
        <v/>
      </c>
      <c r="J31" s="17" t="str">
        <f t="shared" si="0"/>
        <v/>
      </c>
    </row>
    <row r="32" spans="2:10" ht="17.100000000000001" customHeight="1">
      <c r="B32" s="13"/>
      <c r="C32" s="70"/>
      <c r="D32" s="70"/>
      <c r="E32" s="14" t="str">
        <f>IF(B32="","",VLOOKUP(B32,tbl제품목록[#Data],2,0))</f>
        <v/>
      </c>
      <c r="F32" s="77" t="str">
        <f>IF(B32="","",VLOOKUP(B32,tbl제품목록[#Data],5,0))</f>
        <v/>
      </c>
      <c r="G32" s="15"/>
      <c r="H32" s="16" t="str">
        <f>IF(B32="","",VLOOKUP(B32,tbl제품목록[#Data],6,0))</f>
        <v/>
      </c>
      <c r="I32" s="16" t="str">
        <f t="shared" si="1"/>
        <v/>
      </c>
      <c r="J32" s="17" t="str">
        <f t="shared" si="0"/>
        <v/>
      </c>
    </row>
    <row r="33" spans="2:10" ht="17.100000000000001" customHeight="1">
      <c r="B33" s="13"/>
      <c r="C33" s="70"/>
      <c r="D33" s="70"/>
      <c r="E33" s="14" t="str">
        <f>IF(B33="","",VLOOKUP(B33,tbl제품목록[#Data],2,0))</f>
        <v/>
      </c>
      <c r="F33" s="77" t="str">
        <f>IF(B33="","",VLOOKUP(B33,tbl제품목록[#Data],5,0))</f>
        <v/>
      </c>
      <c r="G33" s="15"/>
      <c r="H33" s="16" t="str">
        <f>IF(B33="","",VLOOKUP(B33,tbl제품목록[#Data],6,0))</f>
        <v/>
      </c>
      <c r="I33" s="16" t="str">
        <f t="shared" si="1"/>
        <v/>
      </c>
      <c r="J33" s="17" t="str">
        <f t="shared" si="0"/>
        <v/>
      </c>
    </row>
    <row r="34" spans="2:10" ht="17.100000000000001" customHeight="1">
      <c r="B34" s="13"/>
      <c r="C34" s="70"/>
      <c r="D34" s="70"/>
      <c r="E34" s="14" t="str">
        <f>IF(B34="","",VLOOKUP(B34,tbl제품목록[#Data],2,0))</f>
        <v/>
      </c>
      <c r="F34" s="77" t="str">
        <f>IF(B34="","",VLOOKUP(B34,tbl제품목록[#Data],5,0))</f>
        <v/>
      </c>
      <c r="G34" s="15"/>
      <c r="H34" s="16" t="str">
        <f>IF(B34="","",VLOOKUP(B34,tbl제품목록[#Data],6,0))</f>
        <v/>
      </c>
      <c r="I34" s="16" t="str">
        <f t="shared" si="1"/>
        <v/>
      </c>
      <c r="J34" s="17" t="str">
        <f t="shared" si="0"/>
        <v/>
      </c>
    </row>
    <row r="35" spans="2:10" ht="17.100000000000001" customHeight="1" thickBot="1">
      <c r="B35" s="18"/>
      <c r="C35" s="71"/>
      <c r="D35" s="71"/>
      <c r="E35" s="19" t="str">
        <f>IF(B35="","",VLOOKUP(B35,tbl제품목록[#Data],2,0))</f>
        <v/>
      </c>
      <c r="F35" s="78" t="str">
        <f>IF(B35="","",VLOOKUP(B35,tbl제품목록[#Data],5,0))</f>
        <v/>
      </c>
      <c r="G35" s="20"/>
      <c r="H35" s="21" t="str">
        <f>IF(B35="","",VLOOKUP(B35,tbl제품목록[#Data],6,0))</f>
        <v/>
      </c>
      <c r="I35" s="21" t="str">
        <f t="shared" si="1"/>
        <v/>
      </c>
      <c r="J35" s="22" t="str">
        <f t="shared" si="0"/>
        <v/>
      </c>
    </row>
    <row r="36" spans="2:10" ht="17.100000000000001" customHeight="1"/>
    <row r="37" spans="2:10" ht="17.100000000000001" customHeight="1"/>
    <row r="38" spans="2:10" ht="17.100000000000001" customHeight="1"/>
    <row r="39" spans="2:10" ht="17.100000000000001" customHeight="1"/>
    <row r="40" spans="2:10" ht="17.100000000000001" customHeight="1">
      <c r="D40" s="23"/>
      <c r="E40" s="24"/>
      <c r="F40" s="25"/>
      <c r="G40" s="26"/>
      <c r="H40" s="25"/>
      <c r="I40" s="25"/>
    </row>
    <row r="41" spans="2:10" ht="17.100000000000001" customHeight="1">
      <c r="D41" s="24"/>
      <c r="E41" s="24"/>
      <c r="F41" s="25"/>
      <c r="G41" s="26"/>
      <c r="H41" s="25"/>
      <c r="I41" s="25"/>
    </row>
    <row r="42" spans="2:10">
      <c r="D42" s="24"/>
      <c r="E42" s="27"/>
      <c r="F42" s="25"/>
      <c r="G42" s="26"/>
      <c r="H42" s="25"/>
      <c r="I42" s="25"/>
    </row>
    <row r="43" spans="2:10">
      <c r="D43" s="24"/>
      <c r="E43" s="27"/>
      <c r="F43" s="125"/>
      <c r="G43" s="125"/>
      <c r="H43" s="125"/>
      <c r="I43" s="125"/>
    </row>
    <row r="44" spans="2:10">
      <c r="D44" s="24"/>
      <c r="E44" s="27"/>
      <c r="F44" s="117"/>
      <c r="G44" s="117"/>
      <c r="H44" s="117"/>
      <c r="I44" s="117"/>
    </row>
  </sheetData>
  <mergeCells count="14">
    <mergeCell ref="F44:I44"/>
    <mergeCell ref="B8:D8"/>
    <mergeCell ref="G7:I7"/>
    <mergeCell ref="C9:D9"/>
    <mergeCell ref="G10:H10"/>
    <mergeCell ref="F43:I43"/>
    <mergeCell ref="E8:I8"/>
    <mergeCell ref="B10:D10"/>
    <mergeCell ref="B2:I2"/>
    <mergeCell ref="B4:D4"/>
    <mergeCell ref="G4:I4"/>
    <mergeCell ref="B6:D6"/>
    <mergeCell ref="B7:D7"/>
    <mergeCell ref="G6:I6"/>
  </mergeCells>
  <phoneticPr fontId="1" type="noConversion"/>
  <conditionalFormatting sqref="B2:I2">
    <cfRule type="containsText" dxfId="40" priority="1" operator="containsText" text="신규등록">
      <formula>NOT(ISERROR(SEARCH("신규등록",B2)))</formula>
    </cfRule>
  </conditionalFormatting>
  <dataValidations count="1">
    <dataValidation type="list" allowBlank="1" showInputMessage="1" showErrorMessage="1" sqref="B13:B35">
      <formula1>nm품목코드</formula1>
    </dataValidation>
  </dataValidations>
  <pageMargins left="0.74803149606299213" right="0.74803149606299213" top="0.78740157480314965" bottom="0.78740157480314965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57"/>
  </sheetPr>
  <dimension ref="B1:BJ38"/>
  <sheetViews>
    <sheetView showGridLines="0" view="pageBreakPreview" zoomScale="85" zoomScaleNormal="100" zoomScaleSheetLayoutView="85" workbookViewId="0">
      <selection activeCell="AB6" sqref="AB6:AE7"/>
    </sheetView>
  </sheetViews>
  <sheetFormatPr defaultColWidth="2.625" defaultRowHeight="13.5" customHeight="1"/>
  <cols>
    <col min="1" max="1" width="1.625" style="28" customWidth="1"/>
    <col min="2" max="3" width="2.625" style="28"/>
    <col min="4" max="8" width="4.75" style="28" customWidth="1"/>
    <col min="9" max="13" width="2.875" style="28" customWidth="1"/>
    <col min="14" max="15" width="2.625" style="28" customWidth="1"/>
    <col min="16" max="16" width="2.375" style="28" customWidth="1"/>
    <col min="17" max="19" width="2.5" style="28" customWidth="1"/>
    <col min="20" max="31" width="2.25" style="28" customWidth="1"/>
    <col min="32" max="32" width="1.625" style="28" customWidth="1"/>
    <col min="33" max="34" width="2.625" style="28"/>
    <col min="35" max="39" width="4.75" style="28" customWidth="1"/>
    <col min="40" max="44" width="2.875" style="28" customWidth="1"/>
    <col min="45" max="46" width="2.625" style="28" customWidth="1"/>
    <col min="47" max="47" width="2.375" style="28" customWidth="1"/>
    <col min="48" max="50" width="2.5" style="28" customWidth="1"/>
    <col min="51" max="62" width="2.25" style="28" customWidth="1"/>
    <col min="63" max="63" width="1.625" style="28" customWidth="1"/>
    <col min="64" max="16384" width="2.625" style="28"/>
  </cols>
  <sheetData>
    <row r="1" spans="2:62" ht="8.25" customHeight="1" thickBot="1"/>
    <row r="2" spans="2:62" ht="24.95" customHeight="1">
      <c r="B2" s="136" t="s">
        <v>46</v>
      </c>
      <c r="C2" s="137"/>
      <c r="D2" s="137"/>
      <c r="E2" s="137"/>
      <c r="F2" s="138"/>
      <c r="G2" s="132" t="s">
        <v>47</v>
      </c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66"/>
      <c r="Z2" s="29"/>
      <c r="AA2" s="30"/>
      <c r="AB2" s="29"/>
      <c r="AC2" s="29"/>
      <c r="AD2" s="29"/>
      <c r="AE2" s="31"/>
      <c r="AG2" s="136" t="s">
        <v>14</v>
      </c>
      <c r="AH2" s="137"/>
      <c r="AI2" s="137"/>
      <c r="AJ2" s="137"/>
      <c r="AK2" s="138"/>
      <c r="AL2" s="132" t="s">
        <v>15</v>
      </c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66"/>
      <c r="BE2" s="29"/>
      <c r="BF2" s="30"/>
      <c r="BG2" s="29"/>
      <c r="BH2" s="29"/>
      <c r="BI2" s="29"/>
      <c r="BJ2" s="31"/>
    </row>
    <row r="3" spans="2:62" ht="24.95" customHeight="1" thickBot="1">
      <c r="B3" s="139">
        <f>'거래명세서(입력)'!G7</f>
        <v>41784</v>
      </c>
      <c r="C3" s="140"/>
      <c r="D3" s="140"/>
      <c r="E3" s="140"/>
      <c r="F3" s="141"/>
      <c r="G3" s="134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0" t="s">
        <v>823</v>
      </c>
      <c r="Z3" s="130"/>
      <c r="AA3" s="130"/>
      <c r="AB3" s="130"/>
      <c r="AC3" s="130"/>
      <c r="AD3" s="130"/>
      <c r="AE3" s="131"/>
      <c r="AG3" s="313">
        <f>B3</f>
        <v>41784</v>
      </c>
      <c r="AH3" s="314"/>
      <c r="AI3" s="314"/>
      <c r="AJ3" s="314"/>
      <c r="AK3" s="315"/>
      <c r="AL3" s="134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0" t="s">
        <v>16</v>
      </c>
      <c r="BE3" s="130"/>
      <c r="BF3" s="130"/>
      <c r="BG3" s="130"/>
      <c r="BH3" s="130"/>
      <c r="BI3" s="130"/>
      <c r="BJ3" s="131"/>
    </row>
    <row r="4" spans="2:62" ht="13.5" customHeight="1">
      <c r="B4" s="142" t="s">
        <v>17</v>
      </c>
      <c r="C4" s="145" t="s">
        <v>18</v>
      </c>
      <c r="D4" s="146"/>
      <c r="E4" s="147"/>
      <c r="F4" s="154" t="str">
        <f>'거래명세서(입력)'!E6</f>
        <v>진흥 ㈜</v>
      </c>
      <c r="G4" s="155"/>
      <c r="H4" s="155"/>
      <c r="I4" s="155"/>
      <c r="J4" s="155"/>
      <c r="K4" s="155"/>
      <c r="L4" s="155"/>
      <c r="M4" s="155"/>
      <c r="N4" s="158" t="s">
        <v>19</v>
      </c>
      <c r="O4" s="159"/>
      <c r="P4" s="151" t="s">
        <v>48</v>
      </c>
      <c r="Q4" s="145" t="s">
        <v>21</v>
      </c>
      <c r="R4" s="146"/>
      <c r="S4" s="147"/>
      <c r="T4" s="185" t="s">
        <v>806</v>
      </c>
      <c r="U4" s="185" t="s">
        <v>807</v>
      </c>
      <c r="V4" s="185" t="s">
        <v>808</v>
      </c>
      <c r="W4" s="185" t="s">
        <v>809</v>
      </c>
      <c r="X4" s="185" t="s">
        <v>810</v>
      </c>
      <c r="Y4" s="185" t="s">
        <v>811</v>
      </c>
      <c r="Z4" s="185" t="s">
        <v>809</v>
      </c>
      <c r="AA4" s="185" t="s">
        <v>812</v>
      </c>
      <c r="AB4" s="185" t="s">
        <v>813</v>
      </c>
      <c r="AC4" s="185" t="s">
        <v>814</v>
      </c>
      <c r="AD4" s="185" t="s">
        <v>815</v>
      </c>
      <c r="AE4" s="187" t="s">
        <v>816</v>
      </c>
      <c r="AG4" s="316" t="s">
        <v>17</v>
      </c>
      <c r="AH4" s="319" t="s">
        <v>18</v>
      </c>
      <c r="AI4" s="319"/>
      <c r="AJ4" s="319"/>
      <c r="AK4" s="154" t="str">
        <f>F4</f>
        <v>진흥 ㈜</v>
      </c>
      <c r="AL4" s="155"/>
      <c r="AM4" s="155"/>
      <c r="AN4" s="155"/>
      <c r="AO4" s="155"/>
      <c r="AP4" s="155"/>
      <c r="AQ4" s="155"/>
      <c r="AR4" s="155"/>
      <c r="AS4" s="326" t="s">
        <v>19</v>
      </c>
      <c r="AT4" s="326"/>
      <c r="AU4" s="321" t="s">
        <v>20</v>
      </c>
      <c r="AV4" s="319" t="s">
        <v>21</v>
      </c>
      <c r="AW4" s="319"/>
      <c r="AX4" s="319"/>
      <c r="AY4" s="185" t="str">
        <f t="shared" ref="AY4:BJ4" si="0">T4</f>
        <v>1</v>
      </c>
      <c r="AZ4" s="185" t="str">
        <f t="shared" si="0"/>
        <v>2</v>
      </c>
      <c r="BA4" s="185" t="str">
        <f t="shared" si="0"/>
        <v>3</v>
      </c>
      <c r="BB4" s="185" t="str">
        <f t="shared" si="0"/>
        <v>-</v>
      </c>
      <c r="BC4" s="185" t="str">
        <f t="shared" si="0"/>
        <v>4</v>
      </c>
      <c r="BD4" s="185" t="str">
        <f t="shared" si="0"/>
        <v>5</v>
      </c>
      <c r="BE4" s="185" t="str">
        <f t="shared" si="0"/>
        <v>-</v>
      </c>
      <c r="BF4" s="185" t="str">
        <f t="shared" si="0"/>
        <v>6</v>
      </c>
      <c r="BG4" s="185" t="str">
        <f t="shared" si="0"/>
        <v>7</v>
      </c>
      <c r="BH4" s="185" t="str">
        <f t="shared" si="0"/>
        <v>8</v>
      </c>
      <c r="BI4" s="185" t="str">
        <f t="shared" si="0"/>
        <v>9</v>
      </c>
      <c r="BJ4" s="187" t="str">
        <f t="shared" si="0"/>
        <v>0</v>
      </c>
    </row>
    <row r="5" spans="2:62" ht="13.5" customHeight="1">
      <c r="B5" s="143"/>
      <c r="C5" s="148"/>
      <c r="D5" s="149"/>
      <c r="E5" s="150"/>
      <c r="F5" s="156"/>
      <c r="G5" s="157"/>
      <c r="H5" s="157"/>
      <c r="I5" s="157"/>
      <c r="J5" s="157"/>
      <c r="K5" s="157"/>
      <c r="L5" s="157"/>
      <c r="M5" s="157"/>
      <c r="N5" s="160"/>
      <c r="O5" s="161"/>
      <c r="P5" s="152"/>
      <c r="Q5" s="148"/>
      <c r="R5" s="149"/>
      <c r="S5" s="150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8"/>
      <c r="AG5" s="317"/>
      <c r="AH5" s="320"/>
      <c r="AI5" s="320"/>
      <c r="AJ5" s="320"/>
      <c r="AK5" s="156"/>
      <c r="AL5" s="157"/>
      <c r="AM5" s="157"/>
      <c r="AN5" s="157"/>
      <c r="AO5" s="157"/>
      <c r="AP5" s="157"/>
      <c r="AQ5" s="157"/>
      <c r="AR5" s="157"/>
      <c r="AS5" s="327"/>
      <c r="AT5" s="327"/>
      <c r="AU5" s="322"/>
      <c r="AV5" s="320"/>
      <c r="AW5" s="320"/>
      <c r="AX5" s="320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8"/>
    </row>
    <row r="6" spans="2:62" ht="13.5" customHeight="1">
      <c r="B6" s="143"/>
      <c r="C6" s="162" t="s">
        <v>22</v>
      </c>
      <c r="D6" s="163"/>
      <c r="E6" s="164"/>
      <c r="F6" s="165" t="str">
        <f>'거래명세서(입력)'!$E$8</f>
        <v>성북구 길음동 136-11</v>
      </c>
      <c r="G6" s="166"/>
      <c r="H6" s="166"/>
      <c r="I6" s="166"/>
      <c r="J6" s="166"/>
      <c r="K6" s="166"/>
      <c r="L6" s="166"/>
      <c r="M6" s="166"/>
      <c r="N6" s="166"/>
      <c r="O6" s="167"/>
      <c r="P6" s="152"/>
      <c r="Q6" s="162" t="s">
        <v>23</v>
      </c>
      <c r="R6" s="163"/>
      <c r="S6" s="164"/>
      <c r="T6" s="171" t="s">
        <v>817</v>
      </c>
      <c r="U6" s="172"/>
      <c r="V6" s="172"/>
      <c r="W6" s="172"/>
      <c r="X6" s="172"/>
      <c r="Y6" s="172"/>
      <c r="Z6" s="173"/>
      <c r="AA6" s="177" t="s">
        <v>24</v>
      </c>
      <c r="AB6" s="179" t="s">
        <v>818</v>
      </c>
      <c r="AC6" s="180"/>
      <c r="AD6" s="180"/>
      <c r="AE6" s="181"/>
      <c r="AG6" s="317"/>
      <c r="AH6" s="162" t="s">
        <v>22</v>
      </c>
      <c r="AI6" s="163"/>
      <c r="AJ6" s="164"/>
      <c r="AK6" s="165" t="str">
        <f>F6</f>
        <v>성북구 길음동 136-11</v>
      </c>
      <c r="AL6" s="166"/>
      <c r="AM6" s="166"/>
      <c r="AN6" s="166"/>
      <c r="AO6" s="166"/>
      <c r="AP6" s="166"/>
      <c r="AQ6" s="166"/>
      <c r="AR6" s="166"/>
      <c r="AS6" s="166"/>
      <c r="AT6" s="166"/>
      <c r="AU6" s="322"/>
      <c r="AV6" s="324" t="s">
        <v>23</v>
      </c>
      <c r="AW6" s="324"/>
      <c r="AX6" s="324"/>
      <c r="AY6" s="179" t="str">
        <f t="shared" ref="AY6" si="1">T6</f>
        <v>길벗 출판사</v>
      </c>
      <c r="AZ6" s="180"/>
      <c r="BA6" s="180"/>
      <c r="BB6" s="180"/>
      <c r="BC6" s="180"/>
      <c r="BD6" s="180"/>
      <c r="BE6" s="332"/>
      <c r="BF6" s="177" t="s">
        <v>24</v>
      </c>
      <c r="BG6" s="179" t="str">
        <f t="shared" ref="BG6" si="2">AB6</f>
        <v>이길벗</v>
      </c>
      <c r="BH6" s="180"/>
      <c r="BI6" s="180"/>
      <c r="BJ6" s="181"/>
    </row>
    <row r="7" spans="2:62" ht="13.5" customHeight="1">
      <c r="B7" s="143"/>
      <c r="C7" s="148" t="s">
        <v>25</v>
      </c>
      <c r="D7" s="149"/>
      <c r="E7" s="150"/>
      <c r="F7" s="168"/>
      <c r="G7" s="169"/>
      <c r="H7" s="169"/>
      <c r="I7" s="169"/>
      <c r="J7" s="169"/>
      <c r="K7" s="169"/>
      <c r="L7" s="169"/>
      <c r="M7" s="169"/>
      <c r="N7" s="169"/>
      <c r="O7" s="170"/>
      <c r="P7" s="152"/>
      <c r="Q7" s="148" t="s">
        <v>26</v>
      </c>
      <c r="R7" s="149"/>
      <c r="S7" s="150"/>
      <c r="T7" s="174"/>
      <c r="U7" s="175"/>
      <c r="V7" s="175"/>
      <c r="W7" s="175"/>
      <c r="X7" s="175"/>
      <c r="Y7" s="175"/>
      <c r="Z7" s="176"/>
      <c r="AA7" s="178"/>
      <c r="AB7" s="182"/>
      <c r="AC7" s="183"/>
      <c r="AD7" s="183"/>
      <c r="AE7" s="184"/>
      <c r="AG7" s="317"/>
      <c r="AH7" s="148" t="s">
        <v>25</v>
      </c>
      <c r="AI7" s="149"/>
      <c r="AJ7" s="150"/>
      <c r="AK7" s="168"/>
      <c r="AL7" s="169"/>
      <c r="AM7" s="169"/>
      <c r="AN7" s="169"/>
      <c r="AO7" s="169"/>
      <c r="AP7" s="169"/>
      <c r="AQ7" s="169"/>
      <c r="AR7" s="169"/>
      <c r="AS7" s="169"/>
      <c r="AT7" s="169"/>
      <c r="AU7" s="322"/>
      <c r="AV7" s="336" t="s">
        <v>26</v>
      </c>
      <c r="AW7" s="336"/>
      <c r="AX7" s="336"/>
      <c r="AY7" s="182"/>
      <c r="AZ7" s="183"/>
      <c r="BA7" s="183"/>
      <c r="BB7" s="183"/>
      <c r="BC7" s="183"/>
      <c r="BD7" s="183"/>
      <c r="BE7" s="333"/>
      <c r="BF7" s="178"/>
      <c r="BG7" s="182"/>
      <c r="BH7" s="183"/>
      <c r="BI7" s="183"/>
      <c r="BJ7" s="184"/>
    </row>
    <row r="8" spans="2:62" ht="13.5" customHeight="1">
      <c r="B8" s="143"/>
      <c r="C8" s="199" t="s">
        <v>27</v>
      </c>
      <c r="D8" s="200"/>
      <c r="E8" s="201"/>
      <c r="F8" s="165" t="str">
        <f>'거래명세서(입력)'!G6</f>
        <v>(02)123-0345</v>
      </c>
      <c r="G8" s="166"/>
      <c r="H8" s="166"/>
      <c r="I8" s="166"/>
      <c r="J8" s="166"/>
      <c r="K8" s="166"/>
      <c r="L8" s="166"/>
      <c r="M8" s="166"/>
      <c r="N8" s="166"/>
      <c r="O8" s="167"/>
      <c r="P8" s="152"/>
      <c r="Q8" s="162" t="s">
        <v>22</v>
      </c>
      <c r="R8" s="163"/>
      <c r="S8" s="164"/>
      <c r="T8" s="205" t="s">
        <v>819</v>
      </c>
      <c r="U8" s="206"/>
      <c r="V8" s="206"/>
      <c r="W8" s="206"/>
      <c r="X8" s="206"/>
      <c r="Y8" s="206"/>
      <c r="Z8" s="206"/>
      <c r="AA8" s="206"/>
      <c r="AB8" s="206"/>
      <c r="AC8" s="206"/>
      <c r="AD8" s="206"/>
      <c r="AE8" s="207"/>
      <c r="AG8" s="317"/>
      <c r="AH8" s="199" t="s">
        <v>27</v>
      </c>
      <c r="AI8" s="200"/>
      <c r="AJ8" s="201"/>
      <c r="AK8" s="337" t="str">
        <f>F8</f>
        <v>(02)123-0345</v>
      </c>
      <c r="AL8" s="337"/>
      <c r="AM8" s="337"/>
      <c r="AN8" s="337"/>
      <c r="AO8" s="337"/>
      <c r="AP8" s="337"/>
      <c r="AQ8" s="337"/>
      <c r="AR8" s="337"/>
      <c r="AS8" s="337"/>
      <c r="AT8" s="338"/>
      <c r="AU8" s="322"/>
      <c r="AV8" s="324" t="s">
        <v>22</v>
      </c>
      <c r="AW8" s="324"/>
      <c r="AX8" s="324"/>
      <c r="AY8" s="205" t="str">
        <f t="shared" ref="AY8" si="3">T8</f>
        <v>서울시 마포구 서교동 380-15</v>
      </c>
      <c r="AZ8" s="206"/>
      <c r="BA8" s="206"/>
      <c r="BB8" s="206"/>
      <c r="BC8" s="206"/>
      <c r="BD8" s="206"/>
      <c r="BE8" s="206"/>
      <c r="BF8" s="206"/>
      <c r="BG8" s="206"/>
      <c r="BH8" s="206"/>
      <c r="BI8" s="206"/>
      <c r="BJ8" s="207"/>
    </row>
    <row r="9" spans="2:62" ht="13.5" customHeight="1">
      <c r="B9" s="143"/>
      <c r="C9" s="202"/>
      <c r="D9" s="203"/>
      <c r="E9" s="204"/>
      <c r="F9" s="168"/>
      <c r="G9" s="169"/>
      <c r="H9" s="169"/>
      <c r="I9" s="169"/>
      <c r="J9" s="169"/>
      <c r="K9" s="169"/>
      <c r="L9" s="169"/>
      <c r="M9" s="169"/>
      <c r="N9" s="169"/>
      <c r="O9" s="170"/>
      <c r="P9" s="152"/>
      <c r="Q9" s="148" t="s">
        <v>25</v>
      </c>
      <c r="R9" s="149"/>
      <c r="S9" s="150"/>
      <c r="T9" s="208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10"/>
      <c r="AG9" s="317"/>
      <c r="AH9" s="202"/>
      <c r="AI9" s="203"/>
      <c r="AJ9" s="204"/>
      <c r="AK9" s="337"/>
      <c r="AL9" s="337"/>
      <c r="AM9" s="337"/>
      <c r="AN9" s="337"/>
      <c r="AO9" s="337"/>
      <c r="AP9" s="337"/>
      <c r="AQ9" s="337"/>
      <c r="AR9" s="337"/>
      <c r="AS9" s="337"/>
      <c r="AT9" s="338"/>
      <c r="AU9" s="322"/>
      <c r="AV9" s="336" t="s">
        <v>25</v>
      </c>
      <c r="AW9" s="336"/>
      <c r="AX9" s="336"/>
      <c r="AY9" s="208"/>
      <c r="AZ9" s="209"/>
      <c r="BA9" s="209"/>
      <c r="BB9" s="209"/>
      <c r="BC9" s="209"/>
      <c r="BD9" s="209"/>
      <c r="BE9" s="209"/>
      <c r="BF9" s="209"/>
      <c r="BG9" s="209"/>
      <c r="BH9" s="209"/>
      <c r="BI9" s="209"/>
      <c r="BJ9" s="210"/>
    </row>
    <row r="10" spans="2:62" ht="13.5" customHeight="1">
      <c r="B10" s="143"/>
      <c r="C10" s="162" t="s">
        <v>28</v>
      </c>
      <c r="D10" s="163"/>
      <c r="E10" s="164"/>
      <c r="F10" s="214">
        <f>'거래명세서(입력)'!J10</f>
        <v>7100</v>
      </c>
      <c r="G10" s="215"/>
      <c r="H10" s="215"/>
      <c r="I10" s="215"/>
      <c r="J10" s="215"/>
      <c r="K10" s="215"/>
      <c r="L10" s="215"/>
      <c r="M10" s="215"/>
      <c r="N10" s="215"/>
      <c r="O10" s="216"/>
      <c r="P10" s="152"/>
      <c r="Q10" s="162" t="s">
        <v>29</v>
      </c>
      <c r="R10" s="163"/>
      <c r="S10" s="164"/>
      <c r="T10" s="189" t="s">
        <v>820</v>
      </c>
      <c r="U10" s="190"/>
      <c r="V10" s="190"/>
      <c r="W10" s="190"/>
      <c r="X10" s="190"/>
      <c r="Y10" s="220"/>
      <c r="Z10" s="222" t="s">
        <v>822</v>
      </c>
      <c r="AA10" s="189" t="s">
        <v>821</v>
      </c>
      <c r="AB10" s="190"/>
      <c r="AC10" s="190"/>
      <c r="AD10" s="190"/>
      <c r="AE10" s="191"/>
      <c r="AG10" s="317"/>
      <c r="AH10" s="320" t="s">
        <v>28</v>
      </c>
      <c r="AI10" s="320"/>
      <c r="AJ10" s="320"/>
      <c r="AK10" s="328">
        <f>F10</f>
        <v>7100</v>
      </c>
      <c r="AL10" s="329"/>
      <c r="AM10" s="329"/>
      <c r="AN10" s="329"/>
      <c r="AO10" s="329"/>
      <c r="AP10" s="329"/>
      <c r="AQ10" s="329"/>
      <c r="AR10" s="329"/>
      <c r="AS10" s="329"/>
      <c r="AT10" s="329"/>
      <c r="AU10" s="322"/>
      <c r="AV10" s="320" t="s">
        <v>29</v>
      </c>
      <c r="AW10" s="320"/>
      <c r="AX10" s="320"/>
      <c r="AY10" s="334" t="str">
        <f t="shared" ref="AY10" si="4">T10</f>
        <v>02-332-0931</v>
      </c>
      <c r="AZ10" s="334"/>
      <c r="BA10" s="334"/>
      <c r="BB10" s="334"/>
      <c r="BC10" s="334"/>
      <c r="BD10" s="334"/>
      <c r="BE10" s="222" t="s">
        <v>30</v>
      </c>
      <c r="BF10" s="334" t="str">
        <f t="shared" ref="BF10" si="5">AA10</f>
        <v>02-323-0586</v>
      </c>
      <c r="BG10" s="334"/>
      <c r="BH10" s="334"/>
      <c r="BI10" s="334"/>
      <c r="BJ10" s="339"/>
    </row>
    <row r="11" spans="2:62" ht="13.5" customHeight="1" thickBot="1">
      <c r="B11" s="144"/>
      <c r="C11" s="211"/>
      <c r="D11" s="212"/>
      <c r="E11" s="213"/>
      <c r="F11" s="217"/>
      <c r="G11" s="218"/>
      <c r="H11" s="218"/>
      <c r="I11" s="218"/>
      <c r="J11" s="218"/>
      <c r="K11" s="218"/>
      <c r="L11" s="218"/>
      <c r="M11" s="218"/>
      <c r="N11" s="218"/>
      <c r="O11" s="219"/>
      <c r="P11" s="153"/>
      <c r="Q11" s="211"/>
      <c r="R11" s="212"/>
      <c r="S11" s="213"/>
      <c r="T11" s="192"/>
      <c r="U11" s="193"/>
      <c r="V11" s="193"/>
      <c r="W11" s="193"/>
      <c r="X11" s="193"/>
      <c r="Y11" s="221"/>
      <c r="Z11" s="223"/>
      <c r="AA11" s="192"/>
      <c r="AB11" s="193"/>
      <c r="AC11" s="193"/>
      <c r="AD11" s="193"/>
      <c r="AE11" s="194"/>
      <c r="AG11" s="318"/>
      <c r="AH11" s="325"/>
      <c r="AI11" s="325"/>
      <c r="AJ11" s="325"/>
      <c r="AK11" s="330"/>
      <c r="AL11" s="331"/>
      <c r="AM11" s="331"/>
      <c r="AN11" s="331"/>
      <c r="AO11" s="331"/>
      <c r="AP11" s="331"/>
      <c r="AQ11" s="331"/>
      <c r="AR11" s="331"/>
      <c r="AS11" s="331"/>
      <c r="AT11" s="331"/>
      <c r="AU11" s="323"/>
      <c r="AV11" s="324"/>
      <c r="AW11" s="324"/>
      <c r="AX11" s="324"/>
      <c r="AY11" s="335"/>
      <c r="AZ11" s="335"/>
      <c r="BA11" s="335"/>
      <c r="BB11" s="335"/>
      <c r="BC11" s="335"/>
      <c r="BD11" s="335"/>
      <c r="BE11" s="223"/>
      <c r="BF11" s="335"/>
      <c r="BG11" s="335"/>
      <c r="BH11" s="335"/>
      <c r="BI11" s="335"/>
      <c r="BJ11" s="340"/>
    </row>
    <row r="12" spans="2:62" ht="19.5" customHeight="1" thickBot="1">
      <c r="B12" s="32" t="s">
        <v>31</v>
      </c>
      <c r="C12" s="33" t="s">
        <v>32</v>
      </c>
      <c r="D12" s="195" t="s">
        <v>33</v>
      </c>
      <c r="E12" s="196"/>
      <c r="F12" s="196"/>
      <c r="G12" s="196"/>
      <c r="H12" s="197"/>
      <c r="I12" s="195" t="s">
        <v>34</v>
      </c>
      <c r="J12" s="196"/>
      <c r="K12" s="196"/>
      <c r="L12" s="196"/>
      <c r="M12" s="197"/>
      <c r="N12" s="195" t="s">
        <v>35</v>
      </c>
      <c r="O12" s="197"/>
      <c r="P12" s="195" t="s">
        <v>36</v>
      </c>
      <c r="Q12" s="196"/>
      <c r="R12" s="196"/>
      <c r="S12" s="197"/>
      <c r="T12" s="195" t="s">
        <v>37</v>
      </c>
      <c r="U12" s="196"/>
      <c r="V12" s="196"/>
      <c r="W12" s="196"/>
      <c r="X12" s="197"/>
      <c r="Y12" s="195" t="s">
        <v>38</v>
      </c>
      <c r="Z12" s="196"/>
      <c r="AA12" s="196"/>
      <c r="AB12" s="196"/>
      <c r="AC12" s="197"/>
      <c r="AD12" s="195" t="s">
        <v>39</v>
      </c>
      <c r="AE12" s="198"/>
      <c r="AG12" s="32" t="s">
        <v>31</v>
      </c>
      <c r="AH12" s="33" t="s">
        <v>32</v>
      </c>
      <c r="AI12" s="195" t="s">
        <v>33</v>
      </c>
      <c r="AJ12" s="196"/>
      <c r="AK12" s="196"/>
      <c r="AL12" s="196"/>
      <c r="AM12" s="197"/>
      <c r="AN12" s="195" t="s">
        <v>34</v>
      </c>
      <c r="AO12" s="196"/>
      <c r="AP12" s="196"/>
      <c r="AQ12" s="196"/>
      <c r="AR12" s="197"/>
      <c r="AS12" s="195" t="s">
        <v>35</v>
      </c>
      <c r="AT12" s="341"/>
      <c r="AU12" s="195" t="s">
        <v>36</v>
      </c>
      <c r="AV12" s="196"/>
      <c r="AW12" s="196"/>
      <c r="AX12" s="197"/>
      <c r="AY12" s="195" t="s">
        <v>37</v>
      </c>
      <c r="AZ12" s="196"/>
      <c r="BA12" s="196"/>
      <c r="BB12" s="196"/>
      <c r="BC12" s="197"/>
      <c r="BD12" s="195" t="s">
        <v>38</v>
      </c>
      <c r="BE12" s="342"/>
      <c r="BF12" s="342"/>
      <c r="BG12" s="342"/>
      <c r="BH12" s="341"/>
      <c r="BI12" s="343" t="s">
        <v>39</v>
      </c>
      <c r="BJ12" s="344"/>
    </row>
    <row r="13" spans="2:62" ht="20.100000000000001" customHeight="1">
      <c r="B13" s="34" t="str">
        <f>IF('거래명세서(입력)'!C13="","",'거래명세서(입력)'!C13)</f>
        <v/>
      </c>
      <c r="C13" s="35" t="str">
        <f>IF('거래명세서(입력)'!D13="","",'거래명세서(입력)'!D13)</f>
        <v/>
      </c>
      <c r="D13" s="224" t="str">
        <f>IF('거래명세서(입력)'!E13="","",'거래명세서(입력)'!E13)</f>
        <v>신한 100% 파인애플 시럽</v>
      </c>
      <c r="E13" s="235"/>
      <c r="F13" s="235"/>
      <c r="G13" s="235"/>
      <c r="H13" s="236"/>
      <c r="I13" s="237" t="str">
        <f>'거래명세서(입력)'!$F$13</f>
        <v>36 boxes</v>
      </c>
      <c r="J13" s="235"/>
      <c r="K13" s="235"/>
      <c r="L13" s="235"/>
      <c r="M13" s="236"/>
      <c r="N13" s="238">
        <f>IF('거래명세서(입력)'!G13="","",'거래명세서(입력)'!G13)</f>
        <v>1</v>
      </c>
      <c r="O13" s="239"/>
      <c r="P13" s="243">
        <f>'거래명세서(입력)'!$H$13</f>
        <v>21000</v>
      </c>
      <c r="Q13" s="244"/>
      <c r="R13" s="244"/>
      <c r="S13" s="245"/>
      <c r="T13" s="240">
        <f>'거래명세서(입력)'!$I$13</f>
        <v>21000</v>
      </c>
      <c r="U13" s="241"/>
      <c r="V13" s="241"/>
      <c r="W13" s="241"/>
      <c r="X13" s="242"/>
      <c r="Y13" s="240">
        <f>'거래명세서(입력)'!J13</f>
        <v>2100</v>
      </c>
      <c r="Z13" s="241"/>
      <c r="AA13" s="241"/>
      <c r="AB13" s="241"/>
      <c r="AC13" s="242"/>
      <c r="AD13" s="224"/>
      <c r="AE13" s="225"/>
      <c r="AG13" s="34" t="str">
        <f t="shared" ref="AG13:AG35" si="6">IF(B13="","",B13)</f>
        <v/>
      </c>
      <c r="AH13" s="35" t="str">
        <f t="shared" ref="AH13:AH35" si="7">IF(C13="","",C13)</f>
        <v/>
      </c>
      <c r="AI13" s="346" t="str">
        <f t="shared" ref="AI13:AI35" si="8">IF(D13="","",D13)</f>
        <v>신한 100% 파인애플 시럽</v>
      </c>
      <c r="AJ13" s="346"/>
      <c r="AK13" s="346"/>
      <c r="AL13" s="346"/>
      <c r="AM13" s="346"/>
      <c r="AN13" s="346" t="str">
        <f t="shared" ref="AN13:AN35" si="9">IF(I13="","",I13)</f>
        <v>36 boxes</v>
      </c>
      <c r="AO13" s="346"/>
      <c r="AP13" s="346"/>
      <c r="AQ13" s="346"/>
      <c r="AR13" s="346"/>
      <c r="AS13" s="348">
        <f t="shared" ref="AS13:AS35" si="10">IF(N13="","",N13)</f>
        <v>1</v>
      </c>
      <c r="AT13" s="348"/>
      <c r="AU13" s="240">
        <f t="shared" ref="AU13:AU35" si="11">IF(P13="","",P13)</f>
        <v>21000</v>
      </c>
      <c r="AV13" s="241"/>
      <c r="AW13" s="241"/>
      <c r="AX13" s="242"/>
      <c r="AY13" s="345">
        <f t="shared" ref="AY13:AY35" si="12">IF(T13="","",T13)</f>
        <v>21000</v>
      </c>
      <c r="AZ13" s="345"/>
      <c r="BA13" s="345"/>
      <c r="BB13" s="345"/>
      <c r="BC13" s="345"/>
      <c r="BD13" s="345">
        <f t="shared" ref="BD13:BD35" si="13">IF(Y13="","",Y13)</f>
        <v>2100</v>
      </c>
      <c r="BE13" s="345"/>
      <c r="BF13" s="345"/>
      <c r="BG13" s="345"/>
      <c r="BH13" s="345"/>
      <c r="BI13" s="346" t="str">
        <f t="shared" ref="BI13:BI35" si="14">IF(AD13="","",AD13)</f>
        <v/>
      </c>
      <c r="BJ13" s="347"/>
    </row>
    <row r="14" spans="2:62" ht="20.100000000000001" customHeight="1">
      <c r="B14" s="36" t="str">
        <f>IF('거래명세서(입력)'!C14="","",'거래명세서(입력)'!C14)</f>
        <v/>
      </c>
      <c r="C14" s="37" t="str">
        <f>IF('거래명세서(입력)'!D14="","",'거래명세서(입력)'!D14)</f>
        <v/>
      </c>
      <c r="D14" s="226" t="str">
        <f>IF('거래명세서(입력)'!E14="","",'거래명세서(입력)'!E14)</f>
        <v>대양 특선 블루베리 잼</v>
      </c>
      <c r="E14" s="227"/>
      <c r="F14" s="227"/>
      <c r="G14" s="227"/>
      <c r="H14" s="228"/>
      <c r="I14" s="226" t="str">
        <f>'거래명세서(입력)'!F14</f>
        <v>12 - 8 oz jars</v>
      </c>
      <c r="J14" s="227"/>
      <c r="K14" s="227"/>
      <c r="L14" s="227"/>
      <c r="M14" s="228"/>
      <c r="N14" s="229">
        <f>IF('거래명세서(입력)'!G14="","",'거래명세서(입력)'!G14)</f>
        <v>2</v>
      </c>
      <c r="O14" s="230"/>
      <c r="P14" s="246">
        <f>'거래명세서(입력)'!H14</f>
        <v>25000</v>
      </c>
      <c r="Q14" s="247"/>
      <c r="R14" s="247"/>
      <c r="S14" s="248"/>
      <c r="T14" s="231">
        <f>'거래명세서(입력)'!I14</f>
        <v>50000</v>
      </c>
      <c r="U14" s="232"/>
      <c r="V14" s="232"/>
      <c r="W14" s="232"/>
      <c r="X14" s="233"/>
      <c r="Y14" s="231">
        <f>'거래명세서(입력)'!J14</f>
        <v>5000</v>
      </c>
      <c r="Z14" s="232"/>
      <c r="AA14" s="232"/>
      <c r="AB14" s="232"/>
      <c r="AC14" s="233"/>
      <c r="AD14" s="226"/>
      <c r="AE14" s="234"/>
      <c r="AG14" s="36" t="str">
        <f t="shared" si="6"/>
        <v/>
      </c>
      <c r="AH14" s="37" t="str">
        <f t="shared" si="7"/>
        <v/>
      </c>
      <c r="AI14" s="226" t="str">
        <f t="shared" si="8"/>
        <v>대양 특선 블루베리 잼</v>
      </c>
      <c r="AJ14" s="227"/>
      <c r="AK14" s="227"/>
      <c r="AL14" s="227"/>
      <c r="AM14" s="228"/>
      <c r="AN14" s="334" t="str">
        <f t="shared" si="9"/>
        <v>12 - 8 oz jars</v>
      </c>
      <c r="AO14" s="334"/>
      <c r="AP14" s="334"/>
      <c r="AQ14" s="334"/>
      <c r="AR14" s="334"/>
      <c r="AS14" s="229">
        <f t="shared" si="10"/>
        <v>2</v>
      </c>
      <c r="AT14" s="230"/>
      <c r="AU14" s="231">
        <f t="shared" si="11"/>
        <v>25000</v>
      </c>
      <c r="AV14" s="232"/>
      <c r="AW14" s="232"/>
      <c r="AX14" s="233"/>
      <c r="AY14" s="349">
        <f t="shared" si="12"/>
        <v>50000</v>
      </c>
      <c r="AZ14" s="349"/>
      <c r="BA14" s="349"/>
      <c r="BB14" s="349"/>
      <c r="BC14" s="349"/>
      <c r="BD14" s="231">
        <f t="shared" si="13"/>
        <v>5000</v>
      </c>
      <c r="BE14" s="232"/>
      <c r="BF14" s="232"/>
      <c r="BG14" s="232"/>
      <c r="BH14" s="233"/>
      <c r="BI14" s="334" t="str">
        <f t="shared" si="14"/>
        <v/>
      </c>
      <c r="BJ14" s="339"/>
    </row>
    <row r="15" spans="2:62" ht="20.100000000000001" customHeight="1">
      <c r="B15" s="36" t="str">
        <f>IF('거래명세서(입력)'!C15="","",'거래명세서(입력)'!C15)</f>
        <v/>
      </c>
      <c r="C15" s="37" t="str">
        <f>IF('거래명세서(입력)'!D15="","",'거래명세서(입력)'!D15)</f>
        <v/>
      </c>
      <c r="D15" s="226" t="str">
        <f>IF('거래명세서(입력)'!E15="","",'거래명세서(입력)'!E15)</f>
        <v/>
      </c>
      <c r="E15" s="227"/>
      <c r="F15" s="227"/>
      <c r="G15" s="227"/>
      <c r="H15" s="228"/>
      <c r="I15" s="226" t="str">
        <f>'거래명세서(입력)'!F15</f>
        <v/>
      </c>
      <c r="J15" s="227"/>
      <c r="K15" s="227"/>
      <c r="L15" s="227"/>
      <c r="M15" s="228"/>
      <c r="N15" s="229" t="str">
        <f>IF('거래명세서(입력)'!G15="","",'거래명세서(입력)'!G15)</f>
        <v/>
      </c>
      <c r="O15" s="230"/>
      <c r="P15" s="246" t="str">
        <f>'거래명세서(입력)'!H15</f>
        <v/>
      </c>
      <c r="Q15" s="247"/>
      <c r="R15" s="247"/>
      <c r="S15" s="248"/>
      <c r="T15" s="231" t="str">
        <f>'거래명세서(입력)'!I15</f>
        <v/>
      </c>
      <c r="U15" s="232"/>
      <c r="V15" s="232"/>
      <c r="W15" s="232"/>
      <c r="X15" s="233"/>
      <c r="Y15" s="231" t="str">
        <f>'거래명세서(입력)'!J15</f>
        <v/>
      </c>
      <c r="Z15" s="232"/>
      <c r="AA15" s="232"/>
      <c r="AB15" s="232"/>
      <c r="AC15" s="233"/>
      <c r="AD15" s="226"/>
      <c r="AE15" s="234"/>
      <c r="AG15" s="36" t="str">
        <f t="shared" si="6"/>
        <v/>
      </c>
      <c r="AH15" s="37" t="str">
        <f t="shared" si="7"/>
        <v/>
      </c>
      <c r="AI15" s="226" t="str">
        <f t="shared" si="8"/>
        <v/>
      </c>
      <c r="AJ15" s="227"/>
      <c r="AK15" s="227"/>
      <c r="AL15" s="227"/>
      <c r="AM15" s="228"/>
      <c r="AN15" s="334" t="str">
        <f t="shared" si="9"/>
        <v/>
      </c>
      <c r="AO15" s="334"/>
      <c r="AP15" s="334"/>
      <c r="AQ15" s="334"/>
      <c r="AR15" s="334"/>
      <c r="AS15" s="229" t="str">
        <f t="shared" si="10"/>
        <v/>
      </c>
      <c r="AT15" s="230"/>
      <c r="AU15" s="231" t="str">
        <f t="shared" si="11"/>
        <v/>
      </c>
      <c r="AV15" s="232"/>
      <c r="AW15" s="232"/>
      <c r="AX15" s="233"/>
      <c r="AY15" s="349" t="str">
        <f t="shared" si="12"/>
        <v/>
      </c>
      <c r="AZ15" s="349"/>
      <c r="BA15" s="349"/>
      <c r="BB15" s="349"/>
      <c r="BC15" s="349"/>
      <c r="BD15" s="231" t="str">
        <f t="shared" si="13"/>
        <v/>
      </c>
      <c r="BE15" s="232"/>
      <c r="BF15" s="232"/>
      <c r="BG15" s="232"/>
      <c r="BH15" s="233"/>
      <c r="BI15" s="334" t="str">
        <f t="shared" si="14"/>
        <v/>
      </c>
      <c r="BJ15" s="339"/>
    </row>
    <row r="16" spans="2:62" ht="20.100000000000001" customHeight="1">
      <c r="B16" s="36" t="str">
        <f>IF('거래명세서(입력)'!C16="","",'거래명세서(입력)'!C16)</f>
        <v/>
      </c>
      <c r="C16" s="37" t="str">
        <f>IF('거래명세서(입력)'!D16="","",'거래명세서(입력)'!D16)</f>
        <v/>
      </c>
      <c r="D16" s="226" t="str">
        <f>IF('거래명세서(입력)'!E16="","",'거래명세서(입력)'!E16)</f>
        <v/>
      </c>
      <c r="E16" s="227"/>
      <c r="F16" s="227"/>
      <c r="G16" s="227"/>
      <c r="H16" s="228"/>
      <c r="I16" s="226" t="str">
        <f>'거래명세서(입력)'!F16</f>
        <v/>
      </c>
      <c r="J16" s="227"/>
      <c r="K16" s="227"/>
      <c r="L16" s="227"/>
      <c r="M16" s="228"/>
      <c r="N16" s="229" t="str">
        <f>IF('거래명세서(입력)'!G16="","",'거래명세서(입력)'!G16)</f>
        <v/>
      </c>
      <c r="O16" s="230"/>
      <c r="P16" s="246" t="str">
        <f>'거래명세서(입력)'!H16</f>
        <v/>
      </c>
      <c r="Q16" s="247"/>
      <c r="R16" s="247"/>
      <c r="S16" s="248"/>
      <c r="T16" s="231" t="str">
        <f>'거래명세서(입력)'!I16</f>
        <v/>
      </c>
      <c r="U16" s="232"/>
      <c r="V16" s="232"/>
      <c r="W16" s="232"/>
      <c r="X16" s="233"/>
      <c r="Y16" s="231" t="str">
        <f>'거래명세서(입력)'!J16</f>
        <v/>
      </c>
      <c r="Z16" s="232"/>
      <c r="AA16" s="232"/>
      <c r="AB16" s="232"/>
      <c r="AC16" s="233"/>
      <c r="AD16" s="226"/>
      <c r="AE16" s="234"/>
      <c r="AG16" s="36" t="str">
        <f t="shared" si="6"/>
        <v/>
      </c>
      <c r="AH16" s="37" t="str">
        <f t="shared" si="7"/>
        <v/>
      </c>
      <c r="AI16" s="226" t="str">
        <f t="shared" si="8"/>
        <v/>
      </c>
      <c r="AJ16" s="227"/>
      <c r="AK16" s="227"/>
      <c r="AL16" s="227"/>
      <c r="AM16" s="228"/>
      <c r="AN16" s="334" t="str">
        <f t="shared" si="9"/>
        <v/>
      </c>
      <c r="AO16" s="334"/>
      <c r="AP16" s="334"/>
      <c r="AQ16" s="334"/>
      <c r="AR16" s="334"/>
      <c r="AS16" s="229" t="str">
        <f t="shared" si="10"/>
        <v/>
      </c>
      <c r="AT16" s="230"/>
      <c r="AU16" s="231" t="str">
        <f t="shared" si="11"/>
        <v/>
      </c>
      <c r="AV16" s="232"/>
      <c r="AW16" s="232"/>
      <c r="AX16" s="233"/>
      <c r="AY16" s="349" t="str">
        <f t="shared" si="12"/>
        <v/>
      </c>
      <c r="AZ16" s="349"/>
      <c r="BA16" s="349"/>
      <c r="BB16" s="349"/>
      <c r="BC16" s="349"/>
      <c r="BD16" s="231" t="str">
        <f t="shared" si="13"/>
        <v/>
      </c>
      <c r="BE16" s="232"/>
      <c r="BF16" s="232"/>
      <c r="BG16" s="232"/>
      <c r="BH16" s="233"/>
      <c r="BI16" s="334" t="str">
        <f t="shared" si="14"/>
        <v/>
      </c>
      <c r="BJ16" s="350"/>
    </row>
    <row r="17" spans="2:62" ht="20.100000000000001" customHeight="1">
      <c r="B17" s="36" t="str">
        <f>IF('거래명세서(입력)'!C17="","",'거래명세서(입력)'!C17)</f>
        <v/>
      </c>
      <c r="C17" s="37" t="str">
        <f>IF('거래명세서(입력)'!D17="","",'거래명세서(입력)'!D17)</f>
        <v/>
      </c>
      <c r="D17" s="226" t="str">
        <f>IF('거래명세서(입력)'!E17="","",'거래명세서(입력)'!E17)</f>
        <v/>
      </c>
      <c r="E17" s="227"/>
      <c r="F17" s="227"/>
      <c r="G17" s="227"/>
      <c r="H17" s="228"/>
      <c r="I17" s="226" t="str">
        <f>'거래명세서(입력)'!F17</f>
        <v/>
      </c>
      <c r="J17" s="227"/>
      <c r="K17" s="227"/>
      <c r="L17" s="227"/>
      <c r="M17" s="228"/>
      <c r="N17" s="229" t="str">
        <f>IF('거래명세서(입력)'!G17="","",'거래명세서(입력)'!G17)</f>
        <v/>
      </c>
      <c r="O17" s="230"/>
      <c r="P17" s="246" t="str">
        <f>'거래명세서(입력)'!H17</f>
        <v/>
      </c>
      <c r="Q17" s="247"/>
      <c r="R17" s="247"/>
      <c r="S17" s="248"/>
      <c r="T17" s="231" t="str">
        <f>'거래명세서(입력)'!I17</f>
        <v/>
      </c>
      <c r="U17" s="232"/>
      <c r="V17" s="232"/>
      <c r="W17" s="232"/>
      <c r="X17" s="233"/>
      <c r="Y17" s="231" t="str">
        <f>'거래명세서(입력)'!J17</f>
        <v/>
      </c>
      <c r="Z17" s="232"/>
      <c r="AA17" s="232"/>
      <c r="AB17" s="232"/>
      <c r="AC17" s="233"/>
      <c r="AD17" s="226"/>
      <c r="AE17" s="234"/>
      <c r="AG17" s="36" t="str">
        <f t="shared" si="6"/>
        <v/>
      </c>
      <c r="AH17" s="37" t="str">
        <f t="shared" si="7"/>
        <v/>
      </c>
      <c r="AI17" s="226" t="str">
        <f t="shared" si="8"/>
        <v/>
      </c>
      <c r="AJ17" s="227"/>
      <c r="AK17" s="227"/>
      <c r="AL17" s="227"/>
      <c r="AM17" s="228"/>
      <c r="AN17" s="334" t="str">
        <f t="shared" si="9"/>
        <v/>
      </c>
      <c r="AO17" s="334"/>
      <c r="AP17" s="334"/>
      <c r="AQ17" s="334"/>
      <c r="AR17" s="334"/>
      <c r="AS17" s="229" t="str">
        <f t="shared" si="10"/>
        <v/>
      </c>
      <c r="AT17" s="230"/>
      <c r="AU17" s="231" t="str">
        <f t="shared" si="11"/>
        <v/>
      </c>
      <c r="AV17" s="232"/>
      <c r="AW17" s="232"/>
      <c r="AX17" s="233"/>
      <c r="AY17" s="349" t="str">
        <f t="shared" si="12"/>
        <v/>
      </c>
      <c r="AZ17" s="349"/>
      <c r="BA17" s="349"/>
      <c r="BB17" s="349"/>
      <c r="BC17" s="349"/>
      <c r="BD17" s="231" t="str">
        <f t="shared" si="13"/>
        <v/>
      </c>
      <c r="BE17" s="232"/>
      <c r="BF17" s="232"/>
      <c r="BG17" s="232"/>
      <c r="BH17" s="233"/>
      <c r="BI17" s="334" t="str">
        <f t="shared" si="14"/>
        <v/>
      </c>
      <c r="BJ17" s="350"/>
    </row>
    <row r="18" spans="2:62" ht="20.100000000000001" customHeight="1">
      <c r="B18" s="36" t="str">
        <f>IF('거래명세서(입력)'!C18="","",'거래명세서(입력)'!C18)</f>
        <v/>
      </c>
      <c r="C18" s="37" t="str">
        <f>IF('거래명세서(입력)'!D18="","",'거래명세서(입력)'!D18)</f>
        <v/>
      </c>
      <c r="D18" s="226" t="str">
        <f>IF('거래명세서(입력)'!E18="","",'거래명세서(입력)'!E18)</f>
        <v/>
      </c>
      <c r="E18" s="227"/>
      <c r="F18" s="227"/>
      <c r="G18" s="227"/>
      <c r="H18" s="228"/>
      <c r="I18" s="226" t="str">
        <f>'거래명세서(입력)'!F18</f>
        <v/>
      </c>
      <c r="J18" s="227"/>
      <c r="K18" s="227"/>
      <c r="L18" s="227"/>
      <c r="M18" s="228"/>
      <c r="N18" s="229" t="str">
        <f>IF('거래명세서(입력)'!G18="","",'거래명세서(입력)'!G18)</f>
        <v/>
      </c>
      <c r="O18" s="230"/>
      <c r="P18" s="246" t="str">
        <f>'거래명세서(입력)'!H18</f>
        <v/>
      </c>
      <c r="Q18" s="247"/>
      <c r="R18" s="247"/>
      <c r="S18" s="248"/>
      <c r="T18" s="231" t="str">
        <f>'거래명세서(입력)'!I18</f>
        <v/>
      </c>
      <c r="U18" s="232"/>
      <c r="V18" s="232"/>
      <c r="W18" s="232"/>
      <c r="X18" s="233"/>
      <c r="Y18" s="231" t="str">
        <f>'거래명세서(입력)'!J18</f>
        <v/>
      </c>
      <c r="Z18" s="232"/>
      <c r="AA18" s="232"/>
      <c r="AB18" s="232"/>
      <c r="AC18" s="233"/>
      <c r="AD18" s="226"/>
      <c r="AE18" s="234"/>
      <c r="AG18" s="36" t="str">
        <f t="shared" si="6"/>
        <v/>
      </c>
      <c r="AH18" s="37" t="str">
        <f t="shared" si="7"/>
        <v/>
      </c>
      <c r="AI18" s="226" t="str">
        <f t="shared" si="8"/>
        <v/>
      </c>
      <c r="AJ18" s="227"/>
      <c r="AK18" s="227"/>
      <c r="AL18" s="227"/>
      <c r="AM18" s="228"/>
      <c r="AN18" s="334" t="str">
        <f t="shared" si="9"/>
        <v/>
      </c>
      <c r="AO18" s="334"/>
      <c r="AP18" s="334"/>
      <c r="AQ18" s="334"/>
      <c r="AR18" s="334"/>
      <c r="AS18" s="229" t="str">
        <f t="shared" si="10"/>
        <v/>
      </c>
      <c r="AT18" s="230"/>
      <c r="AU18" s="231" t="str">
        <f t="shared" si="11"/>
        <v/>
      </c>
      <c r="AV18" s="232"/>
      <c r="AW18" s="232"/>
      <c r="AX18" s="233"/>
      <c r="AY18" s="349" t="str">
        <f t="shared" si="12"/>
        <v/>
      </c>
      <c r="AZ18" s="349"/>
      <c r="BA18" s="349"/>
      <c r="BB18" s="349"/>
      <c r="BC18" s="349"/>
      <c r="BD18" s="231" t="str">
        <f t="shared" si="13"/>
        <v/>
      </c>
      <c r="BE18" s="232"/>
      <c r="BF18" s="232"/>
      <c r="BG18" s="232"/>
      <c r="BH18" s="233"/>
      <c r="BI18" s="334" t="str">
        <f t="shared" si="14"/>
        <v/>
      </c>
      <c r="BJ18" s="350"/>
    </row>
    <row r="19" spans="2:62" ht="20.100000000000001" customHeight="1">
      <c r="B19" s="36" t="str">
        <f>IF('거래명세서(입력)'!C19="","",'거래명세서(입력)'!C19)</f>
        <v/>
      </c>
      <c r="C19" s="37" t="str">
        <f>IF('거래명세서(입력)'!D19="","",'거래명세서(입력)'!D19)</f>
        <v/>
      </c>
      <c r="D19" s="226" t="str">
        <f>IF('거래명세서(입력)'!E19="","",'거래명세서(입력)'!E19)</f>
        <v/>
      </c>
      <c r="E19" s="227"/>
      <c r="F19" s="227"/>
      <c r="G19" s="227"/>
      <c r="H19" s="228"/>
      <c r="I19" s="226" t="str">
        <f>'거래명세서(입력)'!F19</f>
        <v/>
      </c>
      <c r="J19" s="227"/>
      <c r="K19" s="227"/>
      <c r="L19" s="227"/>
      <c r="M19" s="228"/>
      <c r="N19" s="229" t="str">
        <f>IF('거래명세서(입력)'!G19="","",'거래명세서(입력)'!G19)</f>
        <v/>
      </c>
      <c r="O19" s="230"/>
      <c r="P19" s="246" t="str">
        <f>'거래명세서(입력)'!H19</f>
        <v/>
      </c>
      <c r="Q19" s="247"/>
      <c r="R19" s="247"/>
      <c r="S19" s="248"/>
      <c r="T19" s="231" t="str">
        <f>'거래명세서(입력)'!I19</f>
        <v/>
      </c>
      <c r="U19" s="232"/>
      <c r="V19" s="232"/>
      <c r="W19" s="232"/>
      <c r="X19" s="233"/>
      <c r="Y19" s="231" t="str">
        <f>'거래명세서(입력)'!J19</f>
        <v/>
      </c>
      <c r="Z19" s="232"/>
      <c r="AA19" s="232"/>
      <c r="AB19" s="232"/>
      <c r="AC19" s="233"/>
      <c r="AD19" s="226"/>
      <c r="AE19" s="234"/>
      <c r="AG19" s="36" t="str">
        <f t="shared" si="6"/>
        <v/>
      </c>
      <c r="AH19" s="37" t="str">
        <f t="shared" si="7"/>
        <v/>
      </c>
      <c r="AI19" s="226" t="str">
        <f t="shared" si="8"/>
        <v/>
      </c>
      <c r="AJ19" s="227"/>
      <c r="AK19" s="227"/>
      <c r="AL19" s="227"/>
      <c r="AM19" s="228"/>
      <c r="AN19" s="334" t="str">
        <f t="shared" si="9"/>
        <v/>
      </c>
      <c r="AO19" s="334"/>
      <c r="AP19" s="334"/>
      <c r="AQ19" s="334"/>
      <c r="AR19" s="334"/>
      <c r="AS19" s="229" t="str">
        <f t="shared" si="10"/>
        <v/>
      </c>
      <c r="AT19" s="230"/>
      <c r="AU19" s="231" t="str">
        <f t="shared" si="11"/>
        <v/>
      </c>
      <c r="AV19" s="232"/>
      <c r="AW19" s="232"/>
      <c r="AX19" s="233"/>
      <c r="AY19" s="349" t="str">
        <f t="shared" si="12"/>
        <v/>
      </c>
      <c r="AZ19" s="349"/>
      <c r="BA19" s="349"/>
      <c r="BB19" s="349"/>
      <c r="BC19" s="349"/>
      <c r="BD19" s="231" t="str">
        <f t="shared" si="13"/>
        <v/>
      </c>
      <c r="BE19" s="232"/>
      <c r="BF19" s="232"/>
      <c r="BG19" s="232"/>
      <c r="BH19" s="233"/>
      <c r="BI19" s="334" t="str">
        <f t="shared" si="14"/>
        <v/>
      </c>
      <c r="BJ19" s="350"/>
    </row>
    <row r="20" spans="2:62" ht="20.100000000000001" customHeight="1">
      <c r="B20" s="36" t="str">
        <f>IF('거래명세서(입력)'!C20="","",'거래명세서(입력)'!C20)</f>
        <v/>
      </c>
      <c r="C20" s="37" t="str">
        <f>IF('거래명세서(입력)'!D20="","",'거래명세서(입력)'!D20)</f>
        <v/>
      </c>
      <c r="D20" s="226" t="str">
        <f>IF('거래명세서(입력)'!E20="","",'거래명세서(입력)'!E20)</f>
        <v/>
      </c>
      <c r="E20" s="227"/>
      <c r="F20" s="227"/>
      <c r="G20" s="227"/>
      <c r="H20" s="228"/>
      <c r="I20" s="226" t="str">
        <f>'거래명세서(입력)'!F20</f>
        <v/>
      </c>
      <c r="J20" s="227"/>
      <c r="K20" s="227"/>
      <c r="L20" s="227"/>
      <c r="M20" s="228"/>
      <c r="N20" s="229" t="str">
        <f>IF('거래명세서(입력)'!G20="","",'거래명세서(입력)'!G20)</f>
        <v/>
      </c>
      <c r="O20" s="230"/>
      <c r="P20" s="246" t="str">
        <f>'거래명세서(입력)'!H20</f>
        <v/>
      </c>
      <c r="Q20" s="247"/>
      <c r="R20" s="247"/>
      <c r="S20" s="248"/>
      <c r="T20" s="231" t="str">
        <f>'거래명세서(입력)'!I20</f>
        <v/>
      </c>
      <c r="U20" s="232"/>
      <c r="V20" s="232"/>
      <c r="W20" s="232"/>
      <c r="X20" s="233"/>
      <c r="Y20" s="231" t="str">
        <f>'거래명세서(입력)'!J20</f>
        <v/>
      </c>
      <c r="Z20" s="232"/>
      <c r="AA20" s="232"/>
      <c r="AB20" s="232"/>
      <c r="AC20" s="233"/>
      <c r="AD20" s="226"/>
      <c r="AE20" s="234"/>
      <c r="AG20" s="36" t="str">
        <f t="shared" si="6"/>
        <v/>
      </c>
      <c r="AH20" s="37" t="str">
        <f t="shared" si="7"/>
        <v/>
      </c>
      <c r="AI20" s="226" t="str">
        <f t="shared" si="8"/>
        <v/>
      </c>
      <c r="AJ20" s="227"/>
      <c r="AK20" s="227"/>
      <c r="AL20" s="227"/>
      <c r="AM20" s="228"/>
      <c r="AN20" s="334" t="str">
        <f t="shared" si="9"/>
        <v/>
      </c>
      <c r="AO20" s="334"/>
      <c r="AP20" s="334"/>
      <c r="AQ20" s="334"/>
      <c r="AR20" s="334"/>
      <c r="AS20" s="229" t="str">
        <f t="shared" si="10"/>
        <v/>
      </c>
      <c r="AT20" s="230"/>
      <c r="AU20" s="231" t="str">
        <f t="shared" si="11"/>
        <v/>
      </c>
      <c r="AV20" s="232"/>
      <c r="AW20" s="232"/>
      <c r="AX20" s="233"/>
      <c r="AY20" s="349" t="str">
        <f t="shared" si="12"/>
        <v/>
      </c>
      <c r="AZ20" s="349"/>
      <c r="BA20" s="349"/>
      <c r="BB20" s="349"/>
      <c r="BC20" s="349"/>
      <c r="BD20" s="231" t="str">
        <f t="shared" si="13"/>
        <v/>
      </c>
      <c r="BE20" s="232"/>
      <c r="BF20" s="232"/>
      <c r="BG20" s="232"/>
      <c r="BH20" s="233"/>
      <c r="BI20" s="334" t="str">
        <f t="shared" si="14"/>
        <v/>
      </c>
      <c r="BJ20" s="350"/>
    </row>
    <row r="21" spans="2:62" ht="20.100000000000001" customHeight="1">
      <c r="B21" s="36" t="str">
        <f>IF('거래명세서(입력)'!C21="","",'거래명세서(입력)'!C21)</f>
        <v/>
      </c>
      <c r="C21" s="37" t="str">
        <f>IF('거래명세서(입력)'!D21="","",'거래명세서(입력)'!D21)</f>
        <v/>
      </c>
      <c r="D21" s="226" t="str">
        <f>IF('거래명세서(입력)'!E21="","",'거래명세서(입력)'!E21)</f>
        <v/>
      </c>
      <c r="E21" s="227"/>
      <c r="F21" s="227"/>
      <c r="G21" s="227"/>
      <c r="H21" s="228"/>
      <c r="I21" s="226" t="str">
        <f>'거래명세서(입력)'!F21</f>
        <v/>
      </c>
      <c r="J21" s="227"/>
      <c r="K21" s="227"/>
      <c r="L21" s="227"/>
      <c r="M21" s="228"/>
      <c r="N21" s="229" t="str">
        <f>IF('거래명세서(입력)'!G21="","",'거래명세서(입력)'!G21)</f>
        <v/>
      </c>
      <c r="O21" s="230"/>
      <c r="P21" s="246" t="str">
        <f>'거래명세서(입력)'!H21</f>
        <v/>
      </c>
      <c r="Q21" s="247"/>
      <c r="R21" s="247"/>
      <c r="S21" s="248"/>
      <c r="T21" s="231" t="str">
        <f>'거래명세서(입력)'!I21</f>
        <v/>
      </c>
      <c r="U21" s="232"/>
      <c r="V21" s="232"/>
      <c r="W21" s="232"/>
      <c r="X21" s="233"/>
      <c r="Y21" s="231" t="str">
        <f>'거래명세서(입력)'!J21</f>
        <v/>
      </c>
      <c r="Z21" s="232"/>
      <c r="AA21" s="232"/>
      <c r="AB21" s="232"/>
      <c r="AC21" s="233"/>
      <c r="AD21" s="226"/>
      <c r="AE21" s="234"/>
      <c r="AG21" s="36" t="str">
        <f t="shared" si="6"/>
        <v/>
      </c>
      <c r="AH21" s="37" t="str">
        <f t="shared" si="7"/>
        <v/>
      </c>
      <c r="AI21" s="226" t="str">
        <f t="shared" si="8"/>
        <v/>
      </c>
      <c r="AJ21" s="227"/>
      <c r="AK21" s="227"/>
      <c r="AL21" s="227"/>
      <c r="AM21" s="228"/>
      <c r="AN21" s="334" t="str">
        <f t="shared" si="9"/>
        <v/>
      </c>
      <c r="AO21" s="334"/>
      <c r="AP21" s="334"/>
      <c r="AQ21" s="334"/>
      <c r="AR21" s="334"/>
      <c r="AS21" s="229" t="str">
        <f t="shared" si="10"/>
        <v/>
      </c>
      <c r="AT21" s="230"/>
      <c r="AU21" s="231" t="str">
        <f t="shared" si="11"/>
        <v/>
      </c>
      <c r="AV21" s="232"/>
      <c r="AW21" s="232"/>
      <c r="AX21" s="233"/>
      <c r="AY21" s="349" t="str">
        <f t="shared" si="12"/>
        <v/>
      </c>
      <c r="AZ21" s="349"/>
      <c r="BA21" s="349"/>
      <c r="BB21" s="349"/>
      <c r="BC21" s="349"/>
      <c r="BD21" s="231" t="str">
        <f t="shared" si="13"/>
        <v/>
      </c>
      <c r="BE21" s="232"/>
      <c r="BF21" s="232"/>
      <c r="BG21" s="232"/>
      <c r="BH21" s="233"/>
      <c r="BI21" s="334" t="str">
        <f t="shared" si="14"/>
        <v/>
      </c>
      <c r="BJ21" s="350"/>
    </row>
    <row r="22" spans="2:62" ht="20.100000000000001" customHeight="1">
      <c r="B22" s="36" t="str">
        <f>IF('거래명세서(입력)'!C22="","",'거래명세서(입력)'!C22)</f>
        <v/>
      </c>
      <c r="C22" s="37" t="str">
        <f>IF('거래명세서(입력)'!D22="","",'거래명세서(입력)'!D22)</f>
        <v/>
      </c>
      <c r="D22" s="226" t="str">
        <f>IF('거래명세서(입력)'!E22="","",'거래명세서(입력)'!E22)</f>
        <v/>
      </c>
      <c r="E22" s="227"/>
      <c r="F22" s="227"/>
      <c r="G22" s="227"/>
      <c r="H22" s="228"/>
      <c r="I22" s="226" t="str">
        <f>'거래명세서(입력)'!F22</f>
        <v/>
      </c>
      <c r="J22" s="227"/>
      <c r="K22" s="227"/>
      <c r="L22" s="227"/>
      <c r="M22" s="228"/>
      <c r="N22" s="229" t="str">
        <f>IF('거래명세서(입력)'!G22="","",'거래명세서(입력)'!G22)</f>
        <v/>
      </c>
      <c r="O22" s="230"/>
      <c r="P22" s="246" t="str">
        <f>'거래명세서(입력)'!H22</f>
        <v/>
      </c>
      <c r="Q22" s="247"/>
      <c r="R22" s="247"/>
      <c r="S22" s="248"/>
      <c r="T22" s="231" t="str">
        <f>'거래명세서(입력)'!I22</f>
        <v/>
      </c>
      <c r="U22" s="232"/>
      <c r="V22" s="232"/>
      <c r="W22" s="232"/>
      <c r="X22" s="233"/>
      <c r="Y22" s="231" t="str">
        <f>'거래명세서(입력)'!J22</f>
        <v/>
      </c>
      <c r="Z22" s="232"/>
      <c r="AA22" s="232"/>
      <c r="AB22" s="232"/>
      <c r="AC22" s="233"/>
      <c r="AD22" s="226"/>
      <c r="AE22" s="234"/>
      <c r="AG22" s="36" t="str">
        <f t="shared" si="6"/>
        <v/>
      </c>
      <c r="AH22" s="37" t="str">
        <f t="shared" si="7"/>
        <v/>
      </c>
      <c r="AI22" s="226" t="str">
        <f t="shared" si="8"/>
        <v/>
      </c>
      <c r="AJ22" s="227"/>
      <c r="AK22" s="227"/>
      <c r="AL22" s="227"/>
      <c r="AM22" s="228"/>
      <c r="AN22" s="334" t="str">
        <f t="shared" si="9"/>
        <v/>
      </c>
      <c r="AO22" s="334"/>
      <c r="AP22" s="334"/>
      <c r="AQ22" s="334"/>
      <c r="AR22" s="334"/>
      <c r="AS22" s="229" t="str">
        <f t="shared" si="10"/>
        <v/>
      </c>
      <c r="AT22" s="230"/>
      <c r="AU22" s="231" t="str">
        <f t="shared" si="11"/>
        <v/>
      </c>
      <c r="AV22" s="232"/>
      <c r="AW22" s="232"/>
      <c r="AX22" s="233"/>
      <c r="AY22" s="349" t="str">
        <f t="shared" si="12"/>
        <v/>
      </c>
      <c r="AZ22" s="349"/>
      <c r="BA22" s="349"/>
      <c r="BB22" s="349"/>
      <c r="BC22" s="349"/>
      <c r="BD22" s="231" t="str">
        <f t="shared" si="13"/>
        <v/>
      </c>
      <c r="BE22" s="232"/>
      <c r="BF22" s="232"/>
      <c r="BG22" s="232"/>
      <c r="BH22" s="233"/>
      <c r="BI22" s="334" t="str">
        <f t="shared" si="14"/>
        <v/>
      </c>
      <c r="BJ22" s="339"/>
    </row>
    <row r="23" spans="2:62" ht="20.100000000000001" customHeight="1">
      <c r="B23" s="36" t="str">
        <f>IF('거래명세서(입력)'!C23="","",'거래명세서(입력)'!C23)</f>
        <v/>
      </c>
      <c r="C23" s="37" t="str">
        <f>IF('거래명세서(입력)'!D23="","",'거래명세서(입력)'!D23)</f>
        <v/>
      </c>
      <c r="D23" s="226" t="str">
        <f>IF('거래명세서(입력)'!E23="","",'거래명세서(입력)'!E23)</f>
        <v/>
      </c>
      <c r="E23" s="227"/>
      <c r="F23" s="227"/>
      <c r="G23" s="227"/>
      <c r="H23" s="228"/>
      <c r="I23" s="226" t="str">
        <f>'거래명세서(입력)'!F23</f>
        <v/>
      </c>
      <c r="J23" s="227"/>
      <c r="K23" s="227"/>
      <c r="L23" s="227"/>
      <c r="M23" s="228"/>
      <c r="N23" s="229" t="str">
        <f>IF('거래명세서(입력)'!G23="","",'거래명세서(입력)'!G23)</f>
        <v/>
      </c>
      <c r="O23" s="230"/>
      <c r="P23" s="246" t="str">
        <f>'거래명세서(입력)'!H23</f>
        <v/>
      </c>
      <c r="Q23" s="247"/>
      <c r="R23" s="247"/>
      <c r="S23" s="248"/>
      <c r="T23" s="231" t="str">
        <f>'거래명세서(입력)'!I23</f>
        <v/>
      </c>
      <c r="U23" s="232"/>
      <c r="V23" s="232"/>
      <c r="W23" s="232"/>
      <c r="X23" s="233"/>
      <c r="Y23" s="231" t="str">
        <f>'거래명세서(입력)'!J23</f>
        <v/>
      </c>
      <c r="Z23" s="232"/>
      <c r="AA23" s="232"/>
      <c r="AB23" s="232"/>
      <c r="AC23" s="233"/>
      <c r="AD23" s="226"/>
      <c r="AE23" s="234"/>
      <c r="AG23" s="36" t="str">
        <f t="shared" si="6"/>
        <v/>
      </c>
      <c r="AH23" s="37" t="str">
        <f t="shared" si="7"/>
        <v/>
      </c>
      <c r="AI23" s="226" t="str">
        <f t="shared" si="8"/>
        <v/>
      </c>
      <c r="AJ23" s="227"/>
      <c r="AK23" s="227"/>
      <c r="AL23" s="227"/>
      <c r="AM23" s="228"/>
      <c r="AN23" s="334" t="str">
        <f t="shared" si="9"/>
        <v/>
      </c>
      <c r="AO23" s="334"/>
      <c r="AP23" s="334"/>
      <c r="AQ23" s="334"/>
      <c r="AR23" s="334"/>
      <c r="AS23" s="229" t="str">
        <f t="shared" si="10"/>
        <v/>
      </c>
      <c r="AT23" s="230"/>
      <c r="AU23" s="231" t="str">
        <f t="shared" si="11"/>
        <v/>
      </c>
      <c r="AV23" s="232"/>
      <c r="AW23" s="232"/>
      <c r="AX23" s="233"/>
      <c r="AY23" s="349" t="str">
        <f t="shared" si="12"/>
        <v/>
      </c>
      <c r="AZ23" s="349"/>
      <c r="BA23" s="349"/>
      <c r="BB23" s="349"/>
      <c r="BC23" s="349"/>
      <c r="BD23" s="231" t="str">
        <f t="shared" si="13"/>
        <v/>
      </c>
      <c r="BE23" s="232"/>
      <c r="BF23" s="232"/>
      <c r="BG23" s="232"/>
      <c r="BH23" s="233"/>
      <c r="BI23" s="334" t="str">
        <f t="shared" si="14"/>
        <v/>
      </c>
      <c r="BJ23" s="350"/>
    </row>
    <row r="24" spans="2:62" ht="20.100000000000001" customHeight="1">
      <c r="B24" s="36" t="str">
        <f>IF('거래명세서(입력)'!C24="","",'거래명세서(입력)'!C24)</f>
        <v/>
      </c>
      <c r="C24" s="37" t="str">
        <f>IF('거래명세서(입력)'!D24="","",'거래명세서(입력)'!D24)</f>
        <v/>
      </c>
      <c r="D24" s="226" t="str">
        <f>IF('거래명세서(입력)'!E24="","",'거래명세서(입력)'!E24)</f>
        <v/>
      </c>
      <c r="E24" s="227"/>
      <c r="F24" s="227"/>
      <c r="G24" s="227"/>
      <c r="H24" s="228"/>
      <c r="I24" s="226" t="str">
        <f>'거래명세서(입력)'!F24</f>
        <v/>
      </c>
      <c r="J24" s="227"/>
      <c r="K24" s="227"/>
      <c r="L24" s="227"/>
      <c r="M24" s="228"/>
      <c r="N24" s="229" t="str">
        <f>IF('거래명세서(입력)'!G24="","",'거래명세서(입력)'!G24)</f>
        <v/>
      </c>
      <c r="O24" s="230"/>
      <c r="P24" s="246" t="str">
        <f>'거래명세서(입력)'!H24</f>
        <v/>
      </c>
      <c r="Q24" s="247"/>
      <c r="R24" s="247"/>
      <c r="S24" s="248"/>
      <c r="T24" s="231" t="str">
        <f>'거래명세서(입력)'!I24</f>
        <v/>
      </c>
      <c r="U24" s="232"/>
      <c r="V24" s="232"/>
      <c r="W24" s="232"/>
      <c r="X24" s="233"/>
      <c r="Y24" s="231" t="str">
        <f>'거래명세서(입력)'!J24</f>
        <v/>
      </c>
      <c r="Z24" s="232"/>
      <c r="AA24" s="232"/>
      <c r="AB24" s="232"/>
      <c r="AC24" s="233"/>
      <c r="AD24" s="226"/>
      <c r="AE24" s="234"/>
      <c r="AG24" s="36" t="str">
        <f t="shared" si="6"/>
        <v/>
      </c>
      <c r="AH24" s="37" t="str">
        <f t="shared" si="7"/>
        <v/>
      </c>
      <c r="AI24" s="226" t="str">
        <f t="shared" si="8"/>
        <v/>
      </c>
      <c r="AJ24" s="227"/>
      <c r="AK24" s="227"/>
      <c r="AL24" s="227"/>
      <c r="AM24" s="228"/>
      <c r="AN24" s="334" t="str">
        <f t="shared" si="9"/>
        <v/>
      </c>
      <c r="AO24" s="334"/>
      <c r="AP24" s="334"/>
      <c r="AQ24" s="334"/>
      <c r="AR24" s="334"/>
      <c r="AS24" s="229" t="str">
        <f t="shared" si="10"/>
        <v/>
      </c>
      <c r="AT24" s="230"/>
      <c r="AU24" s="231" t="str">
        <f t="shared" si="11"/>
        <v/>
      </c>
      <c r="AV24" s="232"/>
      <c r="AW24" s="232"/>
      <c r="AX24" s="233"/>
      <c r="AY24" s="349" t="str">
        <f t="shared" si="12"/>
        <v/>
      </c>
      <c r="AZ24" s="349"/>
      <c r="BA24" s="349"/>
      <c r="BB24" s="349"/>
      <c r="BC24" s="349"/>
      <c r="BD24" s="231" t="str">
        <f t="shared" si="13"/>
        <v/>
      </c>
      <c r="BE24" s="232"/>
      <c r="BF24" s="232"/>
      <c r="BG24" s="232"/>
      <c r="BH24" s="233"/>
      <c r="BI24" s="334" t="str">
        <f t="shared" si="14"/>
        <v/>
      </c>
      <c r="BJ24" s="350"/>
    </row>
    <row r="25" spans="2:62" ht="20.100000000000001" customHeight="1">
      <c r="B25" s="36" t="str">
        <f>IF('거래명세서(입력)'!C25="","",'거래명세서(입력)'!C25)</f>
        <v/>
      </c>
      <c r="C25" s="37" t="str">
        <f>IF('거래명세서(입력)'!D25="","",'거래명세서(입력)'!D25)</f>
        <v/>
      </c>
      <c r="D25" s="226" t="str">
        <f>IF('거래명세서(입력)'!E25="","",'거래명세서(입력)'!E25)</f>
        <v/>
      </c>
      <c r="E25" s="227"/>
      <c r="F25" s="227"/>
      <c r="G25" s="227"/>
      <c r="H25" s="228"/>
      <c r="I25" s="226" t="str">
        <f>'거래명세서(입력)'!F25</f>
        <v/>
      </c>
      <c r="J25" s="227"/>
      <c r="K25" s="227"/>
      <c r="L25" s="227"/>
      <c r="M25" s="228"/>
      <c r="N25" s="229" t="str">
        <f>IF('거래명세서(입력)'!G25="","",'거래명세서(입력)'!G25)</f>
        <v/>
      </c>
      <c r="O25" s="230"/>
      <c r="P25" s="246" t="str">
        <f>'거래명세서(입력)'!H25</f>
        <v/>
      </c>
      <c r="Q25" s="247"/>
      <c r="R25" s="247"/>
      <c r="S25" s="248"/>
      <c r="T25" s="231" t="str">
        <f>'거래명세서(입력)'!I25</f>
        <v/>
      </c>
      <c r="U25" s="232"/>
      <c r="V25" s="232"/>
      <c r="W25" s="232"/>
      <c r="X25" s="233"/>
      <c r="Y25" s="231" t="str">
        <f>'거래명세서(입력)'!J25</f>
        <v/>
      </c>
      <c r="Z25" s="232"/>
      <c r="AA25" s="232"/>
      <c r="AB25" s="232"/>
      <c r="AC25" s="233"/>
      <c r="AD25" s="226"/>
      <c r="AE25" s="234"/>
      <c r="AG25" s="36" t="str">
        <f t="shared" si="6"/>
        <v/>
      </c>
      <c r="AH25" s="37" t="str">
        <f t="shared" si="7"/>
        <v/>
      </c>
      <c r="AI25" s="226" t="str">
        <f t="shared" si="8"/>
        <v/>
      </c>
      <c r="AJ25" s="227"/>
      <c r="AK25" s="227"/>
      <c r="AL25" s="227"/>
      <c r="AM25" s="228"/>
      <c r="AN25" s="334" t="str">
        <f t="shared" si="9"/>
        <v/>
      </c>
      <c r="AO25" s="334"/>
      <c r="AP25" s="334"/>
      <c r="AQ25" s="334"/>
      <c r="AR25" s="334"/>
      <c r="AS25" s="229" t="str">
        <f t="shared" si="10"/>
        <v/>
      </c>
      <c r="AT25" s="230"/>
      <c r="AU25" s="231" t="str">
        <f t="shared" si="11"/>
        <v/>
      </c>
      <c r="AV25" s="232"/>
      <c r="AW25" s="232"/>
      <c r="AX25" s="233"/>
      <c r="AY25" s="349" t="str">
        <f t="shared" si="12"/>
        <v/>
      </c>
      <c r="AZ25" s="349"/>
      <c r="BA25" s="349"/>
      <c r="BB25" s="349"/>
      <c r="BC25" s="349"/>
      <c r="BD25" s="231" t="str">
        <f t="shared" si="13"/>
        <v/>
      </c>
      <c r="BE25" s="232"/>
      <c r="BF25" s="232"/>
      <c r="BG25" s="232"/>
      <c r="BH25" s="233"/>
      <c r="BI25" s="334" t="str">
        <f t="shared" si="14"/>
        <v/>
      </c>
      <c r="BJ25" s="350"/>
    </row>
    <row r="26" spans="2:62" ht="20.100000000000001" customHeight="1">
      <c r="B26" s="36" t="str">
        <f>IF('거래명세서(입력)'!C26="","",'거래명세서(입력)'!C26)</f>
        <v/>
      </c>
      <c r="C26" s="37" t="str">
        <f>IF('거래명세서(입력)'!D26="","",'거래명세서(입력)'!D26)</f>
        <v/>
      </c>
      <c r="D26" s="226" t="str">
        <f>IF('거래명세서(입력)'!E26="","",'거래명세서(입력)'!E26)</f>
        <v/>
      </c>
      <c r="E26" s="227"/>
      <c r="F26" s="227"/>
      <c r="G26" s="227"/>
      <c r="H26" s="228"/>
      <c r="I26" s="226" t="str">
        <f>'거래명세서(입력)'!F26</f>
        <v/>
      </c>
      <c r="J26" s="227"/>
      <c r="K26" s="227"/>
      <c r="L26" s="227"/>
      <c r="M26" s="228"/>
      <c r="N26" s="229" t="str">
        <f>IF('거래명세서(입력)'!G26="","",'거래명세서(입력)'!G26)</f>
        <v/>
      </c>
      <c r="O26" s="230"/>
      <c r="P26" s="246" t="str">
        <f>'거래명세서(입력)'!H26</f>
        <v/>
      </c>
      <c r="Q26" s="247"/>
      <c r="R26" s="247"/>
      <c r="S26" s="248"/>
      <c r="T26" s="231" t="str">
        <f>'거래명세서(입력)'!I26</f>
        <v/>
      </c>
      <c r="U26" s="232"/>
      <c r="V26" s="232"/>
      <c r="W26" s="232"/>
      <c r="X26" s="233"/>
      <c r="Y26" s="231" t="str">
        <f>'거래명세서(입력)'!J26</f>
        <v/>
      </c>
      <c r="Z26" s="232"/>
      <c r="AA26" s="232"/>
      <c r="AB26" s="232"/>
      <c r="AC26" s="233"/>
      <c r="AD26" s="226"/>
      <c r="AE26" s="234"/>
      <c r="AG26" s="36" t="str">
        <f t="shared" si="6"/>
        <v/>
      </c>
      <c r="AH26" s="37" t="str">
        <f t="shared" si="7"/>
        <v/>
      </c>
      <c r="AI26" s="226" t="str">
        <f t="shared" si="8"/>
        <v/>
      </c>
      <c r="AJ26" s="227"/>
      <c r="AK26" s="227"/>
      <c r="AL26" s="227"/>
      <c r="AM26" s="228"/>
      <c r="AN26" s="334" t="str">
        <f t="shared" si="9"/>
        <v/>
      </c>
      <c r="AO26" s="334"/>
      <c r="AP26" s="334"/>
      <c r="AQ26" s="334"/>
      <c r="AR26" s="334"/>
      <c r="AS26" s="229" t="str">
        <f t="shared" si="10"/>
        <v/>
      </c>
      <c r="AT26" s="230"/>
      <c r="AU26" s="231" t="str">
        <f t="shared" si="11"/>
        <v/>
      </c>
      <c r="AV26" s="232"/>
      <c r="AW26" s="232"/>
      <c r="AX26" s="233"/>
      <c r="AY26" s="349" t="str">
        <f t="shared" si="12"/>
        <v/>
      </c>
      <c r="AZ26" s="349"/>
      <c r="BA26" s="349"/>
      <c r="BB26" s="349"/>
      <c r="BC26" s="349"/>
      <c r="BD26" s="231" t="str">
        <f t="shared" si="13"/>
        <v/>
      </c>
      <c r="BE26" s="232"/>
      <c r="BF26" s="232"/>
      <c r="BG26" s="232"/>
      <c r="BH26" s="233"/>
      <c r="BI26" s="334" t="str">
        <f t="shared" si="14"/>
        <v/>
      </c>
      <c r="BJ26" s="350"/>
    </row>
    <row r="27" spans="2:62" ht="20.100000000000001" customHeight="1">
      <c r="B27" s="36" t="str">
        <f>IF('거래명세서(입력)'!C27="","",'거래명세서(입력)'!C27)</f>
        <v/>
      </c>
      <c r="C27" s="37" t="str">
        <f>IF('거래명세서(입력)'!D27="","",'거래명세서(입력)'!D27)</f>
        <v/>
      </c>
      <c r="D27" s="226" t="str">
        <f>IF('거래명세서(입력)'!E27="","",'거래명세서(입력)'!E27)</f>
        <v/>
      </c>
      <c r="E27" s="227"/>
      <c r="F27" s="227"/>
      <c r="G27" s="227"/>
      <c r="H27" s="228"/>
      <c r="I27" s="226" t="str">
        <f>'거래명세서(입력)'!F27</f>
        <v/>
      </c>
      <c r="J27" s="227"/>
      <c r="K27" s="227"/>
      <c r="L27" s="227"/>
      <c r="M27" s="228"/>
      <c r="N27" s="229" t="str">
        <f>IF('거래명세서(입력)'!G27="","",'거래명세서(입력)'!G27)</f>
        <v/>
      </c>
      <c r="O27" s="230"/>
      <c r="P27" s="246" t="str">
        <f>'거래명세서(입력)'!H27</f>
        <v/>
      </c>
      <c r="Q27" s="247"/>
      <c r="R27" s="247"/>
      <c r="S27" s="248"/>
      <c r="T27" s="231" t="str">
        <f>'거래명세서(입력)'!I27</f>
        <v/>
      </c>
      <c r="U27" s="232"/>
      <c r="V27" s="232"/>
      <c r="W27" s="232"/>
      <c r="X27" s="233"/>
      <c r="Y27" s="231" t="str">
        <f>'거래명세서(입력)'!J27</f>
        <v/>
      </c>
      <c r="Z27" s="232"/>
      <c r="AA27" s="232"/>
      <c r="AB27" s="232"/>
      <c r="AC27" s="233"/>
      <c r="AD27" s="226"/>
      <c r="AE27" s="234"/>
      <c r="AG27" s="36" t="str">
        <f t="shared" si="6"/>
        <v/>
      </c>
      <c r="AH27" s="37" t="str">
        <f t="shared" si="7"/>
        <v/>
      </c>
      <c r="AI27" s="226" t="str">
        <f t="shared" si="8"/>
        <v/>
      </c>
      <c r="AJ27" s="227"/>
      <c r="AK27" s="227"/>
      <c r="AL27" s="227"/>
      <c r="AM27" s="228"/>
      <c r="AN27" s="334" t="str">
        <f t="shared" si="9"/>
        <v/>
      </c>
      <c r="AO27" s="334"/>
      <c r="AP27" s="334"/>
      <c r="AQ27" s="334"/>
      <c r="AR27" s="334"/>
      <c r="AS27" s="229" t="str">
        <f t="shared" si="10"/>
        <v/>
      </c>
      <c r="AT27" s="230"/>
      <c r="AU27" s="231" t="str">
        <f t="shared" si="11"/>
        <v/>
      </c>
      <c r="AV27" s="232"/>
      <c r="AW27" s="232"/>
      <c r="AX27" s="233"/>
      <c r="AY27" s="349" t="str">
        <f t="shared" si="12"/>
        <v/>
      </c>
      <c r="AZ27" s="349"/>
      <c r="BA27" s="349"/>
      <c r="BB27" s="349"/>
      <c r="BC27" s="349"/>
      <c r="BD27" s="231" t="str">
        <f t="shared" si="13"/>
        <v/>
      </c>
      <c r="BE27" s="232"/>
      <c r="BF27" s="232"/>
      <c r="BG27" s="232"/>
      <c r="BH27" s="233"/>
      <c r="BI27" s="334" t="str">
        <f t="shared" si="14"/>
        <v/>
      </c>
      <c r="BJ27" s="350"/>
    </row>
    <row r="28" spans="2:62" ht="20.100000000000001" customHeight="1">
      <c r="B28" s="36" t="str">
        <f>IF('거래명세서(입력)'!C28="","",'거래명세서(입력)'!C28)</f>
        <v/>
      </c>
      <c r="C28" s="37" t="str">
        <f>IF('거래명세서(입력)'!D28="","",'거래명세서(입력)'!D28)</f>
        <v/>
      </c>
      <c r="D28" s="226" t="str">
        <f>IF('거래명세서(입력)'!E28="","",'거래명세서(입력)'!E28)</f>
        <v/>
      </c>
      <c r="E28" s="227"/>
      <c r="F28" s="227"/>
      <c r="G28" s="227"/>
      <c r="H28" s="228"/>
      <c r="I28" s="226" t="str">
        <f>'거래명세서(입력)'!F28</f>
        <v/>
      </c>
      <c r="J28" s="227"/>
      <c r="K28" s="227"/>
      <c r="L28" s="227"/>
      <c r="M28" s="228"/>
      <c r="N28" s="229" t="str">
        <f>IF('거래명세서(입력)'!G28="","",'거래명세서(입력)'!G28)</f>
        <v/>
      </c>
      <c r="O28" s="230"/>
      <c r="P28" s="246" t="str">
        <f>'거래명세서(입력)'!H28</f>
        <v/>
      </c>
      <c r="Q28" s="247"/>
      <c r="R28" s="247"/>
      <c r="S28" s="248"/>
      <c r="T28" s="231" t="str">
        <f>'거래명세서(입력)'!I28</f>
        <v/>
      </c>
      <c r="U28" s="232"/>
      <c r="V28" s="232"/>
      <c r="W28" s="232"/>
      <c r="X28" s="233"/>
      <c r="Y28" s="231" t="str">
        <f>'거래명세서(입력)'!J28</f>
        <v/>
      </c>
      <c r="Z28" s="232"/>
      <c r="AA28" s="232"/>
      <c r="AB28" s="232"/>
      <c r="AC28" s="233"/>
      <c r="AD28" s="226"/>
      <c r="AE28" s="234"/>
      <c r="AG28" s="36" t="str">
        <f t="shared" si="6"/>
        <v/>
      </c>
      <c r="AH28" s="37" t="str">
        <f t="shared" si="7"/>
        <v/>
      </c>
      <c r="AI28" s="226" t="str">
        <f t="shared" si="8"/>
        <v/>
      </c>
      <c r="AJ28" s="227"/>
      <c r="AK28" s="227"/>
      <c r="AL28" s="227"/>
      <c r="AM28" s="228"/>
      <c r="AN28" s="334" t="str">
        <f t="shared" si="9"/>
        <v/>
      </c>
      <c r="AO28" s="334"/>
      <c r="AP28" s="334"/>
      <c r="AQ28" s="334"/>
      <c r="AR28" s="334"/>
      <c r="AS28" s="229" t="str">
        <f t="shared" si="10"/>
        <v/>
      </c>
      <c r="AT28" s="230"/>
      <c r="AU28" s="231" t="str">
        <f t="shared" si="11"/>
        <v/>
      </c>
      <c r="AV28" s="232"/>
      <c r="AW28" s="232"/>
      <c r="AX28" s="233"/>
      <c r="AY28" s="349" t="str">
        <f t="shared" si="12"/>
        <v/>
      </c>
      <c r="AZ28" s="349"/>
      <c r="BA28" s="349"/>
      <c r="BB28" s="349"/>
      <c r="BC28" s="349"/>
      <c r="BD28" s="231" t="str">
        <f t="shared" si="13"/>
        <v/>
      </c>
      <c r="BE28" s="232"/>
      <c r="BF28" s="232"/>
      <c r="BG28" s="232"/>
      <c r="BH28" s="233"/>
      <c r="BI28" s="334" t="str">
        <f t="shared" si="14"/>
        <v/>
      </c>
      <c r="BJ28" s="350"/>
    </row>
    <row r="29" spans="2:62" ht="20.100000000000001" customHeight="1">
      <c r="B29" s="36" t="str">
        <f>IF('거래명세서(입력)'!C29="","",'거래명세서(입력)'!C29)</f>
        <v/>
      </c>
      <c r="C29" s="37" t="str">
        <f>IF('거래명세서(입력)'!D29="","",'거래명세서(입력)'!D29)</f>
        <v/>
      </c>
      <c r="D29" s="226" t="str">
        <f>IF('거래명세서(입력)'!E29="","",'거래명세서(입력)'!E29)</f>
        <v/>
      </c>
      <c r="E29" s="227"/>
      <c r="F29" s="227"/>
      <c r="G29" s="227"/>
      <c r="H29" s="228"/>
      <c r="I29" s="226" t="str">
        <f>'거래명세서(입력)'!F29</f>
        <v/>
      </c>
      <c r="J29" s="227"/>
      <c r="K29" s="227"/>
      <c r="L29" s="227"/>
      <c r="M29" s="228"/>
      <c r="N29" s="229" t="str">
        <f>IF('거래명세서(입력)'!G29="","",'거래명세서(입력)'!G29)</f>
        <v/>
      </c>
      <c r="O29" s="230"/>
      <c r="P29" s="246" t="str">
        <f>'거래명세서(입력)'!H29</f>
        <v/>
      </c>
      <c r="Q29" s="247"/>
      <c r="R29" s="247"/>
      <c r="S29" s="248"/>
      <c r="T29" s="231" t="str">
        <f>'거래명세서(입력)'!I29</f>
        <v/>
      </c>
      <c r="U29" s="232"/>
      <c r="V29" s="232"/>
      <c r="W29" s="232"/>
      <c r="X29" s="233"/>
      <c r="Y29" s="231" t="str">
        <f>'거래명세서(입력)'!J29</f>
        <v/>
      </c>
      <c r="Z29" s="232"/>
      <c r="AA29" s="232"/>
      <c r="AB29" s="232"/>
      <c r="AC29" s="233"/>
      <c r="AD29" s="226"/>
      <c r="AE29" s="234"/>
      <c r="AG29" s="36" t="str">
        <f t="shared" si="6"/>
        <v/>
      </c>
      <c r="AH29" s="37" t="str">
        <f t="shared" si="7"/>
        <v/>
      </c>
      <c r="AI29" s="226" t="str">
        <f t="shared" si="8"/>
        <v/>
      </c>
      <c r="AJ29" s="227"/>
      <c r="AK29" s="227"/>
      <c r="AL29" s="227"/>
      <c r="AM29" s="228"/>
      <c r="AN29" s="334" t="str">
        <f t="shared" si="9"/>
        <v/>
      </c>
      <c r="AO29" s="334"/>
      <c r="AP29" s="334"/>
      <c r="AQ29" s="334"/>
      <c r="AR29" s="334"/>
      <c r="AS29" s="229" t="str">
        <f t="shared" si="10"/>
        <v/>
      </c>
      <c r="AT29" s="230"/>
      <c r="AU29" s="231" t="str">
        <f t="shared" si="11"/>
        <v/>
      </c>
      <c r="AV29" s="232"/>
      <c r="AW29" s="232"/>
      <c r="AX29" s="233"/>
      <c r="AY29" s="349" t="str">
        <f t="shared" si="12"/>
        <v/>
      </c>
      <c r="AZ29" s="349"/>
      <c r="BA29" s="349"/>
      <c r="BB29" s="349"/>
      <c r="BC29" s="349"/>
      <c r="BD29" s="231" t="str">
        <f t="shared" si="13"/>
        <v/>
      </c>
      <c r="BE29" s="232"/>
      <c r="BF29" s="232"/>
      <c r="BG29" s="232"/>
      <c r="BH29" s="233"/>
      <c r="BI29" s="334" t="str">
        <f t="shared" si="14"/>
        <v/>
      </c>
      <c r="BJ29" s="339"/>
    </row>
    <row r="30" spans="2:62" ht="20.100000000000001" customHeight="1">
      <c r="B30" s="36" t="str">
        <f>IF('거래명세서(입력)'!C30="","",'거래명세서(입력)'!C30)</f>
        <v/>
      </c>
      <c r="C30" s="37" t="str">
        <f>IF('거래명세서(입력)'!D30="","",'거래명세서(입력)'!D30)</f>
        <v/>
      </c>
      <c r="D30" s="226" t="str">
        <f>IF('거래명세서(입력)'!E30="","",'거래명세서(입력)'!E30)</f>
        <v/>
      </c>
      <c r="E30" s="227"/>
      <c r="F30" s="227"/>
      <c r="G30" s="227"/>
      <c r="H30" s="228"/>
      <c r="I30" s="226" t="str">
        <f>'거래명세서(입력)'!F30</f>
        <v/>
      </c>
      <c r="J30" s="227"/>
      <c r="K30" s="227"/>
      <c r="L30" s="227"/>
      <c r="M30" s="228"/>
      <c r="N30" s="229" t="str">
        <f>IF('거래명세서(입력)'!G30="","",'거래명세서(입력)'!G30)</f>
        <v/>
      </c>
      <c r="O30" s="230"/>
      <c r="P30" s="246" t="str">
        <f>'거래명세서(입력)'!H30</f>
        <v/>
      </c>
      <c r="Q30" s="247"/>
      <c r="R30" s="247"/>
      <c r="S30" s="248"/>
      <c r="T30" s="231" t="str">
        <f>'거래명세서(입력)'!I30</f>
        <v/>
      </c>
      <c r="U30" s="232"/>
      <c r="V30" s="232"/>
      <c r="W30" s="232"/>
      <c r="X30" s="233"/>
      <c r="Y30" s="231" t="str">
        <f>'거래명세서(입력)'!J30</f>
        <v/>
      </c>
      <c r="Z30" s="232"/>
      <c r="AA30" s="232"/>
      <c r="AB30" s="232"/>
      <c r="AC30" s="233"/>
      <c r="AD30" s="226"/>
      <c r="AE30" s="234"/>
      <c r="AG30" s="36" t="str">
        <f t="shared" si="6"/>
        <v/>
      </c>
      <c r="AH30" s="37" t="str">
        <f t="shared" si="7"/>
        <v/>
      </c>
      <c r="AI30" s="226" t="str">
        <f t="shared" si="8"/>
        <v/>
      </c>
      <c r="AJ30" s="227"/>
      <c r="AK30" s="227"/>
      <c r="AL30" s="227"/>
      <c r="AM30" s="228"/>
      <c r="AN30" s="334" t="str">
        <f t="shared" si="9"/>
        <v/>
      </c>
      <c r="AO30" s="334"/>
      <c r="AP30" s="334"/>
      <c r="AQ30" s="334"/>
      <c r="AR30" s="334"/>
      <c r="AS30" s="229" t="str">
        <f t="shared" si="10"/>
        <v/>
      </c>
      <c r="AT30" s="230"/>
      <c r="AU30" s="231" t="str">
        <f t="shared" si="11"/>
        <v/>
      </c>
      <c r="AV30" s="232"/>
      <c r="AW30" s="232"/>
      <c r="AX30" s="233"/>
      <c r="AY30" s="349" t="str">
        <f t="shared" si="12"/>
        <v/>
      </c>
      <c r="AZ30" s="349"/>
      <c r="BA30" s="349"/>
      <c r="BB30" s="349"/>
      <c r="BC30" s="349"/>
      <c r="BD30" s="231" t="str">
        <f t="shared" si="13"/>
        <v/>
      </c>
      <c r="BE30" s="232"/>
      <c r="BF30" s="232"/>
      <c r="BG30" s="232"/>
      <c r="BH30" s="233"/>
      <c r="BI30" s="334" t="str">
        <f t="shared" si="14"/>
        <v/>
      </c>
      <c r="BJ30" s="350"/>
    </row>
    <row r="31" spans="2:62" ht="20.100000000000001" customHeight="1">
      <c r="B31" s="36" t="str">
        <f>IF('거래명세서(입력)'!C31="","",'거래명세서(입력)'!C31)</f>
        <v/>
      </c>
      <c r="C31" s="37" t="str">
        <f>IF('거래명세서(입력)'!D31="","",'거래명세서(입력)'!D31)</f>
        <v/>
      </c>
      <c r="D31" s="226" t="str">
        <f>IF('거래명세서(입력)'!E31="","",'거래명세서(입력)'!E31)</f>
        <v/>
      </c>
      <c r="E31" s="227"/>
      <c r="F31" s="227"/>
      <c r="G31" s="227"/>
      <c r="H31" s="228"/>
      <c r="I31" s="226" t="str">
        <f>'거래명세서(입력)'!F31</f>
        <v/>
      </c>
      <c r="J31" s="227"/>
      <c r="K31" s="227"/>
      <c r="L31" s="227"/>
      <c r="M31" s="228"/>
      <c r="N31" s="229" t="str">
        <f>IF('거래명세서(입력)'!G31="","",'거래명세서(입력)'!G31)</f>
        <v/>
      </c>
      <c r="O31" s="230"/>
      <c r="P31" s="246" t="str">
        <f>'거래명세서(입력)'!H31</f>
        <v/>
      </c>
      <c r="Q31" s="247"/>
      <c r="R31" s="247"/>
      <c r="S31" s="248"/>
      <c r="T31" s="231" t="str">
        <f>'거래명세서(입력)'!I31</f>
        <v/>
      </c>
      <c r="U31" s="232"/>
      <c r="V31" s="232"/>
      <c r="W31" s="232"/>
      <c r="X31" s="233"/>
      <c r="Y31" s="231" t="str">
        <f>'거래명세서(입력)'!J31</f>
        <v/>
      </c>
      <c r="Z31" s="232"/>
      <c r="AA31" s="232"/>
      <c r="AB31" s="232"/>
      <c r="AC31" s="233"/>
      <c r="AD31" s="226"/>
      <c r="AE31" s="234"/>
      <c r="AG31" s="36" t="str">
        <f t="shared" si="6"/>
        <v/>
      </c>
      <c r="AH31" s="37" t="str">
        <f t="shared" si="7"/>
        <v/>
      </c>
      <c r="AI31" s="226" t="str">
        <f t="shared" si="8"/>
        <v/>
      </c>
      <c r="AJ31" s="227"/>
      <c r="AK31" s="227"/>
      <c r="AL31" s="227"/>
      <c r="AM31" s="228"/>
      <c r="AN31" s="334" t="str">
        <f t="shared" si="9"/>
        <v/>
      </c>
      <c r="AO31" s="334"/>
      <c r="AP31" s="334"/>
      <c r="AQ31" s="334"/>
      <c r="AR31" s="334"/>
      <c r="AS31" s="229" t="str">
        <f t="shared" si="10"/>
        <v/>
      </c>
      <c r="AT31" s="230"/>
      <c r="AU31" s="231" t="str">
        <f t="shared" si="11"/>
        <v/>
      </c>
      <c r="AV31" s="232"/>
      <c r="AW31" s="232"/>
      <c r="AX31" s="233"/>
      <c r="AY31" s="349" t="str">
        <f t="shared" si="12"/>
        <v/>
      </c>
      <c r="AZ31" s="349"/>
      <c r="BA31" s="349"/>
      <c r="BB31" s="349"/>
      <c r="BC31" s="349"/>
      <c r="BD31" s="231" t="str">
        <f t="shared" si="13"/>
        <v/>
      </c>
      <c r="BE31" s="232"/>
      <c r="BF31" s="232"/>
      <c r="BG31" s="232"/>
      <c r="BH31" s="233"/>
      <c r="BI31" s="334" t="str">
        <f t="shared" si="14"/>
        <v/>
      </c>
      <c r="BJ31" s="350"/>
    </row>
    <row r="32" spans="2:62" ht="20.100000000000001" customHeight="1">
      <c r="B32" s="36" t="str">
        <f>IF('거래명세서(입력)'!C32="","",'거래명세서(입력)'!C32)</f>
        <v/>
      </c>
      <c r="C32" s="37" t="str">
        <f>IF('거래명세서(입력)'!D32="","",'거래명세서(입력)'!D32)</f>
        <v/>
      </c>
      <c r="D32" s="226" t="str">
        <f>IF('거래명세서(입력)'!E32="","",'거래명세서(입력)'!E32)</f>
        <v/>
      </c>
      <c r="E32" s="227"/>
      <c r="F32" s="227"/>
      <c r="G32" s="227"/>
      <c r="H32" s="228"/>
      <c r="I32" s="226" t="str">
        <f>'거래명세서(입력)'!F32</f>
        <v/>
      </c>
      <c r="J32" s="227"/>
      <c r="K32" s="227"/>
      <c r="L32" s="227"/>
      <c r="M32" s="228"/>
      <c r="N32" s="229" t="str">
        <f>IF('거래명세서(입력)'!G32="","",'거래명세서(입력)'!G32)</f>
        <v/>
      </c>
      <c r="O32" s="230"/>
      <c r="P32" s="246" t="str">
        <f>'거래명세서(입력)'!H32</f>
        <v/>
      </c>
      <c r="Q32" s="247"/>
      <c r="R32" s="247"/>
      <c r="S32" s="248"/>
      <c r="T32" s="231" t="str">
        <f>'거래명세서(입력)'!I32</f>
        <v/>
      </c>
      <c r="U32" s="232"/>
      <c r="V32" s="232"/>
      <c r="W32" s="232"/>
      <c r="X32" s="233"/>
      <c r="Y32" s="231" t="str">
        <f>'거래명세서(입력)'!J32</f>
        <v/>
      </c>
      <c r="Z32" s="232"/>
      <c r="AA32" s="232"/>
      <c r="AB32" s="232"/>
      <c r="AC32" s="233"/>
      <c r="AD32" s="226"/>
      <c r="AE32" s="234"/>
      <c r="AG32" s="36" t="str">
        <f t="shared" si="6"/>
        <v/>
      </c>
      <c r="AH32" s="37" t="str">
        <f t="shared" si="7"/>
        <v/>
      </c>
      <c r="AI32" s="226" t="str">
        <f t="shared" si="8"/>
        <v/>
      </c>
      <c r="AJ32" s="227"/>
      <c r="AK32" s="227"/>
      <c r="AL32" s="227"/>
      <c r="AM32" s="228"/>
      <c r="AN32" s="334" t="str">
        <f t="shared" si="9"/>
        <v/>
      </c>
      <c r="AO32" s="334"/>
      <c r="AP32" s="334"/>
      <c r="AQ32" s="334"/>
      <c r="AR32" s="334"/>
      <c r="AS32" s="229" t="str">
        <f t="shared" si="10"/>
        <v/>
      </c>
      <c r="AT32" s="230"/>
      <c r="AU32" s="231" t="str">
        <f t="shared" si="11"/>
        <v/>
      </c>
      <c r="AV32" s="232"/>
      <c r="AW32" s="232"/>
      <c r="AX32" s="233"/>
      <c r="AY32" s="349" t="str">
        <f t="shared" si="12"/>
        <v/>
      </c>
      <c r="AZ32" s="349"/>
      <c r="BA32" s="349"/>
      <c r="BB32" s="349"/>
      <c r="BC32" s="349"/>
      <c r="BD32" s="231" t="str">
        <f t="shared" si="13"/>
        <v/>
      </c>
      <c r="BE32" s="232"/>
      <c r="BF32" s="232"/>
      <c r="BG32" s="232"/>
      <c r="BH32" s="233"/>
      <c r="BI32" s="334" t="str">
        <f t="shared" si="14"/>
        <v/>
      </c>
      <c r="BJ32" s="350"/>
    </row>
    <row r="33" spans="2:62" ht="20.100000000000001" customHeight="1">
      <c r="B33" s="36" t="str">
        <f>IF('거래명세서(입력)'!C33="","",'거래명세서(입력)'!C33)</f>
        <v/>
      </c>
      <c r="C33" s="37" t="str">
        <f>IF('거래명세서(입력)'!D33="","",'거래명세서(입력)'!D33)</f>
        <v/>
      </c>
      <c r="D33" s="226" t="str">
        <f>IF('거래명세서(입력)'!E33="","",'거래명세서(입력)'!E33)</f>
        <v/>
      </c>
      <c r="E33" s="227"/>
      <c r="F33" s="227"/>
      <c r="G33" s="227"/>
      <c r="H33" s="228"/>
      <c r="I33" s="226" t="str">
        <f>'거래명세서(입력)'!F33</f>
        <v/>
      </c>
      <c r="J33" s="227"/>
      <c r="K33" s="227"/>
      <c r="L33" s="227"/>
      <c r="M33" s="228"/>
      <c r="N33" s="229" t="str">
        <f>IF('거래명세서(입력)'!G33="","",'거래명세서(입력)'!G33)</f>
        <v/>
      </c>
      <c r="O33" s="230"/>
      <c r="P33" s="246" t="str">
        <f>'거래명세서(입력)'!H33</f>
        <v/>
      </c>
      <c r="Q33" s="247"/>
      <c r="R33" s="247"/>
      <c r="S33" s="248"/>
      <c r="T33" s="231" t="str">
        <f>'거래명세서(입력)'!I33</f>
        <v/>
      </c>
      <c r="U33" s="232"/>
      <c r="V33" s="232"/>
      <c r="W33" s="232"/>
      <c r="X33" s="233"/>
      <c r="Y33" s="231" t="str">
        <f>'거래명세서(입력)'!J33</f>
        <v/>
      </c>
      <c r="Z33" s="232"/>
      <c r="AA33" s="232"/>
      <c r="AB33" s="232"/>
      <c r="AC33" s="233"/>
      <c r="AD33" s="226"/>
      <c r="AE33" s="234"/>
      <c r="AG33" s="36" t="str">
        <f t="shared" si="6"/>
        <v/>
      </c>
      <c r="AH33" s="37" t="str">
        <f t="shared" si="7"/>
        <v/>
      </c>
      <c r="AI33" s="226" t="str">
        <f t="shared" si="8"/>
        <v/>
      </c>
      <c r="AJ33" s="227"/>
      <c r="AK33" s="227"/>
      <c r="AL33" s="227"/>
      <c r="AM33" s="228"/>
      <c r="AN33" s="334" t="str">
        <f t="shared" si="9"/>
        <v/>
      </c>
      <c r="AO33" s="334"/>
      <c r="AP33" s="334"/>
      <c r="AQ33" s="334"/>
      <c r="AR33" s="334"/>
      <c r="AS33" s="229" t="str">
        <f t="shared" si="10"/>
        <v/>
      </c>
      <c r="AT33" s="230"/>
      <c r="AU33" s="231" t="str">
        <f t="shared" si="11"/>
        <v/>
      </c>
      <c r="AV33" s="232"/>
      <c r="AW33" s="232"/>
      <c r="AX33" s="233"/>
      <c r="AY33" s="349" t="str">
        <f t="shared" si="12"/>
        <v/>
      </c>
      <c r="AZ33" s="349"/>
      <c r="BA33" s="349"/>
      <c r="BB33" s="349"/>
      <c r="BC33" s="349"/>
      <c r="BD33" s="231" t="str">
        <f t="shared" si="13"/>
        <v/>
      </c>
      <c r="BE33" s="232"/>
      <c r="BF33" s="232"/>
      <c r="BG33" s="232"/>
      <c r="BH33" s="233"/>
      <c r="BI33" s="334" t="str">
        <f t="shared" si="14"/>
        <v/>
      </c>
      <c r="BJ33" s="350"/>
    </row>
    <row r="34" spans="2:62" ht="20.100000000000001" customHeight="1">
      <c r="B34" s="36" t="str">
        <f>IF('거래명세서(입력)'!C34="","",'거래명세서(입력)'!C34)</f>
        <v/>
      </c>
      <c r="C34" s="37" t="str">
        <f>IF('거래명세서(입력)'!D34="","",'거래명세서(입력)'!D34)</f>
        <v/>
      </c>
      <c r="D34" s="226" t="str">
        <f>IF('거래명세서(입력)'!E34="","",'거래명세서(입력)'!E34)</f>
        <v/>
      </c>
      <c r="E34" s="227"/>
      <c r="F34" s="227"/>
      <c r="G34" s="227"/>
      <c r="H34" s="228"/>
      <c r="I34" s="226" t="str">
        <f>'거래명세서(입력)'!F34</f>
        <v/>
      </c>
      <c r="J34" s="227"/>
      <c r="K34" s="227"/>
      <c r="L34" s="227"/>
      <c r="M34" s="228"/>
      <c r="N34" s="229" t="str">
        <f>IF('거래명세서(입력)'!G34="","",'거래명세서(입력)'!G34)</f>
        <v/>
      </c>
      <c r="O34" s="230"/>
      <c r="P34" s="246" t="str">
        <f>'거래명세서(입력)'!H34</f>
        <v/>
      </c>
      <c r="Q34" s="247"/>
      <c r="R34" s="247"/>
      <c r="S34" s="248"/>
      <c r="T34" s="231" t="str">
        <f>'거래명세서(입력)'!I34</f>
        <v/>
      </c>
      <c r="U34" s="232"/>
      <c r="V34" s="232"/>
      <c r="W34" s="232"/>
      <c r="X34" s="233"/>
      <c r="Y34" s="231" t="str">
        <f>'거래명세서(입력)'!J34</f>
        <v/>
      </c>
      <c r="Z34" s="232"/>
      <c r="AA34" s="232"/>
      <c r="AB34" s="232"/>
      <c r="AC34" s="233"/>
      <c r="AD34" s="226"/>
      <c r="AE34" s="234"/>
      <c r="AG34" s="36" t="str">
        <f t="shared" si="6"/>
        <v/>
      </c>
      <c r="AH34" s="37" t="str">
        <f t="shared" si="7"/>
        <v/>
      </c>
      <c r="AI34" s="226" t="str">
        <f t="shared" si="8"/>
        <v/>
      </c>
      <c r="AJ34" s="227"/>
      <c r="AK34" s="227"/>
      <c r="AL34" s="227"/>
      <c r="AM34" s="228"/>
      <c r="AN34" s="334" t="str">
        <f t="shared" si="9"/>
        <v/>
      </c>
      <c r="AO34" s="334"/>
      <c r="AP34" s="334"/>
      <c r="AQ34" s="334"/>
      <c r="AR34" s="334"/>
      <c r="AS34" s="229" t="str">
        <f t="shared" si="10"/>
        <v/>
      </c>
      <c r="AT34" s="230"/>
      <c r="AU34" s="231" t="str">
        <f t="shared" si="11"/>
        <v/>
      </c>
      <c r="AV34" s="232"/>
      <c r="AW34" s="232"/>
      <c r="AX34" s="233"/>
      <c r="AY34" s="349" t="str">
        <f t="shared" si="12"/>
        <v/>
      </c>
      <c r="AZ34" s="349"/>
      <c r="BA34" s="349"/>
      <c r="BB34" s="349"/>
      <c r="BC34" s="349"/>
      <c r="BD34" s="231" t="str">
        <f t="shared" si="13"/>
        <v/>
      </c>
      <c r="BE34" s="232"/>
      <c r="BF34" s="232"/>
      <c r="BG34" s="232"/>
      <c r="BH34" s="233"/>
      <c r="BI34" s="334" t="str">
        <f t="shared" si="14"/>
        <v/>
      </c>
      <c r="BJ34" s="350"/>
    </row>
    <row r="35" spans="2:62" ht="20.100000000000001" customHeight="1" thickBot="1">
      <c r="B35" s="38" t="str">
        <f>IF('거래명세서(입력)'!C35="","",'거래명세서(입력)'!C35)</f>
        <v/>
      </c>
      <c r="C35" s="39" t="str">
        <f>IF('거래명세서(입력)'!D35="","",'거래명세서(입력)'!D35)</f>
        <v/>
      </c>
      <c r="D35" s="249" t="str">
        <f>IF('거래명세서(입력)'!E35="","",'거래명세서(입력)'!E35)</f>
        <v/>
      </c>
      <c r="E35" s="277"/>
      <c r="F35" s="277"/>
      <c r="G35" s="277"/>
      <c r="H35" s="278"/>
      <c r="I35" s="249" t="str">
        <f>'거래명세서(입력)'!F35</f>
        <v/>
      </c>
      <c r="J35" s="277"/>
      <c r="K35" s="277"/>
      <c r="L35" s="277"/>
      <c r="M35" s="278"/>
      <c r="N35" s="279" t="str">
        <f>IF('거래명세서(입력)'!G35="","",'거래명세서(입력)'!G35)</f>
        <v/>
      </c>
      <c r="O35" s="280"/>
      <c r="P35" s="284" t="str">
        <f>'거래명세서(입력)'!H35</f>
        <v/>
      </c>
      <c r="Q35" s="285"/>
      <c r="R35" s="285"/>
      <c r="S35" s="286"/>
      <c r="T35" s="281" t="str">
        <f>'거래명세서(입력)'!I35</f>
        <v/>
      </c>
      <c r="U35" s="282"/>
      <c r="V35" s="282"/>
      <c r="W35" s="282"/>
      <c r="X35" s="283"/>
      <c r="Y35" s="281" t="str">
        <f>'거래명세서(입력)'!J35</f>
        <v/>
      </c>
      <c r="Z35" s="282"/>
      <c r="AA35" s="282"/>
      <c r="AB35" s="282"/>
      <c r="AC35" s="283"/>
      <c r="AD35" s="249"/>
      <c r="AE35" s="250"/>
      <c r="AG35" s="38" t="str">
        <f t="shared" si="6"/>
        <v/>
      </c>
      <c r="AH35" s="39" t="str">
        <f t="shared" si="7"/>
        <v/>
      </c>
      <c r="AI35" s="249" t="str">
        <f t="shared" si="8"/>
        <v/>
      </c>
      <c r="AJ35" s="277"/>
      <c r="AK35" s="277"/>
      <c r="AL35" s="277"/>
      <c r="AM35" s="278"/>
      <c r="AN35" s="351" t="str">
        <f t="shared" si="9"/>
        <v/>
      </c>
      <c r="AO35" s="351"/>
      <c r="AP35" s="351"/>
      <c r="AQ35" s="351"/>
      <c r="AR35" s="351"/>
      <c r="AS35" s="279" t="str">
        <f t="shared" si="10"/>
        <v/>
      </c>
      <c r="AT35" s="280"/>
      <c r="AU35" s="281" t="str">
        <f t="shared" si="11"/>
        <v/>
      </c>
      <c r="AV35" s="282"/>
      <c r="AW35" s="282"/>
      <c r="AX35" s="283"/>
      <c r="AY35" s="352" t="str">
        <f t="shared" si="12"/>
        <v/>
      </c>
      <c r="AZ35" s="352"/>
      <c r="BA35" s="352"/>
      <c r="BB35" s="352"/>
      <c r="BC35" s="352"/>
      <c r="BD35" s="281" t="str">
        <f t="shared" si="13"/>
        <v/>
      </c>
      <c r="BE35" s="282"/>
      <c r="BF35" s="282"/>
      <c r="BG35" s="282"/>
      <c r="BH35" s="283"/>
      <c r="BI35" s="351" t="str">
        <f t="shared" si="14"/>
        <v/>
      </c>
      <c r="BJ35" s="353"/>
    </row>
    <row r="36" spans="2:62" ht="24.75" customHeight="1" thickBot="1">
      <c r="B36" s="251" t="s">
        <v>40</v>
      </c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3"/>
      <c r="T36" s="254">
        <f>SUM(T13:X35)</f>
        <v>71000</v>
      </c>
      <c r="U36" s="255"/>
      <c r="V36" s="255"/>
      <c r="W36" s="255"/>
      <c r="X36" s="256"/>
      <c r="Y36" s="254">
        <f>SUM(Y13:AC35)</f>
        <v>7100</v>
      </c>
      <c r="Z36" s="255"/>
      <c r="AA36" s="255"/>
      <c r="AB36" s="255"/>
      <c r="AC36" s="256"/>
      <c r="AD36" s="257"/>
      <c r="AE36" s="258"/>
      <c r="AG36" s="362" t="s">
        <v>40</v>
      </c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4"/>
      <c r="AY36" s="365">
        <f>SUM(AY13:BC35)</f>
        <v>71000</v>
      </c>
      <c r="AZ36" s="366"/>
      <c r="BA36" s="366"/>
      <c r="BB36" s="366"/>
      <c r="BC36" s="367"/>
      <c r="BD36" s="368">
        <f>SUM(BD13:BH35)</f>
        <v>7100</v>
      </c>
      <c r="BE36" s="368"/>
      <c r="BF36" s="368"/>
      <c r="BG36" s="368"/>
      <c r="BH36" s="368"/>
      <c r="BI36" s="369"/>
      <c r="BJ36" s="370"/>
    </row>
    <row r="37" spans="2:62" ht="15" customHeight="1">
      <c r="B37" s="259" t="s">
        <v>41</v>
      </c>
      <c r="C37" s="260"/>
      <c r="D37" s="263">
        <f>T36</f>
        <v>71000</v>
      </c>
      <c r="E37" s="264"/>
      <c r="F37" s="264"/>
      <c r="G37" s="265"/>
      <c r="H37" s="269" t="s">
        <v>42</v>
      </c>
      <c r="I37" s="260"/>
      <c r="J37" s="271">
        <f>Y36</f>
        <v>7100</v>
      </c>
      <c r="K37" s="272"/>
      <c r="L37" s="272"/>
      <c r="M37" s="273"/>
      <c r="N37" s="269" t="s">
        <v>43</v>
      </c>
      <c r="O37" s="260"/>
      <c r="P37" s="287"/>
      <c r="Q37" s="288"/>
      <c r="R37" s="289"/>
      <c r="S37" s="293" t="s">
        <v>44</v>
      </c>
      <c r="T37" s="294"/>
      <c r="U37" s="297"/>
      <c r="V37" s="298"/>
      <c r="W37" s="298"/>
      <c r="X37" s="299"/>
      <c r="Y37" s="303" t="s">
        <v>45</v>
      </c>
      <c r="Z37" s="304"/>
      <c r="AA37" s="307" t="str">
        <f>'거래명세서(입력)'!E7</f>
        <v>성현아</v>
      </c>
      <c r="AB37" s="308"/>
      <c r="AC37" s="308"/>
      <c r="AD37" s="308"/>
      <c r="AE37" s="309"/>
      <c r="AG37" s="371" t="s">
        <v>41</v>
      </c>
      <c r="AH37" s="372"/>
      <c r="AI37" s="263">
        <f>AY36</f>
        <v>71000</v>
      </c>
      <c r="AJ37" s="264"/>
      <c r="AK37" s="264"/>
      <c r="AL37" s="265"/>
      <c r="AM37" s="372" t="s">
        <v>42</v>
      </c>
      <c r="AN37" s="372"/>
      <c r="AO37" s="271">
        <f>BD36</f>
        <v>7100</v>
      </c>
      <c r="AP37" s="272"/>
      <c r="AQ37" s="272"/>
      <c r="AR37" s="273"/>
      <c r="AS37" s="372" t="s">
        <v>43</v>
      </c>
      <c r="AT37" s="372"/>
      <c r="AU37" s="288"/>
      <c r="AV37" s="288"/>
      <c r="AW37" s="289"/>
      <c r="AX37" s="354" t="s">
        <v>44</v>
      </c>
      <c r="AY37" s="354"/>
      <c r="AZ37" s="297">
        <f>U37</f>
        <v>0</v>
      </c>
      <c r="BA37" s="356"/>
      <c r="BB37" s="356"/>
      <c r="BC37" s="356"/>
      <c r="BD37" s="303" t="s">
        <v>45</v>
      </c>
      <c r="BE37" s="359"/>
      <c r="BF37" s="307" t="str">
        <f>AA37</f>
        <v>성현아</v>
      </c>
      <c r="BG37" s="308"/>
      <c r="BH37" s="308"/>
      <c r="BI37" s="308"/>
      <c r="BJ37" s="309"/>
    </row>
    <row r="38" spans="2:62" ht="15.75" customHeight="1" thickBot="1">
      <c r="B38" s="261"/>
      <c r="C38" s="262"/>
      <c r="D38" s="266"/>
      <c r="E38" s="267"/>
      <c r="F38" s="267"/>
      <c r="G38" s="268"/>
      <c r="H38" s="270"/>
      <c r="I38" s="262"/>
      <c r="J38" s="274"/>
      <c r="K38" s="275"/>
      <c r="L38" s="275"/>
      <c r="M38" s="276"/>
      <c r="N38" s="270"/>
      <c r="O38" s="262"/>
      <c r="P38" s="290"/>
      <c r="Q38" s="291"/>
      <c r="R38" s="292"/>
      <c r="S38" s="295"/>
      <c r="T38" s="296"/>
      <c r="U38" s="300"/>
      <c r="V38" s="301"/>
      <c r="W38" s="301"/>
      <c r="X38" s="302"/>
      <c r="Y38" s="305"/>
      <c r="Z38" s="306"/>
      <c r="AA38" s="310"/>
      <c r="AB38" s="311"/>
      <c r="AC38" s="311"/>
      <c r="AD38" s="311"/>
      <c r="AE38" s="312"/>
      <c r="AG38" s="373"/>
      <c r="AH38" s="374"/>
      <c r="AI38" s="266"/>
      <c r="AJ38" s="267"/>
      <c r="AK38" s="267"/>
      <c r="AL38" s="268"/>
      <c r="AM38" s="374"/>
      <c r="AN38" s="374"/>
      <c r="AO38" s="274"/>
      <c r="AP38" s="275"/>
      <c r="AQ38" s="275"/>
      <c r="AR38" s="276"/>
      <c r="AS38" s="374"/>
      <c r="AT38" s="374"/>
      <c r="AU38" s="291"/>
      <c r="AV38" s="291"/>
      <c r="AW38" s="292"/>
      <c r="AX38" s="355"/>
      <c r="AY38" s="355"/>
      <c r="AZ38" s="357"/>
      <c r="BA38" s="358"/>
      <c r="BB38" s="358"/>
      <c r="BC38" s="358"/>
      <c r="BD38" s="360"/>
      <c r="BE38" s="361"/>
      <c r="BF38" s="310"/>
      <c r="BG38" s="311"/>
      <c r="BH38" s="311"/>
      <c r="BI38" s="311"/>
      <c r="BJ38" s="312"/>
    </row>
  </sheetData>
  <mergeCells count="446">
    <mergeCell ref="AX37:AY38"/>
    <mergeCell ref="AZ37:BC38"/>
    <mergeCell ref="BD37:BE38"/>
    <mergeCell ref="BF37:BJ38"/>
    <mergeCell ref="AG36:AX36"/>
    <mergeCell ref="AY36:BC36"/>
    <mergeCell ref="BD36:BH36"/>
    <mergeCell ref="BI36:BJ36"/>
    <mergeCell ref="AG37:AH38"/>
    <mergeCell ref="AI37:AL38"/>
    <mergeCell ref="AM37:AN38"/>
    <mergeCell ref="AO37:AR38"/>
    <mergeCell ref="AS37:AT38"/>
    <mergeCell ref="AU37:AW38"/>
    <mergeCell ref="BI34:BJ34"/>
    <mergeCell ref="AI35:AM35"/>
    <mergeCell ref="AN35:AR35"/>
    <mergeCell ref="AS35:AT35"/>
    <mergeCell ref="AY35:BC35"/>
    <mergeCell ref="BD35:BH35"/>
    <mergeCell ref="BI35:BJ35"/>
    <mergeCell ref="AI34:AM34"/>
    <mergeCell ref="AN34:AR34"/>
    <mergeCell ref="AS34:AT34"/>
    <mergeCell ref="AY34:BC34"/>
    <mergeCell ref="BD34:BH34"/>
    <mergeCell ref="AU34:AX34"/>
    <mergeCell ref="AU35:AX35"/>
    <mergeCell ref="BI32:BJ32"/>
    <mergeCell ref="AI33:AM33"/>
    <mergeCell ref="AN33:AR33"/>
    <mergeCell ref="AS33:AT33"/>
    <mergeCell ref="AY33:BC33"/>
    <mergeCell ref="BD33:BH33"/>
    <mergeCell ref="BI33:BJ33"/>
    <mergeCell ref="AI32:AM32"/>
    <mergeCell ref="AN32:AR32"/>
    <mergeCell ref="AS32:AT32"/>
    <mergeCell ref="AY32:BC32"/>
    <mergeCell ref="BD32:BH32"/>
    <mergeCell ref="AU32:AX32"/>
    <mergeCell ref="AU33:AX33"/>
    <mergeCell ref="BI30:BJ30"/>
    <mergeCell ref="AI31:AM31"/>
    <mergeCell ref="AN31:AR31"/>
    <mergeCell ref="AS31:AT31"/>
    <mergeCell ref="AY31:BC31"/>
    <mergeCell ref="BD31:BH31"/>
    <mergeCell ref="BI31:BJ31"/>
    <mergeCell ref="AI30:AM30"/>
    <mergeCell ref="AN30:AR30"/>
    <mergeCell ref="AS30:AT30"/>
    <mergeCell ref="AY30:BC30"/>
    <mergeCell ref="BD30:BH30"/>
    <mergeCell ref="AU30:AX30"/>
    <mergeCell ref="AU31:AX31"/>
    <mergeCell ref="BI28:BJ28"/>
    <mergeCell ref="AI29:AM29"/>
    <mergeCell ref="AN29:AR29"/>
    <mergeCell ref="AS29:AT29"/>
    <mergeCell ref="AY29:BC29"/>
    <mergeCell ref="BD29:BH29"/>
    <mergeCell ref="BI29:BJ29"/>
    <mergeCell ref="AI28:AM28"/>
    <mergeCell ref="AN28:AR28"/>
    <mergeCell ref="AS28:AT28"/>
    <mergeCell ref="AY28:BC28"/>
    <mergeCell ref="BD28:BH28"/>
    <mergeCell ref="AU28:AX28"/>
    <mergeCell ref="AU29:AX29"/>
    <mergeCell ref="BI26:BJ26"/>
    <mergeCell ref="AI27:AM27"/>
    <mergeCell ref="AN27:AR27"/>
    <mergeCell ref="AS27:AT27"/>
    <mergeCell ref="AY27:BC27"/>
    <mergeCell ref="BD27:BH27"/>
    <mergeCell ref="BI27:BJ27"/>
    <mergeCell ref="AI26:AM26"/>
    <mergeCell ref="AN26:AR26"/>
    <mergeCell ref="AS26:AT26"/>
    <mergeCell ref="AY26:BC26"/>
    <mergeCell ref="BD26:BH26"/>
    <mergeCell ref="AU27:AX27"/>
    <mergeCell ref="AU26:AX26"/>
    <mergeCell ref="BI24:BJ24"/>
    <mergeCell ref="AI25:AM25"/>
    <mergeCell ref="AN25:AR25"/>
    <mergeCell ref="AS25:AT25"/>
    <mergeCell ref="AY25:BC25"/>
    <mergeCell ref="BD25:BH25"/>
    <mergeCell ref="BI25:BJ25"/>
    <mergeCell ref="AI24:AM24"/>
    <mergeCell ref="AN24:AR24"/>
    <mergeCell ref="AS24:AT24"/>
    <mergeCell ref="AY24:BC24"/>
    <mergeCell ref="BD24:BH24"/>
    <mergeCell ref="AU24:AX24"/>
    <mergeCell ref="AU25:AX25"/>
    <mergeCell ref="BI22:BJ22"/>
    <mergeCell ref="AI23:AM23"/>
    <mergeCell ref="AN23:AR23"/>
    <mergeCell ref="AS23:AT23"/>
    <mergeCell ref="AY23:BC23"/>
    <mergeCell ref="BD23:BH23"/>
    <mergeCell ref="BI23:BJ23"/>
    <mergeCell ref="AI22:AM22"/>
    <mergeCell ref="AN22:AR22"/>
    <mergeCell ref="AS22:AT22"/>
    <mergeCell ref="AY22:BC22"/>
    <mergeCell ref="BD22:BH22"/>
    <mergeCell ref="AU22:AX22"/>
    <mergeCell ref="AU23:AX23"/>
    <mergeCell ref="BI20:BJ20"/>
    <mergeCell ref="AI21:AM21"/>
    <mergeCell ref="AN21:AR21"/>
    <mergeCell ref="AS21:AT21"/>
    <mergeCell ref="AY21:BC21"/>
    <mergeCell ref="BD21:BH21"/>
    <mergeCell ref="BI21:BJ21"/>
    <mergeCell ref="AI20:AM20"/>
    <mergeCell ref="AN20:AR20"/>
    <mergeCell ref="AS20:AT20"/>
    <mergeCell ref="AY20:BC20"/>
    <mergeCell ref="BD20:BH20"/>
    <mergeCell ref="AU20:AX20"/>
    <mergeCell ref="AU21:AX21"/>
    <mergeCell ref="BI18:BJ18"/>
    <mergeCell ref="AI19:AM19"/>
    <mergeCell ref="AN19:AR19"/>
    <mergeCell ref="AS19:AT19"/>
    <mergeCell ref="AY19:BC19"/>
    <mergeCell ref="BD19:BH19"/>
    <mergeCell ref="BI19:BJ19"/>
    <mergeCell ref="AI18:AM18"/>
    <mergeCell ref="AN18:AR18"/>
    <mergeCell ref="AS18:AT18"/>
    <mergeCell ref="AY18:BC18"/>
    <mergeCell ref="BD18:BH18"/>
    <mergeCell ref="AU19:AX19"/>
    <mergeCell ref="BI16:BJ16"/>
    <mergeCell ref="AI17:AM17"/>
    <mergeCell ref="AN17:AR17"/>
    <mergeCell ref="AS17:AT17"/>
    <mergeCell ref="AY17:BC17"/>
    <mergeCell ref="BD17:BH17"/>
    <mergeCell ref="BI17:BJ17"/>
    <mergeCell ref="AI16:AM16"/>
    <mergeCell ref="AN16:AR16"/>
    <mergeCell ref="AS16:AT16"/>
    <mergeCell ref="AY16:BC16"/>
    <mergeCell ref="BD16:BH16"/>
    <mergeCell ref="BI14:BJ14"/>
    <mergeCell ref="AI15:AM15"/>
    <mergeCell ref="AN15:AR15"/>
    <mergeCell ref="AS15:AT15"/>
    <mergeCell ref="AY15:BC15"/>
    <mergeCell ref="BD15:BH15"/>
    <mergeCell ref="BI15:BJ15"/>
    <mergeCell ref="AI14:AM14"/>
    <mergeCell ref="AN14:AR14"/>
    <mergeCell ref="AS14:AT14"/>
    <mergeCell ref="AY14:BC14"/>
    <mergeCell ref="BD14:BH14"/>
    <mergeCell ref="BE10:BE11"/>
    <mergeCell ref="BF10:BJ11"/>
    <mergeCell ref="AI12:AM12"/>
    <mergeCell ref="AN12:AR12"/>
    <mergeCell ref="AS12:AT12"/>
    <mergeCell ref="AY12:BC12"/>
    <mergeCell ref="BD12:BH12"/>
    <mergeCell ref="BI12:BJ12"/>
    <mergeCell ref="AY13:BC13"/>
    <mergeCell ref="BD13:BH13"/>
    <mergeCell ref="BI13:BJ13"/>
    <mergeCell ref="AI13:AM13"/>
    <mergeCell ref="AN13:AR13"/>
    <mergeCell ref="AS13:AT13"/>
    <mergeCell ref="BF6:BF7"/>
    <mergeCell ref="BG6:BJ7"/>
    <mergeCell ref="AH7:AJ7"/>
    <mergeCell ref="AV7:AX7"/>
    <mergeCell ref="AH8:AJ9"/>
    <mergeCell ref="AK8:AT9"/>
    <mergeCell ref="AV8:AX8"/>
    <mergeCell ref="AY8:BJ9"/>
    <mergeCell ref="AV9:AX9"/>
    <mergeCell ref="BE4:BE5"/>
    <mergeCell ref="BF4:BF5"/>
    <mergeCell ref="BG4:BG5"/>
    <mergeCell ref="BH4:BH5"/>
    <mergeCell ref="BI4:BI5"/>
    <mergeCell ref="BJ4:BJ5"/>
    <mergeCell ref="AY4:AY5"/>
    <mergeCell ref="AZ4:AZ5"/>
    <mergeCell ref="BA4:BA5"/>
    <mergeCell ref="BB4:BB5"/>
    <mergeCell ref="BC4:BC5"/>
    <mergeCell ref="BD4:BD5"/>
    <mergeCell ref="AG2:AK2"/>
    <mergeCell ref="AG3:AK3"/>
    <mergeCell ref="AU12:AX12"/>
    <mergeCell ref="AU13:AX13"/>
    <mergeCell ref="AU14:AX14"/>
    <mergeCell ref="AU15:AX15"/>
    <mergeCell ref="AU16:AX16"/>
    <mergeCell ref="AU17:AX17"/>
    <mergeCell ref="AU18:AX18"/>
    <mergeCell ref="AL2:BC3"/>
    <mergeCell ref="AG4:AG11"/>
    <mergeCell ref="AH4:AJ5"/>
    <mergeCell ref="AU4:AU11"/>
    <mergeCell ref="AV4:AX5"/>
    <mergeCell ref="AH6:AJ6"/>
    <mergeCell ref="AK6:AT7"/>
    <mergeCell ref="AV6:AX6"/>
    <mergeCell ref="AH10:AJ11"/>
    <mergeCell ref="AK4:AR5"/>
    <mergeCell ref="AS4:AT5"/>
    <mergeCell ref="AK10:AT11"/>
    <mergeCell ref="AV10:AX11"/>
    <mergeCell ref="AY6:BE7"/>
    <mergeCell ref="AY10:BD11"/>
    <mergeCell ref="AD35:AE35"/>
    <mergeCell ref="B36:S36"/>
    <mergeCell ref="T36:X36"/>
    <mergeCell ref="Y36:AC36"/>
    <mergeCell ref="AD36:AE36"/>
    <mergeCell ref="B37:C38"/>
    <mergeCell ref="D37:G38"/>
    <mergeCell ref="H37:I38"/>
    <mergeCell ref="J37:M38"/>
    <mergeCell ref="N37:O38"/>
    <mergeCell ref="D35:H35"/>
    <mergeCell ref="I35:M35"/>
    <mergeCell ref="N35:O35"/>
    <mergeCell ref="T35:X35"/>
    <mergeCell ref="Y35:AC35"/>
    <mergeCell ref="P35:S35"/>
    <mergeCell ref="P37:R38"/>
    <mergeCell ref="S37:T38"/>
    <mergeCell ref="U37:X38"/>
    <mergeCell ref="Y37:Z38"/>
    <mergeCell ref="AA37:AE38"/>
    <mergeCell ref="AD33:AE33"/>
    <mergeCell ref="D34:H34"/>
    <mergeCell ref="I34:M34"/>
    <mergeCell ref="N34:O34"/>
    <mergeCell ref="T34:X34"/>
    <mergeCell ref="Y34:AC34"/>
    <mergeCell ref="AD34:AE34"/>
    <mergeCell ref="D33:H33"/>
    <mergeCell ref="I33:M33"/>
    <mergeCell ref="N33:O33"/>
    <mergeCell ref="T33:X33"/>
    <mergeCell ref="Y33:AC33"/>
    <mergeCell ref="P33:S33"/>
    <mergeCell ref="P34:S34"/>
    <mergeCell ref="AD31:AE31"/>
    <mergeCell ref="D32:H32"/>
    <mergeCell ref="I32:M32"/>
    <mergeCell ref="N32:O32"/>
    <mergeCell ref="T32:X32"/>
    <mergeCell ref="Y32:AC32"/>
    <mergeCell ref="AD32:AE32"/>
    <mergeCell ref="D31:H31"/>
    <mergeCell ref="I31:M31"/>
    <mergeCell ref="N31:O31"/>
    <mergeCell ref="T31:X31"/>
    <mergeCell ref="Y31:AC31"/>
    <mergeCell ref="P31:S31"/>
    <mergeCell ref="P32:S32"/>
    <mergeCell ref="AD29:AE29"/>
    <mergeCell ref="D30:H30"/>
    <mergeCell ref="I30:M30"/>
    <mergeCell ref="N30:O30"/>
    <mergeCell ref="T30:X30"/>
    <mergeCell ref="Y30:AC30"/>
    <mergeCell ref="AD30:AE30"/>
    <mergeCell ref="D29:H29"/>
    <mergeCell ref="I29:M29"/>
    <mergeCell ref="N29:O29"/>
    <mergeCell ref="T29:X29"/>
    <mergeCell ref="Y29:AC29"/>
    <mergeCell ref="P29:S29"/>
    <mergeCell ref="P30:S30"/>
    <mergeCell ref="AD27:AE27"/>
    <mergeCell ref="D28:H28"/>
    <mergeCell ref="I28:M28"/>
    <mergeCell ref="N28:O28"/>
    <mergeCell ref="T28:X28"/>
    <mergeCell ref="Y28:AC28"/>
    <mergeCell ref="AD28:AE28"/>
    <mergeCell ref="D27:H27"/>
    <mergeCell ref="I27:M27"/>
    <mergeCell ref="N27:O27"/>
    <mergeCell ref="T27:X27"/>
    <mergeCell ref="Y27:AC27"/>
    <mergeCell ref="P27:S27"/>
    <mergeCell ref="P28:S28"/>
    <mergeCell ref="AD25:AE25"/>
    <mergeCell ref="D26:H26"/>
    <mergeCell ref="I26:M26"/>
    <mergeCell ref="N26:O26"/>
    <mergeCell ref="T26:X26"/>
    <mergeCell ref="Y26:AC26"/>
    <mergeCell ref="AD26:AE26"/>
    <mergeCell ref="D25:H25"/>
    <mergeCell ref="I25:M25"/>
    <mergeCell ref="N25:O25"/>
    <mergeCell ref="T25:X25"/>
    <mergeCell ref="Y25:AC25"/>
    <mergeCell ref="P25:S25"/>
    <mergeCell ref="P26:S26"/>
    <mergeCell ref="AD23:AE23"/>
    <mergeCell ref="D24:H24"/>
    <mergeCell ref="I24:M24"/>
    <mergeCell ref="N24:O24"/>
    <mergeCell ref="T24:X24"/>
    <mergeCell ref="Y24:AC24"/>
    <mergeCell ref="AD24:AE24"/>
    <mergeCell ref="D23:H23"/>
    <mergeCell ref="I23:M23"/>
    <mergeCell ref="N23:O23"/>
    <mergeCell ref="T23:X23"/>
    <mergeCell ref="Y23:AC23"/>
    <mergeCell ref="P23:S23"/>
    <mergeCell ref="P24:S24"/>
    <mergeCell ref="AD21:AE21"/>
    <mergeCell ref="D22:H22"/>
    <mergeCell ref="I22:M22"/>
    <mergeCell ref="N22:O22"/>
    <mergeCell ref="T22:X22"/>
    <mergeCell ref="Y22:AC22"/>
    <mergeCell ref="AD22:AE22"/>
    <mergeCell ref="D21:H21"/>
    <mergeCell ref="I21:M21"/>
    <mergeCell ref="N21:O21"/>
    <mergeCell ref="T21:X21"/>
    <mergeCell ref="Y21:AC21"/>
    <mergeCell ref="P21:S21"/>
    <mergeCell ref="P22:S22"/>
    <mergeCell ref="AD19:AE19"/>
    <mergeCell ref="D20:H20"/>
    <mergeCell ref="I20:M20"/>
    <mergeCell ref="N20:O20"/>
    <mergeCell ref="T20:X20"/>
    <mergeCell ref="Y20:AC20"/>
    <mergeCell ref="AD20:AE20"/>
    <mergeCell ref="D19:H19"/>
    <mergeCell ref="I19:M19"/>
    <mergeCell ref="N19:O19"/>
    <mergeCell ref="T19:X19"/>
    <mergeCell ref="Y19:AC19"/>
    <mergeCell ref="P19:S19"/>
    <mergeCell ref="P20:S20"/>
    <mergeCell ref="AD17:AE17"/>
    <mergeCell ref="D18:H18"/>
    <mergeCell ref="I18:M18"/>
    <mergeCell ref="N18:O18"/>
    <mergeCell ref="T18:X18"/>
    <mergeCell ref="Y18:AC18"/>
    <mergeCell ref="AD18:AE18"/>
    <mergeCell ref="D17:H17"/>
    <mergeCell ref="I17:M17"/>
    <mergeCell ref="N17:O17"/>
    <mergeCell ref="T17:X17"/>
    <mergeCell ref="Y17:AC17"/>
    <mergeCell ref="P17:S17"/>
    <mergeCell ref="P18:S18"/>
    <mergeCell ref="AD15:AE15"/>
    <mergeCell ref="D16:H16"/>
    <mergeCell ref="I16:M16"/>
    <mergeCell ref="N16:O16"/>
    <mergeCell ref="T16:X16"/>
    <mergeCell ref="Y16:AC16"/>
    <mergeCell ref="AD16:AE16"/>
    <mergeCell ref="D15:H15"/>
    <mergeCell ref="I15:M15"/>
    <mergeCell ref="N15:O15"/>
    <mergeCell ref="T15:X15"/>
    <mergeCell ref="Y15:AC15"/>
    <mergeCell ref="P15:S15"/>
    <mergeCell ref="P16:S16"/>
    <mergeCell ref="P12:S12"/>
    <mergeCell ref="AD13:AE13"/>
    <mergeCell ref="D14:H14"/>
    <mergeCell ref="I14:M14"/>
    <mergeCell ref="N14:O14"/>
    <mergeCell ref="T14:X14"/>
    <mergeCell ref="Y14:AC14"/>
    <mergeCell ref="AD14:AE14"/>
    <mergeCell ref="D13:H13"/>
    <mergeCell ref="I13:M13"/>
    <mergeCell ref="N13:O13"/>
    <mergeCell ref="T13:X13"/>
    <mergeCell ref="Y13:AC13"/>
    <mergeCell ref="P13:S13"/>
    <mergeCell ref="P14:S14"/>
    <mergeCell ref="AE4:AE5"/>
    <mergeCell ref="T4:T5"/>
    <mergeCell ref="U4:U5"/>
    <mergeCell ref="V4:V5"/>
    <mergeCell ref="W4:W5"/>
    <mergeCell ref="X4:X5"/>
    <mergeCell ref="Y4:Y5"/>
    <mergeCell ref="AA10:AE11"/>
    <mergeCell ref="D12:H12"/>
    <mergeCell ref="I12:M12"/>
    <mergeCell ref="N12:O12"/>
    <mergeCell ref="T12:X12"/>
    <mergeCell ref="Y12:AC12"/>
    <mergeCell ref="AD12:AE12"/>
    <mergeCell ref="C8:E9"/>
    <mergeCell ref="F8:O9"/>
    <mergeCell ref="Q8:S8"/>
    <mergeCell ref="T8:AE9"/>
    <mergeCell ref="Q9:S9"/>
    <mergeCell ref="C10:E11"/>
    <mergeCell ref="F10:O11"/>
    <mergeCell ref="Q10:S11"/>
    <mergeCell ref="T10:Y11"/>
    <mergeCell ref="Z10:Z11"/>
    <mergeCell ref="BD3:BJ3"/>
    <mergeCell ref="G2:X3"/>
    <mergeCell ref="Y3:AE3"/>
    <mergeCell ref="B2:F2"/>
    <mergeCell ref="B3:F3"/>
    <mergeCell ref="B4:B11"/>
    <mergeCell ref="C4:E5"/>
    <mergeCell ref="P4:P11"/>
    <mergeCell ref="Q4:S5"/>
    <mergeCell ref="F4:M5"/>
    <mergeCell ref="N4:O5"/>
    <mergeCell ref="C6:E6"/>
    <mergeCell ref="F6:O7"/>
    <mergeCell ref="Q6:S6"/>
    <mergeCell ref="T6:Z7"/>
    <mergeCell ref="AA6:AA7"/>
    <mergeCell ref="AB6:AE7"/>
    <mergeCell ref="C7:E7"/>
    <mergeCell ref="Q7:S7"/>
    <mergeCell ref="Z4:Z5"/>
    <mergeCell ref="AA4:AA5"/>
    <mergeCell ref="AB4:AB5"/>
    <mergeCell ref="AC4:AC5"/>
    <mergeCell ref="AD4:AD5"/>
  </mergeCells>
  <phoneticPr fontId="4" type="noConversion"/>
  <printOptions horizontalCentered="1"/>
  <pageMargins left="0.19685039370078741" right="0.19685039370078741" top="0.98425196850393704" bottom="0.78740157480314965" header="0.51181102362204722" footer="0.43307086614173229"/>
  <pageSetup paperSize="9" fitToHeight="0" orientation="portrait" r:id="rId1"/>
  <headerFooter alignWithMargins="0"/>
  <colBreaks count="1" manualBreakCount="1">
    <brk id="3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showGridLines="0" workbookViewId="0">
      <pane ySplit="5" topLeftCell="A6" activePane="bottomLeft" state="frozen"/>
      <selection pane="bottomLeft" activeCell="C3" sqref="C3"/>
    </sheetView>
  </sheetViews>
  <sheetFormatPr defaultRowHeight="16.5"/>
  <cols>
    <col min="1" max="1" width="9.75" customWidth="1"/>
    <col min="2" max="2" width="9.875" customWidth="1"/>
    <col min="3" max="3" width="9.125" customWidth="1"/>
    <col min="4" max="4" width="13.375" customWidth="1"/>
    <col min="5" max="5" width="10.5" style="40" bestFit="1" customWidth="1"/>
    <col min="6" max="6" width="12.375" bestFit="1" customWidth="1"/>
    <col min="7" max="7" width="12.25" customWidth="1"/>
    <col min="8" max="8" width="25.125" customWidth="1"/>
  </cols>
  <sheetData>
    <row r="1" spans="1:8" ht="20.25">
      <c r="A1" s="375" t="s">
        <v>49</v>
      </c>
      <c r="B1" s="375"/>
      <c r="C1" s="375"/>
      <c r="D1" s="375"/>
    </row>
    <row r="3" spans="1:8">
      <c r="A3" s="376" t="s">
        <v>927</v>
      </c>
      <c r="B3" s="376"/>
      <c r="C3" s="41">
        <f>MAX(tbl발급대장[발급번호])+1</f>
        <v>5</v>
      </c>
    </row>
    <row r="5" spans="1:8">
      <c r="A5" s="83" t="s">
        <v>50</v>
      </c>
      <c r="B5" s="83" t="s">
        <v>803</v>
      </c>
      <c r="C5" s="83" t="s">
        <v>51</v>
      </c>
      <c r="D5" s="83" t="s">
        <v>52</v>
      </c>
      <c r="E5" s="84" t="s">
        <v>824</v>
      </c>
      <c r="F5" s="83" t="s">
        <v>831</v>
      </c>
      <c r="G5" s="83" t="s">
        <v>832</v>
      </c>
      <c r="H5" s="83" t="s">
        <v>833</v>
      </c>
    </row>
    <row r="6" spans="1:8">
      <c r="A6" s="42">
        <v>1</v>
      </c>
      <c r="B6" s="42" t="s">
        <v>944</v>
      </c>
      <c r="C6" s="42" t="s">
        <v>947</v>
      </c>
      <c r="D6" s="43">
        <v>41784</v>
      </c>
      <c r="E6" s="44">
        <v>962500</v>
      </c>
      <c r="F6" s="88" t="s">
        <v>949</v>
      </c>
      <c r="G6" s="88" t="s">
        <v>946</v>
      </c>
      <c r="H6" s="88" t="s">
        <v>948</v>
      </c>
    </row>
    <row r="7" spans="1:8">
      <c r="A7" s="67">
        <v>2</v>
      </c>
      <c r="B7" s="67" t="s">
        <v>939</v>
      </c>
      <c r="C7" s="67" t="s">
        <v>940</v>
      </c>
      <c r="D7" s="68">
        <v>41698</v>
      </c>
      <c r="E7" s="101">
        <v>1372800</v>
      </c>
      <c r="F7" s="102" t="s">
        <v>941</v>
      </c>
      <c r="G7" s="67" t="s">
        <v>942</v>
      </c>
      <c r="H7" s="67" t="s">
        <v>943</v>
      </c>
    </row>
    <row r="8" spans="1:8">
      <c r="A8" s="67">
        <v>3</v>
      </c>
      <c r="B8" s="67" t="s">
        <v>934</v>
      </c>
      <c r="C8" s="67" t="s">
        <v>935</v>
      </c>
      <c r="D8" s="68">
        <v>41701</v>
      </c>
      <c r="E8" s="101">
        <v>555500</v>
      </c>
      <c r="F8" s="102" t="s">
        <v>936</v>
      </c>
      <c r="G8" s="67" t="s">
        <v>937</v>
      </c>
      <c r="H8" s="67" t="s">
        <v>938</v>
      </c>
    </row>
    <row r="9" spans="1:8">
      <c r="A9" s="67">
        <v>4</v>
      </c>
      <c r="B9" s="67" t="s">
        <v>929</v>
      </c>
      <c r="C9" s="67" t="s">
        <v>931</v>
      </c>
      <c r="D9" s="68">
        <v>41744</v>
      </c>
      <c r="E9" s="101">
        <v>473000</v>
      </c>
      <c r="F9" s="102" t="s">
        <v>930</v>
      </c>
      <c r="G9" s="67" t="s">
        <v>932</v>
      </c>
      <c r="H9" s="67" t="s">
        <v>933</v>
      </c>
    </row>
  </sheetData>
  <mergeCells count="2">
    <mergeCell ref="A1:D1"/>
    <mergeCell ref="A3:B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6.5"/>
  <cols>
    <col min="1" max="1" width="11.75" customWidth="1"/>
    <col min="2" max="2" width="16.75" customWidth="1"/>
    <col min="5" max="5" width="12.25" customWidth="1"/>
  </cols>
  <sheetData>
    <row r="1" spans="1:5" ht="20.25">
      <c r="A1" s="375" t="s">
        <v>55</v>
      </c>
      <c r="B1" s="375"/>
      <c r="C1" s="375"/>
      <c r="D1" s="375"/>
      <c r="E1" s="375"/>
    </row>
    <row r="3" spans="1:5">
      <c r="A3" s="85" t="s">
        <v>50</v>
      </c>
      <c r="B3" s="85" t="s">
        <v>56</v>
      </c>
      <c r="C3" s="85" t="s">
        <v>57</v>
      </c>
      <c r="D3" s="85" t="s">
        <v>58</v>
      </c>
      <c r="E3" s="85" t="s">
        <v>59</v>
      </c>
    </row>
    <row r="4" spans="1:5">
      <c r="A4" s="67">
        <v>4</v>
      </c>
      <c r="B4" s="67" t="s">
        <v>89</v>
      </c>
      <c r="C4" s="67">
        <v>4</v>
      </c>
      <c r="D4" s="67">
        <v>15</v>
      </c>
      <c r="E4" s="67">
        <v>10</v>
      </c>
    </row>
    <row r="5" spans="1:5">
      <c r="A5" s="67">
        <v>4</v>
      </c>
      <c r="B5" s="67" t="s">
        <v>66</v>
      </c>
      <c r="C5" s="67">
        <v>4</v>
      </c>
      <c r="D5" s="67">
        <v>15</v>
      </c>
      <c r="E5" s="67">
        <v>5</v>
      </c>
    </row>
    <row r="6" spans="1:5">
      <c r="A6" s="67">
        <v>4</v>
      </c>
      <c r="B6" s="67" t="s">
        <v>89</v>
      </c>
      <c r="C6" s="67">
        <v>4</v>
      </c>
      <c r="D6" s="67">
        <v>15</v>
      </c>
      <c r="E6" s="67">
        <v>2</v>
      </c>
    </row>
    <row r="7" spans="1:5">
      <c r="A7" s="67">
        <v>4</v>
      </c>
      <c r="B7" s="67" t="s">
        <v>196</v>
      </c>
      <c r="C7" s="67">
        <v>4</v>
      </c>
      <c r="D7" s="67">
        <v>16</v>
      </c>
      <c r="E7" s="67">
        <v>2</v>
      </c>
    </row>
    <row r="8" spans="1:5">
      <c r="A8" s="67">
        <v>4</v>
      </c>
      <c r="B8" s="67" t="s">
        <v>61</v>
      </c>
      <c r="C8" s="67">
        <v>4</v>
      </c>
      <c r="D8" s="67">
        <v>16</v>
      </c>
      <c r="E8" s="67">
        <v>1</v>
      </c>
    </row>
    <row r="9" spans="1:5">
      <c r="A9" s="67">
        <v>4</v>
      </c>
      <c r="B9" s="67" t="s">
        <v>302</v>
      </c>
      <c r="C9" s="67">
        <v>4</v>
      </c>
      <c r="D9" s="67">
        <v>16</v>
      </c>
      <c r="E9" s="67">
        <v>1</v>
      </c>
    </row>
    <row r="10" spans="1:5">
      <c r="A10" s="67">
        <v>3</v>
      </c>
      <c r="B10" s="67" t="s">
        <v>99</v>
      </c>
      <c r="C10" s="67">
        <v>3</v>
      </c>
      <c r="D10" s="67">
        <v>3</v>
      </c>
      <c r="E10" s="67">
        <v>5</v>
      </c>
    </row>
    <row r="11" spans="1:5">
      <c r="A11" s="67">
        <v>3</v>
      </c>
      <c r="B11" s="67" t="s">
        <v>230</v>
      </c>
      <c r="C11" s="67">
        <v>3</v>
      </c>
      <c r="D11" s="67">
        <v>3</v>
      </c>
      <c r="E11" s="67">
        <v>5</v>
      </c>
    </row>
    <row r="12" spans="1:5">
      <c r="A12" s="67">
        <v>3</v>
      </c>
      <c r="B12" s="67" t="s">
        <v>285</v>
      </c>
      <c r="C12" s="67">
        <v>3</v>
      </c>
      <c r="D12" s="67">
        <v>3</v>
      </c>
      <c r="E12" s="67">
        <v>5</v>
      </c>
    </row>
    <row r="13" spans="1:5">
      <c r="A13" s="67">
        <v>2</v>
      </c>
      <c r="B13" s="67" t="s">
        <v>64</v>
      </c>
      <c r="C13" s="67">
        <v>2</v>
      </c>
      <c r="D13" s="67">
        <v>27</v>
      </c>
      <c r="E13" s="67">
        <v>10</v>
      </c>
    </row>
    <row r="14" spans="1:5">
      <c r="A14" s="67">
        <v>2</v>
      </c>
      <c r="B14" s="67" t="s">
        <v>85</v>
      </c>
      <c r="C14" s="67">
        <v>2</v>
      </c>
      <c r="D14" s="67">
        <v>27</v>
      </c>
      <c r="E14" s="67">
        <v>2</v>
      </c>
    </row>
    <row r="15" spans="1:5">
      <c r="A15" s="67">
        <v>2</v>
      </c>
      <c r="B15" s="67" t="s">
        <v>66</v>
      </c>
      <c r="C15" s="67">
        <v>2</v>
      </c>
      <c r="D15" s="67">
        <v>27</v>
      </c>
      <c r="E15" s="67">
        <v>4</v>
      </c>
    </row>
    <row r="16" spans="1:5">
      <c r="A16" s="67">
        <v>2</v>
      </c>
      <c r="B16" s="67" t="s">
        <v>66</v>
      </c>
      <c r="C16" s="67">
        <v>2</v>
      </c>
      <c r="D16" s="67">
        <v>27</v>
      </c>
      <c r="E16" s="67">
        <v>6</v>
      </c>
    </row>
    <row r="17" spans="1:5">
      <c r="A17" s="67">
        <v>2</v>
      </c>
      <c r="B17" s="67" t="s">
        <v>85</v>
      </c>
      <c r="C17" s="67">
        <v>2</v>
      </c>
      <c r="D17" s="67">
        <v>28</v>
      </c>
      <c r="E17" s="67">
        <v>7</v>
      </c>
    </row>
    <row r="18" spans="1:5">
      <c r="A18" s="67">
        <v>1</v>
      </c>
      <c r="B18" s="67" t="s">
        <v>60</v>
      </c>
      <c r="C18" s="67">
        <v>5</v>
      </c>
      <c r="D18" s="67">
        <v>15</v>
      </c>
      <c r="E18" s="67">
        <v>10</v>
      </c>
    </row>
    <row r="19" spans="1:5">
      <c r="A19" s="67">
        <v>1</v>
      </c>
      <c r="B19" s="67" t="s">
        <v>61</v>
      </c>
      <c r="C19" s="67">
        <v>5</v>
      </c>
      <c r="D19" s="67">
        <v>16</v>
      </c>
      <c r="E19" s="67">
        <v>20</v>
      </c>
    </row>
    <row r="20" spans="1:5">
      <c r="A20" s="67">
        <v>1</v>
      </c>
      <c r="B20" s="67" t="s">
        <v>62</v>
      </c>
      <c r="C20" s="67">
        <v>5</v>
      </c>
      <c r="D20" s="67">
        <v>17</v>
      </c>
      <c r="E20" s="67">
        <v>15</v>
      </c>
    </row>
  </sheetData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"/>
  <sheetViews>
    <sheetView showGridLines="0" workbookViewId="0">
      <pane ySplit="3" topLeftCell="A4" activePane="bottomLeft" state="frozen"/>
      <selection pane="bottomLeft" activeCell="A4" sqref="A4"/>
    </sheetView>
  </sheetViews>
  <sheetFormatPr defaultColWidth="67.625" defaultRowHeight="13.5"/>
  <cols>
    <col min="1" max="1" width="9.25" style="46" customWidth="1"/>
    <col min="2" max="2" width="21.75" style="46" bestFit="1" customWidth="1"/>
    <col min="3" max="3" width="12.75" style="46" bestFit="1" customWidth="1"/>
    <col min="4" max="4" width="9.875" style="46" customWidth="1"/>
    <col min="5" max="5" width="18.125" style="46" bestFit="1" customWidth="1"/>
    <col min="6" max="6" width="8.375" style="46" bestFit="1" customWidth="1"/>
    <col min="7" max="16384" width="67.625" style="46"/>
  </cols>
  <sheetData>
    <row r="1" spans="1:6" ht="26.25">
      <c r="A1" s="377" t="s">
        <v>67</v>
      </c>
      <c r="B1" s="377"/>
      <c r="C1" s="377"/>
      <c r="D1" s="377"/>
      <c r="E1" s="377"/>
      <c r="F1" s="377"/>
    </row>
    <row r="2" spans="1:6" ht="6.75" customHeight="1"/>
    <row r="3" spans="1:6" ht="15.75" customHeight="1">
      <c r="A3" s="72" t="s">
        <v>56</v>
      </c>
      <c r="B3" s="72" t="s">
        <v>68</v>
      </c>
      <c r="C3" s="72" t="s">
        <v>69</v>
      </c>
      <c r="D3" s="72" t="s">
        <v>70</v>
      </c>
      <c r="E3" s="72" t="s">
        <v>71</v>
      </c>
      <c r="F3" s="72" t="s">
        <v>72</v>
      </c>
    </row>
    <row r="4" spans="1:6">
      <c r="A4" s="47" t="s">
        <v>64</v>
      </c>
      <c r="B4" s="48" t="s">
        <v>73</v>
      </c>
      <c r="C4" s="48" t="s">
        <v>74</v>
      </c>
      <c r="D4" s="48" t="s">
        <v>75</v>
      </c>
      <c r="E4" s="48" t="s">
        <v>76</v>
      </c>
      <c r="F4" s="49">
        <v>80000</v>
      </c>
    </row>
    <row r="5" spans="1:6">
      <c r="A5" s="47" t="s">
        <v>77</v>
      </c>
      <c r="B5" s="48" t="s">
        <v>78</v>
      </c>
      <c r="C5" s="48" t="s">
        <v>79</v>
      </c>
      <c r="D5" s="48" t="s">
        <v>80</v>
      </c>
      <c r="E5" s="48" t="s">
        <v>81</v>
      </c>
      <c r="F5" s="49">
        <v>19000</v>
      </c>
    </row>
    <row r="6" spans="1:6">
      <c r="A6" s="47" t="s">
        <v>65</v>
      </c>
      <c r="B6" s="48" t="s">
        <v>82</v>
      </c>
      <c r="C6" s="48" t="s">
        <v>79</v>
      </c>
      <c r="D6" s="48" t="s">
        <v>83</v>
      </c>
      <c r="E6" s="48" t="s">
        <v>84</v>
      </c>
      <c r="F6" s="49">
        <v>10000</v>
      </c>
    </row>
    <row r="7" spans="1:6">
      <c r="A7" s="47" t="s">
        <v>85</v>
      </c>
      <c r="B7" s="48" t="s">
        <v>86</v>
      </c>
      <c r="C7" s="48" t="s">
        <v>87</v>
      </c>
      <c r="D7" s="48" t="s">
        <v>83</v>
      </c>
      <c r="E7" s="48" t="s">
        <v>88</v>
      </c>
      <c r="F7" s="49">
        <v>22000</v>
      </c>
    </row>
    <row r="8" spans="1:6">
      <c r="A8" s="47" t="s">
        <v>89</v>
      </c>
      <c r="B8" s="48" t="s">
        <v>90</v>
      </c>
      <c r="C8" s="48" t="s">
        <v>87</v>
      </c>
      <c r="D8" s="48" t="s">
        <v>83</v>
      </c>
      <c r="E8" s="48" t="s">
        <v>91</v>
      </c>
      <c r="F8" s="49">
        <v>21000</v>
      </c>
    </row>
    <row r="9" spans="1:6">
      <c r="A9" s="47" t="s">
        <v>66</v>
      </c>
      <c r="B9" s="48" t="s">
        <v>92</v>
      </c>
      <c r="C9" s="48" t="s">
        <v>93</v>
      </c>
      <c r="D9" s="48" t="s">
        <v>83</v>
      </c>
      <c r="E9" s="48" t="s">
        <v>94</v>
      </c>
      <c r="F9" s="49">
        <v>25000</v>
      </c>
    </row>
    <row r="10" spans="1:6">
      <c r="A10" s="47" t="s">
        <v>95</v>
      </c>
      <c r="B10" s="48" t="s">
        <v>96</v>
      </c>
      <c r="C10" s="48" t="s">
        <v>93</v>
      </c>
      <c r="D10" s="48" t="s">
        <v>97</v>
      </c>
      <c r="E10" s="48" t="s">
        <v>98</v>
      </c>
      <c r="F10" s="49">
        <v>30000</v>
      </c>
    </row>
    <row r="11" spans="1:6">
      <c r="A11" s="47" t="s">
        <v>99</v>
      </c>
      <c r="B11" s="48" t="s">
        <v>100</v>
      </c>
      <c r="C11" s="48" t="s">
        <v>93</v>
      </c>
      <c r="D11" s="48" t="s">
        <v>83</v>
      </c>
      <c r="E11" s="48" t="s">
        <v>101</v>
      </c>
      <c r="F11" s="49">
        <v>40000</v>
      </c>
    </row>
    <row r="12" spans="1:6">
      <c r="A12" s="47" t="s">
        <v>102</v>
      </c>
      <c r="B12" s="48" t="s">
        <v>103</v>
      </c>
      <c r="C12" s="48" t="s">
        <v>74</v>
      </c>
      <c r="D12" s="48" t="s">
        <v>104</v>
      </c>
      <c r="E12" s="48" t="s">
        <v>105</v>
      </c>
      <c r="F12" s="49">
        <v>97000</v>
      </c>
    </row>
    <row r="13" spans="1:6">
      <c r="A13" s="47" t="s">
        <v>62</v>
      </c>
      <c r="B13" s="48" t="s">
        <v>106</v>
      </c>
      <c r="C13" s="48" t="s">
        <v>74</v>
      </c>
      <c r="D13" s="48" t="s">
        <v>107</v>
      </c>
      <c r="E13" s="48" t="s">
        <v>108</v>
      </c>
      <c r="F13" s="49">
        <v>31000</v>
      </c>
    </row>
    <row r="14" spans="1:6">
      <c r="A14" s="47" t="s">
        <v>109</v>
      </c>
      <c r="B14" s="48" t="s">
        <v>110</v>
      </c>
      <c r="C14" s="48" t="s">
        <v>111</v>
      </c>
      <c r="D14" s="48" t="s">
        <v>75</v>
      </c>
      <c r="E14" s="48" t="s">
        <v>112</v>
      </c>
      <c r="F14" s="49">
        <v>21000</v>
      </c>
    </row>
    <row r="15" spans="1:6">
      <c r="A15" s="47" t="s">
        <v>113</v>
      </c>
      <c r="B15" s="48" t="s">
        <v>114</v>
      </c>
      <c r="C15" s="48" t="s">
        <v>111</v>
      </c>
      <c r="D15" s="48" t="s">
        <v>75</v>
      </c>
      <c r="E15" s="48" t="s">
        <v>115</v>
      </c>
      <c r="F15" s="49">
        <v>13800</v>
      </c>
    </row>
    <row r="16" spans="1:6">
      <c r="A16" s="47" t="s">
        <v>116</v>
      </c>
      <c r="B16" s="48" t="s">
        <v>117</v>
      </c>
      <c r="C16" s="48" t="s">
        <v>118</v>
      </c>
      <c r="D16" s="48" t="s">
        <v>107</v>
      </c>
      <c r="E16" s="48" t="s">
        <v>119</v>
      </c>
      <c r="F16" s="49">
        <v>16000</v>
      </c>
    </row>
    <row r="17" spans="1:6">
      <c r="A17" s="47" t="s">
        <v>120</v>
      </c>
      <c r="B17" s="48" t="s">
        <v>121</v>
      </c>
      <c r="C17" s="48" t="s">
        <v>118</v>
      </c>
      <c r="D17" s="48" t="s">
        <v>97</v>
      </c>
      <c r="E17" s="48" t="s">
        <v>122</v>
      </c>
      <c r="F17" s="49">
        <v>23000</v>
      </c>
    </row>
    <row r="18" spans="1:6">
      <c r="A18" s="47" t="s">
        <v>123</v>
      </c>
      <c r="B18" s="48" t="s">
        <v>124</v>
      </c>
      <c r="C18" s="48" t="s">
        <v>118</v>
      </c>
      <c r="D18" s="48" t="s">
        <v>83</v>
      </c>
      <c r="E18" s="48" t="s">
        <v>125</v>
      </c>
      <c r="F18" s="49">
        <v>15000</v>
      </c>
    </row>
    <row r="19" spans="1:6">
      <c r="A19" s="47" t="s">
        <v>126</v>
      </c>
      <c r="B19" s="48" t="s">
        <v>127</v>
      </c>
      <c r="C19" s="48" t="s">
        <v>128</v>
      </c>
      <c r="D19" s="48" t="s">
        <v>129</v>
      </c>
      <c r="E19" s="48" t="s">
        <v>130</v>
      </c>
      <c r="F19" s="49">
        <v>17000</v>
      </c>
    </row>
    <row r="20" spans="1:6">
      <c r="A20" s="47" t="s">
        <v>131</v>
      </c>
      <c r="B20" s="48" t="s">
        <v>132</v>
      </c>
      <c r="C20" s="48" t="s">
        <v>128</v>
      </c>
      <c r="D20" s="48" t="s">
        <v>104</v>
      </c>
      <c r="E20" s="48" t="s">
        <v>133</v>
      </c>
      <c r="F20" s="49">
        <v>39000</v>
      </c>
    </row>
    <row r="21" spans="1:6">
      <c r="A21" s="47" t="s">
        <v>134</v>
      </c>
      <c r="B21" s="48" t="s">
        <v>135</v>
      </c>
      <c r="C21" s="48" t="s">
        <v>128</v>
      </c>
      <c r="D21" s="48" t="s">
        <v>107</v>
      </c>
      <c r="E21" s="48" t="s">
        <v>136</v>
      </c>
      <c r="F21" s="49">
        <v>62000</v>
      </c>
    </row>
    <row r="22" spans="1:6">
      <c r="A22" s="47" t="s">
        <v>137</v>
      </c>
      <c r="B22" s="48" t="s">
        <v>138</v>
      </c>
      <c r="C22" s="48" t="s">
        <v>139</v>
      </c>
      <c r="D22" s="48" t="s">
        <v>129</v>
      </c>
      <c r="E22" s="48" t="s">
        <v>140</v>
      </c>
      <c r="F22" s="49">
        <v>19000</v>
      </c>
    </row>
    <row r="23" spans="1:6">
      <c r="A23" s="47" t="s">
        <v>141</v>
      </c>
      <c r="B23" s="48" t="s">
        <v>142</v>
      </c>
      <c r="C23" s="48" t="s">
        <v>139</v>
      </c>
      <c r="D23" s="48" t="s">
        <v>129</v>
      </c>
      <c r="E23" s="48" t="s">
        <v>143</v>
      </c>
      <c r="F23" s="49">
        <v>81000</v>
      </c>
    </row>
    <row r="24" spans="1:6">
      <c r="A24" s="47" t="s">
        <v>144</v>
      </c>
      <c r="B24" s="48" t="s">
        <v>145</v>
      </c>
      <c r="C24" s="48" t="s">
        <v>139</v>
      </c>
      <c r="D24" s="48" t="s">
        <v>129</v>
      </c>
      <c r="E24" s="48" t="s">
        <v>146</v>
      </c>
      <c r="F24" s="49">
        <v>10000</v>
      </c>
    </row>
    <row r="25" spans="1:6">
      <c r="A25" s="47" t="s">
        <v>147</v>
      </c>
      <c r="B25" s="48" t="s">
        <v>148</v>
      </c>
      <c r="C25" s="48" t="s">
        <v>149</v>
      </c>
      <c r="D25" s="48" t="s">
        <v>150</v>
      </c>
      <c r="E25" s="48" t="s">
        <v>151</v>
      </c>
      <c r="F25" s="49">
        <v>21000</v>
      </c>
    </row>
    <row r="26" spans="1:6">
      <c r="A26" s="47" t="s">
        <v>152</v>
      </c>
      <c r="B26" s="48" t="s">
        <v>153</v>
      </c>
      <c r="C26" s="48" t="s">
        <v>149</v>
      </c>
      <c r="D26" s="48" t="s">
        <v>150</v>
      </c>
      <c r="E26" s="48" t="s">
        <v>154</v>
      </c>
      <c r="F26" s="49">
        <v>9000</v>
      </c>
    </row>
    <row r="27" spans="1:6">
      <c r="A27" s="47" t="s">
        <v>155</v>
      </c>
      <c r="B27" s="48" t="s">
        <v>156</v>
      </c>
      <c r="C27" s="48" t="s">
        <v>157</v>
      </c>
      <c r="D27" s="48" t="s">
        <v>80</v>
      </c>
      <c r="E27" s="48" t="s">
        <v>158</v>
      </c>
      <c r="F27" s="49">
        <v>6000</v>
      </c>
    </row>
    <row r="28" spans="1:6">
      <c r="A28" s="47" t="s">
        <v>159</v>
      </c>
      <c r="B28" s="48" t="s">
        <v>160</v>
      </c>
      <c r="C28" s="48" t="s">
        <v>161</v>
      </c>
      <c r="D28" s="48" t="s">
        <v>129</v>
      </c>
      <c r="E28" s="48" t="s">
        <v>162</v>
      </c>
      <c r="F28" s="49">
        <v>14000</v>
      </c>
    </row>
    <row r="29" spans="1:6">
      <c r="A29" s="47" t="s">
        <v>163</v>
      </c>
      <c r="B29" s="48" t="s">
        <v>164</v>
      </c>
      <c r="C29" s="48" t="s">
        <v>161</v>
      </c>
      <c r="D29" s="48" t="s">
        <v>129</v>
      </c>
      <c r="E29" s="48" t="s">
        <v>165</v>
      </c>
      <c r="F29" s="49">
        <v>31000</v>
      </c>
    </row>
    <row r="30" spans="1:6">
      <c r="A30" s="47" t="s">
        <v>166</v>
      </c>
      <c r="B30" s="48" t="s">
        <v>167</v>
      </c>
      <c r="C30" s="48" t="s">
        <v>161</v>
      </c>
      <c r="D30" s="48" t="s">
        <v>129</v>
      </c>
      <c r="E30" s="48" t="s">
        <v>168</v>
      </c>
      <c r="F30" s="49">
        <v>43000</v>
      </c>
    </row>
    <row r="31" spans="1:6">
      <c r="A31" s="47" t="s">
        <v>169</v>
      </c>
      <c r="B31" s="48" t="s">
        <v>170</v>
      </c>
      <c r="C31" s="48" t="s">
        <v>171</v>
      </c>
      <c r="D31" s="48" t="s">
        <v>97</v>
      </c>
      <c r="E31" s="48" t="s">
        <v>172</v>
      </c>
      <c r="F31" s="49">
        <v>15000</v>
      </c>
    </row>
    <row r="32" spans="1:6">
      <c r="A32" s="47" t="s">
        <v>173</v>
      </c>
      <c r="B32" s="48" t="s">
        <v>174</v>
      </c>
      <c r="C32" s="48" t="s">
        <v>171</v>
      </c>
      <c r="D32" s="48" t="s">
        <v>104</v>
      </c>
      <c r="E32" s="48" t="s">
        <v>175</v>
      </c>
      <c r="F32" s="49">
        <v>123000</v>
      </c>
    </row>
    <row r="33" spans="1:6">
      <c r="A33" s="47" t="s">
        <v>176</v>
      </c>
      <c r="B33" s="48" t="s">
        <v>177</v>
      </c>
      <c r="C33" s="48" t="s">
        <v>178</v>
      </c>
      <c r="D33" s="48" t="s">
        <v>107</v>
      </c>
      <c r="E33" s="48" t="s">
        <v>179</v>
      </c>
      <c r="F33" s="49">
        <v>25000</v>
      </c>
    </row>
    <row r="34" spans="1:6">
      <c r="A34" s="47" t="s">
        <v>180</v>
      </c>
      <c r="B34" s="48" t="s">
        <v>181</v>
      </c>
      <c r="C34" s="48" t="s">
        <v>182</v>
      </c>
      <c r="D34" s="48" t="s">
        <v>75</v>
      </c>
      <c r="E34" s="48" t="s">
        <v>183</v>
      </c>
      <c r="F34" s="49">
        <v>12000</v>
      </c>
    </row>
    <row r="35" spans="1:6">
      <c r="A35" s="47" t="s">
        <v>184</v>
      </c>
      <c r="B35" s="48" t="s">
        <v>185</v>
      </c>
      <c r="C35" s="48" t="s">
        <v>182</v>
      </c>
      <c r="D35" s="48" t="s">
        <v>75</v>
      </c>
      <c r="E35" s="48" t="s">
        <v>186</v>
      </c>
      <c r="F35" s="49">
        <v>32000</v>
      </c>
    </row>
    <row r="36" spans="1:6">
      <c r="A36" s="47" t="s">
        <v>187</v>
      </c>
      <c r="B36" s="48" t="s">
        <v>188</v>
      </c>
      <c r="C36" s="48" t="s">
        <v>189</v>
      </c>
      <c r="D36" s="48" t="s">
        <v>75</v>
      </c>
      <c r="E36" s="48" t="s">
        <v>190</v>
      </c>
      <c r="F36" s="49">
        <v>2000</v>
      </c>
    </row>
    <row r="37" spans="1:6">
      <c r="A37" s="47" t="s">
        <v>191</v>
      </c>
      <c r="B37" s="48" t="s">
        <v>192</v>
      </c>
      <c r="C37" s="48" t="s">
        <v>193</v>
      </c>
      <c r="D37" s="48" t="s">
        <v>80</v>
      </c>
      <c r="E37" s="48" t="s">
        <v>81</v>
      </c>
      <c r="F37" s="49">
        <v>34000</v>
      </c>
    </row>
    <row r="38" spans="1:6">
      <c r="A38" s="47" t="s">
        <v>194</v>
      </c>
      <c r="B38" s="48" t="s">
        <v>195</v>
      </c>
      <c r="C38" s="48" t="s">
        <v>193</v>
      </c>
      <c r="D38" s="48" t="s">
        <v>80</v>
      </c>
      <c r="E38" s="48" t="s">
        <v>81</v>
      </c>
      <c r="F38" s="49">
        <v>38000</v>
      </c>
    </row>
    <row r="39" spans="1:6">
      <c r="A39" s="47" t="s">
        <v>196</v>
      </c>
      <c r="B39" s="48" t="s">
        <v>197</v>
      </c>
      <c r="C39" s="48" t="s">
        <v>198</v>
      </c>
      <c r="D39" s="48" t="s">
        <v>107</v>
      </c>
      <c r="E39" s="48" t="s">
        <v>199</v>
      </c>
      <c r="F39" s="49">
        <v>19000</v>
      </c>
    </row>
    <row r="40" spans="1:6">
      <c r="A40" s="47" t="s">
        <v>200</v>
      </c>
      <c r="B40" s="48" t="s">
        <v>201</v>
      </c>
      <c r="C40" s="48" t="s">
        <v>198</v>
      </c>
      <c r="D40" s="48" t="s">
        <v>107</v>
      </c>
      <c r="E40" s="48" t="s">
        <v>202</v>
      </c>
      <c r="F40" s="49">
        <v>26000</v>
      </c>
    </row>
    <row r="41" spans="1:6">
      <c r="A41" s="47" t="s">
        <v>203</v>
      </c>
      <c r="B41" s="48" t="s">
        <v>204</v>
      </c>
      <c r="C41" s="48" t="s">
        <v>205</v>
      </c>
      <c r="D41" s="48" t="s">
        <v>80</v>
      </c>
      <c r="E41" s="48" t="s">
        <v>206</v>
      </c>
      <c r="F41" s="49">
        <v>26000</v>
      </c>
    </row>
    <row r="42" spans="1:6">
      <c r="A42" s="47" t="s">
        <v>207</v>
      </c>
      <c r="B42" s="48" t="s">
        <v>208</v>
      </c>
      <c r="C42" s="48" t="s">
        <v>205</v>
      </c>
      <c r="D42" s="48" t="s">
        <v>80</v>
      </c>
      <c r="E42" s="48" t="s">
        <v>209</v>
      </c>
      <c r="F42" s="49">
        <v>28000</v>
      </c>
    </row>
    <row r="43" spans="1:6">
      <c r="A43" s="47" t="s">
        <v>63</v>
      </c>
      <c r="B43" s="48" t="s">
        <v>210</v>
      </c>
      <c r="C43" s="48" t="s">
        <v>211</v>
      </c>
      <c r="D43" s="48" t="s">
        <v>107</v>
      </c>
      <c r="E43" s="48" t="s">
        <v>212</v>
      </c>
      <c r="F43" s="49">
        <v>18000</v>
      </c>
    </row>
    <row r="44" spans="1:6">
      <c r="A44" s="47" t="s">
        <v>213</v>
      </c>
      <c r="B44" s="48" t="s">
        <v>214</v>
      </c>
      <c r="C44" s="48" t="s">
        <v>211</v>
      </c>
      <c r="D44" s="48" t="s">
        <v>107</v>
      </c>
      <c r="E44" s="48" t="s">
        <v>215</v>
      </c>
      <c r="F44" s="49">
        <v>9000</v>
      </c>
    </row>
    <row r="45" spans="1:6">
      <c r="A45" s="47" t="s">
        <v>216</v>
      </c>
      <c r="B45" s="48" t="s">
        <v>217</v>
      </c>
      <c r="C45" s="48" t="s">
        <v>218</v>
      </c>
      <c r="D45" s="48" t="s">
        <v>150</v>
      </c>
      <c r="E45" s="48" t="s">
        <v>219</v>
      </c>
      <c r="F45" s="49">
        <v>14000</v>
      </c>
    </row>
    <row r="46" spans="1:6">
      <c r="A46" s="47" t="s">
        <v>220</v>
      </c>
      <c r="B46" s="48" t="s">
        <v>221</v>
      </c>
      <c r="C46" s="48" t="s">
        <v>218</v>
      </c>
      <c r="D46" s="48" t="s">
        <v>80</v>
      </c>
      <c r="E46" s="48" t="s">
        <v>222</v>
      </c>
      <c r="F46" s="49">
        <v>46000</v>
      </c>
    </row>
    <row r="47" spans="1:6">
      <c r="A47" s="47" t="s">
        <v>223</v>
      </c>
      <c r="B47" s="48" t="s">
        <v>224</v>
      </c>
      <c r="C47" s="48" t="s">
        <v>218</v>
      </c>
      <c r="D47" s="48" t="s">
        <v>83</v>
      </c>
      <c r="E47" s="48" t="s">
        <v>225</v>
      </c>
      <c r="F47" s="49">
        <v>19000</v>
      </c>
    </row>
    <row r="48" spans="1:6">
      <c r="A48" s="47" t="s">
        <v>226</v>
      </c>
      <c r="B48" s="48" t="s">
        <v>227</v>
      </c>
      <c r="C48" s="48" t="s">
        <v>228</v>
      </c>
      <c r="D48" s="48" t="s">
        <v>107</v>
      </c>
      <c r="E48" s="48" t="s">
        <v>229</v>
      </c>
      <c r="F48" s="49">
        <v>9000</v>
      </c>
    </row>
    <row r="49" spans="1:6">
      <c r="A49" s="47" t="s">
        <v>230</v>
      </c>
      <c r="B49" s="48" t="s">
        <v>231</v>
      </c>
      <c r="C49" s="48" t="s">
        <v>228</v>
      </c>
      <c r="D49" s="48" t="s">
        <v>107</v>
      </c>
      <c r="E49" s="48" t="s">
        <v>232</v>
      </c>
      <c r="F49" s="49">
        <v>12000</v>
      </c>
    </row>
    <row r="50" spans="1:6">
      <c r="A50" s="47" t="s">
        <v>233</v>
      </c>
      <c r="B50" s="48" t="s">
        <v>234</v>
      </c>
      <c r="C50" s="48" t="s">
        <v>235</v>
      </c>
      <c r="D50" s="48" t="s">
        <v>129</v>
      </c>
      <c r="E50" s="48" t="s">
        <v>236</v>
      </c>
      <c r="F50" s="49">
        <v>9000</v>
      </c>
    </row>
    <row r="51" spans="1:6">
      <c r="A51" s="47" t="s">
        <v>237</v>
      </c>
      <c r="B51" s="48" t="s">
        <v>238</v>
      </c>
      <c r="C51" s="48" t="s">
        <v>235</v>
      </c>
      <c r="D51" s="48" t="s">
        <v>129</v>
      </c>
      <c r="E51" s="48" t="s">
        <v>239</v>
      </c>
      <c r="F51" s="49">
        <v>12000</v>
      </c>
    </row>
    <row r="52" spans="1:6">
      <c r="A52" s="47" t="s">
        <v>240</v>
      </c>
      <c r="B52" s="48" t="s">
        <v>241</v>
      </c>
      <c r="C52" s="48" t="s">
        <v>242</v>
      </c>
      <c r="D52" s="48" t="s">
        <v>129</v>
      </c>
      <c r="E52" s="48" t="s">
        <v>243</v>
      </c>
      <c r="F52" s="49">
        <v>20000</v>
      </c>
    </row>
    <row r="53" spans="1:6">
      <c r="A53" s="47" t="s">
        <v>244</v>
      </c>
      <c r="B53" s="48" t="s">
        <v>245</v>
      </c>
      <c r="C53" s="48" t="s">
        <v>242</v>
      </c>
      <c r="D53" s="48" t="s">
        <v>129</v>
      </c>
      <c r="E53" s="48" t="s">
        <v>246</v>
      </c>
      <c r="F53" s="49">
        <v>16000</v>
      </c>
    </row>
    <row r="54" spans="1:6">
      <c r="A54" s="47" t="s">
        <v>247</v>
      </c>
      <c r="B54" s="48" t="s">
        <v>248</v>
      </c>
      <c r="C54" s="48" t="s">
        <v>249</v>
      </c>
      <c r="D54" s="48" t="s">
        <v>97</v>
      </c>
      <c r="E54" s="48" t="s">
        <v>250</v>
      </c>
      <c r="F54" s="49">
        <v>53000</v>
      </c>
    </row>
    <row r="55" spans="1:6">
      <c r="A55" s="47" t="s">
        <v>251</v>
      </c>
      <c r="B55" s="48" t="s">
        <v>252</v>
      </c>
      <c r="C55" s="48" t="s">
        <v>249</v>
      </c>
      <c r="D55" s="48" t="s">
        <v>150</v>
      </c>
      <c r="E55" s="48" t="s">
        <v>253</v>
      </c>
      <c r="F55" s="49">
        <v>7000</v>
      </c>
    </row>
    <row r="56" spans="1:6">
      <c r="A56" s="47" t="s">
        <v>254</v>
      </c>
      <c r="B56" s="48" t="s">
        <v>255</v>
      </c>
      <c r="C56" s="48" t="s">
        <v>249</v>
      </c>
      <c r="D56" s="48" t="s">
        <v>104</v>
      </c>
      <c r="E56" s="48" t="s">
        <v>256</v>
      </c>
      <c r="F56" s="49">
        <v>32000</v>
      </c>
    </row>
    <row r="57" spans="1:6">
      <c r="A57" s="47" t="s">
        <v>257</v>
      </c>
      <c r="B57" s="48" t="s">
        <v>258</v>
      </c>
      <c r="C57" s="48" t="s">
        <v>259</v>
      </c>
      <c r="D57" s="48" t="s">
        <v>104</v>
      </c>
      <c r="E57" s="48" t="s">
        <v>260</v>
      </c>
      <c r="F57" s="49">
        <v>17000</v>
      </c>
    </row>
    <row r="58" spans="1:6">
      <c r="A58" s="47" t="s">
        <v>261</v>
      </c>
      <c r="B58" s="48" t="s">
        <v>262</v>
      </c>
      <c r="C58" s="48" t="s">
        <v>259</v>
      </c>
      <c r="D58" s="48" t="s">
        <v>104</v>
      </c>
      <c r="E58" s="48" t="s">
        <v>263</v>
      </c>
      <c r="F58" s="49">
        <v>24000</v>
      </c>
    </row>
    <row r="59" spans="1:6">
      <c r="A59" s="47" t="s">
        <v>264</v>
      </c>
      <c r="B59" s="48" t="s">
        <v>265</v>
      </c>
      <c r="C59" s="48" t="s">
        <v>266</v>
      </c>
      <c r="D59" s="48" t="s">
        <v>150</v>
      </c>
      <c r="E59" s="48" t="s">
        <v>267</v>
      </c>
      <c r="F59" s="49">
        <v>38000</v>
      </c>
    </row>
    <row r="60" spans="1:6">
      <c r="A60" s="47" t="s">
        <v>268</v>
      </c>
      <c r="B60" s="48" t="s">
        <v>269</v>
      </c>
      <c r="C60" s="48" t="s">
        <v>266</v>
      </c>
      <c r="D60" s="48" t="s">
        <v>150</v>
      </c>
      <c r="E60" s="48" t="s">
        <v>267</v>
      </c>
      <c r="F60" s="49">
        <v>19000</v>
      </c>
    </row>
    <row r="61" spans="1:6">
      <c r="A61" s="47" t="s">
        <v>270</v>
      </c>
      <c r="B61" s="48" t="s">
        <v>271</v>
      </c>
      <c r="C61" s="48" t="s">
        <v>272</v>
      </c>
      <c r="D61" s="48" t="s">
        <v>107</v>
      </c>
      <c r="E61" s="48" t="s">
        <v>273</v>
      </c>
      <c r="F61" s="49">
        <v>13000</v>
      </c>
    </row>
    <row r="62" spans="1:6">
      <c r="A62" s="47" t="s">
        <v>274</v>
      </c>
      <c r="B62" s="48" t="s">
        <v>275</v>
      </c>
      <c r="C62" s="48" t="s">
        <v>276</v>
      </c>
      <c r="D62" s="48" t="s">
        <v>75</v>
      </c>
      <c r="E62" s="48" t="s">
        <v>277</v>
      </c>
      <c r="F62" s="49">
        <v>55000</v>
      </c>
    </row>
    <row r="63" spans="1:6">
      <c r="A63" s="47" t="s">
        <v>278</v>
      </c>
      <c r="B63" s="48" t="s">
        <v>279</v>
      </c>
      <c r="C63" s="48" t="s">
        <v>276</v>
      </c>
      <c r="D63" s="48" t="s">
        <v>75</v>
      </c>
      <c r="E63" s="48" t="s">
        <v>280</v>
      </c>
      <c r="F63" s="49">
        <v>34000</v>
      </c>
    </row>
    <row r="64" spans="1:6">
      <c r="A64" s="47" t="s">
        <v>281</v>
      </c>
      <c r="B64" s="48" t="s">
        <v>282</v>
      </c>
      <c r="C64" s="48" t="s">
        <v>283</v>
      </c>
      <c r="D64" s="48" t="s">
        <v>83</v>
      </c>
      <c r="E64" s="48" t="s">
        <v>284</v>
      </c>
      <c r="F64" s="49">
        <v>28000</v>
      </c>
    </row>
    <row r="65" spans="1:6">
      <c r="A65" s="47" t="s">
        <v>285</v>
      </c>
      <c r="B65" s="48" t="s">
        <v>286</v>
      </c>
      <c r="C65" s="48" t="s">
        <v>283</v>
      </c>
      <c r="D65" s="48" t="s">
        <v>129</v>
      </c>
      <c r="E65" s="48" t="s">
        <v>287</v>
      </c>
      <c r="F65" s="49">
        <v>49000</v>
      </c>
    </row>
    <row r="66" spans="1:6">
      <c r="A66" s="47" t="s">
        <v>288</v>
      </c>
      <c r="B66" s="48" t="s">
        <v>289</v>
      </c>
      <c r="C66" s="48" t="s">
        <v>128</v>
      </c>
      <c r="D66" s="48" t="s">
        <v>83</v>
      </c>
      <c r="E66" s="48" t="s">
        <v>290</v>
      </c>
      <c r="F66" s="49">
        <v>43000</v>
      </c>
    </row>
    <row r="67" spans="1:6">
      <c r="A67" s="47" t="s">
        <v>291</v>
      </c>
      <c r="B67" s="48" t="s">
        <v>292</v>
      </c>
      <c r="C67" s="48" t="s">
        <v>171</v>
      </c>
      <c r="D67" s="48" t="s">
        <v>150</v>
      </c>
      <c r="E67" s="48" t="s">
        <v>293</v>
      </c>
      <c r="F67" s="49">
        <v>33000</v>
      </c>
    </row>
    <row r="68" spans="1:6">
      <c r="A68" s="47" t="s">
        <v>294</v>
      </c>
      <c r="B68" s="48" t="s">
        <v>295</v>
      </c>
      <c r="C68" s="48" t="s">
        <v>87</v>
      </c>
      <c r="D68" s="48" t="s">
        <v>83</v>
      </c>
      <c r="E68" s="48" t="s">
        <v>296</v>
      </c>
      <c r="F68" s="49">
        <v>21000</v>
      </c>
    </row>
    <row r="69" spans="1:6">
      <c r="A69" s="47" t="s">
        <v>297</v>
      </c>
      <c r="B69" s="48" t="s">
        <v>298</v>
      </c>
      <c r="C69" s="48" t="s">
        <v>87</v>
      </c>
      <c r="D69" s="48" t="s">
        <v>83</v>
      </c>
      <c r="E69" s="48" t="s">
        <v>299</v>
      </c>
      <c r="F69" s="49">
        <v>17000</v>
      </c>
    </row>
    <row r="70" spans="1:6">
      <c r="A70" s="47" t="s">
        <v>300</v>
      </c>
      <c r="B70" s="48" t="s">
        <v>301</v>
      </c>
      <c r="C70" s="48" t="s">
        <v>193</v>
      </c>
      <c r="D70" s="48" t="s">
        <v>80</v>
      </c>
      <c r="E70" s="48" t="s">
        <v>81</v>
      </c>
      <c r="F70" s="49">
        <v>45000</v>
      </c>
    </row>
    <row r="71" spans="1:6">
      <c r="A71" s="47" t="s">
        <v>302</v>
      </c>
      <c r="B71" s="48" t="s">
        <v>303</v>
      </c>
      <c r="C71" s="48" t="s">
        <v>139</v>
      </c>
      <c r="D71" s="48" t="s">
        <v>129</v>
      </c>
      <c r="E71" s="48" t="s">
        <v>304</v>
      </c>
      <c r="F71" s="49">
        <v>12000</v>
      </c>
    </row>
    <row r="72" spans="1:6">
      <c r="A72" s="47" t="s">
        <v>305</v>
      </c>
      <c r="B72" s="48" t="s">
        <v>306</v>
      </c>
      <c r="C72" s="48" t="s">
        <v>189</v>
      </c>
      <c r="D72" s="48" t="s">
        <v>75</v>
      </c>
      <c r="E72" s="48" t="s">
        <v>307</v>
      </c>
      <c r="F72" s="49">
        <v>36000</v>
      </c>
    </row>
    <row r="73" spans="1:6">
      <c r="A73" s="47" t="s">
        <v>308</v>
      </c>
      <c r="B73" s="48" t="s">
        <v>309</v>
      </c>
      <c r="C73" s="48" t="s">
        <v>128</v>
      </c>
      <c r="D73" s="48" t="s">
        <v>80</v>
      </c>
      <c r="E73" s="48" t="s">
        <v>310</v>
      </c>
      <c r="F73" s="49">
        <v>45000</v>
      </c>
    </row>
    <row r="74" spans="1:6">
      <c r="A74" s="47" t="s">
        <v>311</v>
      </c>
      <c r="B74" s="48" t="s">
        <v>312</v>
      </c>
      <c r="C74" s="48" t="s">
        <v>189</v>
      </c>
      <c r="D74" s="48" t="s">
        <v>75</v>
      </c>
      <c r="E74" s="48" t="s">
        <v>115</v>
      </c>
      <c r="F74" s="49">
        <v>21000</v>
      </c>
    </row>
    <row r="75" spans="1:6">
      <c r="A75" s="47" t="s">
        <v>313</v>
      </c>
      <c r="B75" s="48" t="s">
        <v>314</v>
      </c>
      <c r="C75" s="48" t="s">
        <v>182</v>
      </c>
      <c r="D75" s="48" t="s">
        <v>75</v>
      </c>
      <c r="E75" s="48" t="s">
        <v>186</v>
      </c>
      <c r="F75" s="49">
        <v>34000</v>
      </c>
    </row>
    <row r="76" spans="1:6">
      <c r="A76" s="47" t="s">
        <v>60</v>
      </c>
      <c r="B76" s="48" t="s">
        <v>315</v>
      </c>
      <c r="C76" s="48" t="s">
        <v>198</v>
      </c>
      <c r="D76" s="48" t="s">
        <v>107</v>
      </c>
      <c r="E76" s="48" t="s">
        <v>316</v>
      </c>
      <c r="F76" s="49">
        <v>35000</v>
      </c>
    </row>
    <row r="77" spans="1:6">
      <c r="A77" s="47" t="s">
        <v>317</v>
      </c>
      <c r="B77" s="48" t="s">
        <v>318</v>
      </c>
      <c r="C77" s="48" t="s">
        <v>74</v>
      </c>
      <c r="D77" s="48" t="s">
        <v>97</v>
      </c>
      <c r="E77" s="48" t="s">
        <v>277</v>
      </c>
      <c r="F77" s="49">
        <v>10000</v>
      </c>
    </row>
    <row r="78" spans="1:6">
      <c r="A78" s="47" t="s">
        <v>319</v>
      </c>
      <c r="B78" s="48" t="s">
        <v>320</v>
      </c>
      <c r="C78" s="48" t="s">
        <v>171</v>
      </c>
      <c r="D78" s="48" t="s">
        <v>80</v>
      </c>
      <c r="E78" s="48" t="s">
        <v>321</v>
      </c>
      <c r="F78" s="49">
        <v>24000</v>
      </c>
    </row>
    <row r="79" spans="1:6">
      <c r="A79" s="47" t="s">
        <v>61</v>
      </c>
      <c r="B79" s="48" t="s">
        <v>322</v>
      </c>
      <c r="C79" s="48" t="s">
        <v>242</v>
      </c>
      <c r="D79" s="48" t="s">
        <v>80</v>
      </c>
      <c r="E79" s="48" t="s">
        <v>323</v>
      </c>
      <c r="F79" s="49">
        <v>3000</v>
      </c>
    </row>
    <row r="80" spans="1:6">
      <c r="A80" s="73" t="s">
        <v>324</v>
      </c>
      <c r="B80" s="74" t="s">
        <v>325</v>
      </c>
      <c r="C80" s="74" t="s">
        <v>171</v>
      </c>
      <c r="D80" s="74" t="s">
        <v>83</v>
      </c>
      <c r="E80" s="74" t="s">
        <v>326</v>
      </c>
      <c r="F80" s="75">
        <v>13000</v>
      </c>
    </row>
    <row r="82" spans="1:6" ht="14.25" thickBot="1">
      <c r="A82" s="50"/>
      <c r="B82" s="50"/>
      <c r="C82" s="50"/>
      <c r="D82" s="50"/>
      <c r="E82" s="50"/>
      <c r="F82" s="50"/>
    </row>
    <row r="83" spans="1:6" ht="14.25" thickTop="1"/>
  </sheetData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6"/>
  <sheetViews>
    <sheetView showGridLines="0" workbookViewId="0">
      <selection activeCell="A4" sqref="A4"/>
    </sheetView>
  </sheetViews>
  <sheetFormatPr defaultRowHeight="13.5"/>
  <cols>
    <col min="1" max="1" width="9.25" style="51" customWidth="1"/>
    <col min="2" max="2" width="16.375" style="51" bestFit="1" customWidth="1"/>
    <col min="3" max="3" width="8" style="51" bestFit="1" customWidth="1"/>
    <col min="4" max="4" width="21.75" style="51" bestFit="1" customWidth="1"/>
    <col min="5" max="5" width="9.625" style="51" bestFit="1" customWidth="1"/>
    <col min="6" max="6" width="13.5" style="51" bestFit="1" customWidth="1"/>
    <col min="7" max="7" width="13" style="51" bestFit="1" customWidth="1"/>
    <col min="8" max="249" width="9" style="51"/>
    <col min="250" max="250" width="1.375" style="51" customWidth="1"/>
    <col min="251" max="251" width="10.75" style="51" customWidth="1"/>
    <col min="252" max="252" width="17.75" style="51" bestFit="1" customWidth="1"/>
    <col min="253" max="253" width="11.625" style="51" bestFit="1" customWidth="1"/>
    <col min="254" max="254" width="7.625" style="51" customWidth="1"/>
    <col min="255" max="255" width="8" style="51" bestFit="1" customWidth="1"/>
    <col min="256" max="256" width="28.375" style="51" customWidth="1"/>
    <col min="257" max="257" width="8" style="51" bestFit="1" customWidth="1"/>
    <col min="258" max="258" width="9.125" style="51" bestFit="1" customWidth="1"/>
    <col min="259" max="259" width="8.125" style="51" customWidth="1"/>
    <col min="260" max="260" width="7.875" style="51" bestFit="1" customWidth="1"/>
    <col min="261" max="261" width="8.25" style="51" customWidth="1"/>
    <col min="262" max="262" width="8" style="51" customWidth="1"/>
    <col min="263" max="263" width="18.625" style="51" customWidth="1"/>
    <col min="264" max="505" width="9" style="51"/>
    <col min="506" max="506" width="1.375" style="51" customWidth="1"/>
    <col min="507" max="507" width="10.75" style="51" customWidth="1"/>
    <col min="508" max="508" width="17.75" style="51" bestFit="1" customWidth="1"/>
    <col min="509" max="509" width="11.625" style="51" bestFit="1" customWidth="1"/>
    <col min="510" max="510" width="7.625" style="51" customWidth="1"/>
    <col min="511" max="511" width="8" style="51" bestFit="1" customWidth="1"/>
    <col min="512" max="512" width="28.375" style="51" customWidth="1"/>
    <col min="513" max="513" width="8" style="51" bestFit="1" customWidth="1"/>
    <col min="514" max="514" width="9.125" style="51" bestFit="1" customWidth="1"/>
    <col min="515" max="515" width="8.125" style="51" customWidth="1"/>
    <col min="516" max="516" width="7.875" style="51" bestFit="1" customWidth="1"/>
    <col min="517" max="517" width="8.25" style="51" customWidth="1"/>
    <col min="518" max="518" width="8" style="51" customWidth="1"/>
    <col min="519" max="519" width="18.625" style="51" customWidth="1"/>
    <col min="520" max="761" width="9" style="51"/>
    <col min="762" max="762" width="1.375" style="51" customWidth="1"/>
    <col min="763" max="763" width="10.75" style="51" customWidth="1"/>
    <col min="764" max="764" width="17.75" style="51" bestFit="1" customWidth="1"/>
    <col min="765" max="765" width="11.625" style="51" bestFit="1" customWidth="1"/>
    <col min="766" max="766" width="7.625" style="51" customWidth="1"/>
    <col min="767" max="767" width="8" style="51" bestFit="1" customWidth="1"/>
    <col min="768" max="768" width="28.375" style="51" customWidth="1"/>
    <col min="769" max="769" width="8" style="51" bestFit="1" customWidth="1"/>
    <col min="770" max="770" width="9.125" style="51" bestFit="1" customWidth="1"/>
    <col min="771" max="771" width="8.125" style="51" customWidth="1"/>
    <col min="772" max="772" width="7.875" style="51" bestFit="1" customWidth="1"/>
    <col min="773" max="773" width="8.25" style="51" customWidth="1"/>
    <col min="774" max="774" width="8" style="51" customWidth="1"/>
    <col min="775" max="775" width="18.625" style="51" customWidth="1"/>
    <col min="776" max="1017" width="9" style="51"/>
    <col min="1018" max="1018" width="1.375" style="51" customWidth="1"/>
    <col min="1019" max="1019" width="10.75" style="51" customWidth="1"/>
    <col min="1020" max="1020" width="17.75" style="51" bestFit="1" customWidth="1"/>
    <col min="1021" max="1021" width="11.625" style="51" bestFit="1" customWidth="1"/>
    <col min="1022" max="1022" width="7.625" style="51" customWidth="1"/>
    <col min="1023" max="1023" width="8" style="51" bestFit="1" customWidth="1"/>
    <col min="1024" max="1024" width="28.375" style="51" customWidth="1"/>
    <col min="1025" max="1025" width="8" style="51" bestFit="1" customWidth="1"/>
    <col min="1026" max="1026" width="9.125" style="51" bestFit="1" customWidth="1"/>
    <col min="1027" max="1027" width="8.125" style="51" customWidth="1"/>
    <col min="1028" max="1028" width="7.875" style="51" bestFit="1" customWidth="1"/>
    <col min="1029" max="1029" width="8.25" style="51" customWidth="1"/>
    <col min="1030" max="1030" width="8" style="51" customWidth="1"/>
    <col min="1031" max="1031" width="18.625" style="51" customWidth="1"/>
    <col min="1032" max="1273" width="9" style="51"/>
    <col min="1274" max="1274" width="1.375" style="51" customWidth="1"/>
    <col min="1275" max="1275" width="10.75" style="51" customWidth="1"/>
    <col min="1276" max="1276" width="17.75" style="51" bestFit="1" customWidth="1"/>
    <col min="1277" max="1277" width="11.625" style="51" bestFit="1" customWidth="1"/>
    <col min="1278" max="1278" width="7.625" style="51" customWidth="1"/>
    <col min="1279" max="1279" width="8" style="51" bestFit="1" customWidth="1"/>
    <col min="1280" max="1280" width="28.375" style="51" customWidth="1"/>
    <col min="1281" max="1281" width="8" style="51" bestFit="1" customWidth="1"/>
    <col min="1282" max="1282" width="9.125" style="51" bestFit="1" customWidth="1"/>
    <col min="1283" max="1283" width="8.125" style="51" customWidth="1"/>
    <col min="1284" max="1284" width="7.875" style="51" bestFit="1" customWidth="1"/>
    <col min="1285" max="1285" width="8.25" style="51" customWidth="1"/>
    <col min="1286" max="1286" width="8" style="51" customWidth="1"/>
    <col min="1287" max="1287" width="18.625" style="51" customWidth="1"/>
    <col min="1288" max="1529" width="9" style="51"/>
    <col min="1530" max="1530" width="1.375" style="51" customWidth="1"/>
    <col min="1531" max="1531" width="10.75" style="51" customWidth="1"/>
    <col min="1532" max="1532" width="17.75" style="51" bestFit="1" customWidth="1"/>
    <col min="1533" max="1533" width="11.625" style="51" bestFit="1" customWidth="1"/>
    <col min="1534" max="1534" width="7.625" style="51" customWidth="1"/>
    <col min="1535" max="1535" width="8" style="51" bestFit="1" customWidth="1"/>
    <col min="1536" max="1536" width="28.375" style="51" customWidth="1"/>
    <col min="1537" max="1537" width="8" style="51" bestFit="1" customWidth="1"/>
    <col min="1538" max="1538" width="9.125" style="51" bestFit="1" customWidth="1"/>
    <col min="1539" max="1539" width="8.125" style="51" customWidth="1"/>
    <col min="1540" max="1540" width="7.875" style="51" bestFit="1" customWidth="1"/>
    <col min="1541" max="1541" width="8.25" style="51" customWidth="1"/>
    <col min="1542" max="1542" width="8" style="51" customWidth="1"/>
    <col min="1543" max="1543" width="18.625" style="51" customWidth="1"/>
    <col min="1544" max="1785" width="9" style="51"/>
    <col min="1786" max="1786" width="1.375" style="51" customWidth="1"/>
    <col min="1787" max="1787" width="10.75" style="51" customWidth="1"/>
    <col min="1788" max="1788" width="17.75" style="51" bestFit="1" customWidth="1"/>
    <col min="1789" max="1789" width="11.625" style="51" bestFit="1" customWidth="1"/>
    <col min="1790" max="1790" width="7.625" style="51" customWidth="1"/>
    <col min="1791" max="1791" width="8" style="51" bestFit="1" customWidth="1"/>
    <col min="1792" max="1792" width="28.375" style="51" customWidth="1"/>
    <col min="1793" max="1793" width="8" style="51" bestFit="1" customWidth="1"/>
    <col min="1794" max="1794" width="9.125" style="51" bestFit="1" customWidth="1"/>
    <col min="1795" max="1795" width="8.125" style="51" customWidth="1"/>
    <col min="1796" max="1796" width="7.875" style="51" bestFit="1" customWidth="1"/>
    <col min="1797" max="1797" width="8.25" style="51" customWidth="1"/>
    <col min="1798" max="1798" width="8" style="51" customWidth="1"/>
    <col min="1799" max="1799" width="18.625" style="51" customWidth="1"/>
    <col min="1800" max="2041" width="9" style="51"/>
    <col min="2042" max="2042" width="1.375" style="51" customWidth="1"/>
    <col min="2043" max="2043" width="10.75" style="51" customWidth="1"/>
    <col min="2044" max="2044" width="17.75" style="51" bestFit="1" customWidth="1"/>
    <col min="2045" max="2045" width="11.625" style="51" bestFit="1" customWidth="1"/>
    <col min="2046" max="2046" width="7.625" style="51" customWidth="1"/>
    <col min="2047" max="2047" width="8" style="51" bestFit="1" customWidth="1"/>
    <col min="2048" max="2048" width="28.375" style="51" customWidth="1"/>
    <col min="2049" max="2049" width="8" style="51" bestFit="1" customWidth="1"/>
    <col min="2050" max="2050" width="9.125" style="51" bestFit="1" customWidth="1"/>
    <col min="2051" max="2051" width="8.125" style="51" customWidth="1"/>
    <col min="2052" max="2052" width="7.875" style="51" bestFit="1" customWidth="1"/>
    <col min="2053" max="2053" width="8.25" style="51" customWidth="1"/>
    <col min="2054" max="2054" width="8" style="51" customWidth="1"/>
    <col min="2055" max="2055" width="18.625" style="51" customWidth="1"/>
    <col min="2056" max="2297" width="9" style="51"/>
    <col min="2298" max="2298" width="1.375" style="51" customWidth="1"/>
    <col min="2299" max="2299" width="10.75" style="51" customWidth="1"/>
    <col min="2300" max="2300" width="17.75" style="51" bestFit="1" customWidth="1"/>
    <col min="2301" max="2301" width="11.625" style="51" bestFit="1" customWidth="1"/>
    <col min="2302" max="2302" width="7.625" style="51" customWidth="1"/>
    <col min="2303" max="2303" width="8" style="51" bestFit="1" customWidth="1"/>
    <col min="2304" max="2304" width="28.375" style="51" customWidth="1"/>
    <col min="2305" max="2305" width="8" style="51" bestFit="1" customWidth="1"/>
    <col min="2306" max="2306" width="9.125" style="51" bestFit="1" customWidth="1"/>
    <col min="2307" max="2307" width="8.125" style="51" customWidth="1"/>
    <col min="2308" max="2308" width="7.875" style="51" bestFit="1" customWidth="1"/>
    <col min="2309" max="2309" width="8.25" style="51" customWidth="1"/>
    <col min="2310" max="2310" width="8" style="51" customWidth="1"/>
    <col min="2311" max="2311" width="18.625" style="51" customWidth="1"/>
    <col min="2312" max="2553" width="9" style="51"/>
    <col min="2554" max="2554" width="1.375" style="51" customWidth="1"/>
    <col min="2555" max="2555" width="10.75" style="51" customWidth="1"/>
    <col min="2556" max="2556" width="17.75" style="51" bestFit="1" customWidth="1"/>
    <col min="2557" max="2557" width="11.625" style="51" bestFit="1" customWidth="1"/>
    <col min="2558" max="2558" width="7.625" style="51" customWidth="1"/>
    <col min="2559" max="2559" width="8" style="51" bestFit="1" customWidth="1"/>
    <col min="2560" max="2560" width="28.375" style="51" customWidth="1"/>
    <col min="2561" max="2561" width="8" style="51" bestFit="1" customWidth="1"/>
    <col min="2562" max="2562" width="9.125" style="51" bestFit="1" customWidth="1"/>
    <col min="2563" max="2563" width="8.125" style="51" customWidth="1"/>
    <col min="2564" max="2564" width="7.875" style="51" bestFit="1" customWidth="1"/>
    <col min="2565" max="2565" width="8.25" style="51" customWidth="1"/>
    <col min="2566" max="2566" width="8" style="51" customWidth="1"/>
    <col min="2567" max="2567" width="18.625" style="51" customWidth="1"/>
    <col min="2568" max="2809" width="9" style="51"/>
    <col min="2810" max="2810" width="1.375" style="51" customWidth="1"/>
    <col min="2811" max="2811" width="10.75" style="51" customWidth="1"/>
    <col min="2812" max="2812" width="17.75" style="51" bestFit="1" customWidth="1"/>
    <col min="2813" max="2813" width="11.625" style="51" bestFit="1" customWidth="1"/>
    <col min="2814" max="2814" width="7.625" style="51" customWidth="1"/>
    <col min="2815" max="2815" width="8" style="51" bestFit="1" customWidth="1"/>
    <col min="2816" max="2816" width="28.375" style="51" customWidth="1"/>
    <col min="2817" max="2817" width="8" style="51" bestFit="1" customWidth="1"/>
    <col min="2818" max="2818" width="9.125" style="51" bestFit="1" customWidth="1"/>
    <col min="2819" max="2819" width="8.125" style="51" customWidth="1"/>
    <col min="2820" max="2820" width="7.875" style="51" bestFit="1" customWidth="1"/>
    <col min="2821" max="2821" width="8.25" style="51" customWidth="1"/>
    <col min="2822" max="2822" width="8" style="51" customWidth="1"/>
    <col min="2823" max="2823" width="18.625" style="51" customWidth="1"/>
    <col min="2824" max="3065" width="9" style="51"/>
    <col min="3066" max="3066" width="1.375" style="51" customWidth="1"/>
    <col min="3067" max="3067" width="10.75" style="51" customWidth="1"/>
    <col min="3068" max="3068" width="17.75" style="51" bestFit="1" customWidth="1"/>
    <col min="3069" max="3069" width="11.625" style="51" bestFit="1" customWidth="1"/>
    <col min="3070" max="3070" width="7.625" style="51" customWidth="1"/>
    <col min="3071" max="3071" width="8" style="51" bestFit="1" customWidth="1"/>
    <col min="3072" max="3072" width="28.375" style="51" customWidth="1"/>
    <col min="3073" max="3073" width="8" style="51" bestFit="1" customWidth="1"/>
    <col min="3074" max="3074" width="9.125" style="51" bestFit="1" customWidth="1"/>
    <col min="3075" max="3075" width="8.125" style="51" customWidth="1"/>
    <col min="3076" max="3076" width="7.875" style="51" bestFit="1" customWidth="1"/>
    <col min="3077" max="3077" width="8.25" style="51" customWidth="1"/>
    <col min="3078" max="3078" width="8" style="51" customWidth="1"/>
    <col min="3079" max="3079" width="18.625" style="51" customWidth="1"/>
    <col min="3080" max="3321" width="9" style="51"/>
    <col min="3322" max="3322" width="1.375" style="51" customWidth="1"/>
    <col min="3323" max="3323" width="10.75" style="51" customWidth="1"/>
    <col min="3324" max="3324" width="17.75" style="51" bestFit="1" customWidth="1"/>
    <col min="3325" max="3325" width="11.625" style="51" bestFit="1" customWidth="1"/>
    <col min="3326" max="3326" width="7.625" style="51" customWidth="1"/>
    <col min="3327" max="3327" width="8" style="51" bestFit="1" customWidth="1"/>
    <col min="3328" max="3328" width="28.375" style="51" customWidth="1"/>
    <col min="3329" max="3329" width="8" style="51" bestFit="1" customWidth="1"/>
    <col min="3330" max="3330" width="9.125" style="51" bestFit="1" customWidth="1"/>
    <col min="3331" max="3331" width="8.125" style="51" customWidth="1"/>
    <col min="3332" max="3332" width="7.875" style="51" bestFit="1" customWidth="1"/>
    <col min="3333" max="3333" width="8.25" style="51" customWidth="1"/>
    <col min="3334" max="3334" width="8" style="51" customWidth="1"/>
    <col min="3335" max="3335" width="18.625" style="51" customWidth="1"/>
    <col min="3336" max="3577" width="9" style="51"/>
    <col min="3578" max="3578" width="1.375" style="51" customWidth="1"/>
    <col min="3579" max="3579" width="10.75" style="51" customWidth="1"/>
    <col min="3580" max="3580" width="17.75" style="51" bestFit="1" customWidth="1"/>
    <col min="3581" max="3581" width="11.625" style="51" bestFit="1" customWidth="1"/>
    <col min="3582" max="3582" width="7.625" style="51" customWidth="1"/>
    <col min="3583" max="3583" width="8" style="51" bestFit="1" customWidth="1"/>
    <col min="3584" max="3584" width="28.375" style="51" customWidth="1"/>
    <col min="3585" max="3585" width="8" style="51" bestFit="1" customWidth="1"/>
    <col min="3586" max="3586" width="9.125" style="51" bestFit="1" customWidth="1"/>
    <col min="3587" max="3587" width="8.125" style="51" customWidth="1"/>
    <col min="3588" max="3588" width="7.875" style="51" bestFit="1" customWidth="1"/>
    <col min="3589" max="3589" width="8.25" style="51" customWidth="1"/>
    <col min="3590" max="3590" width="8" style="51" customWidth="1"/>
    <col min="3591" max="3591" width="18.625" style="51" customWidth="1"/>
    <col min="3592" max="3833" width="9" style="51"/>
    <col min="3834" max="3834" width="1.375" style="51" customWidth="1"/>
    <col min="3835" max="3835" width="10.75" style="51" customWidth="1"/>
    <col min="3836" max="3836" width="17.75" style="51" bestFit="1" customWidth="1"/>
    <col min="3837" max="3837" width="11.625" style="51" bestFit="1" customWidth="1"/>
    <col min="3838" max="3838" width="7.625" style="51" customWidth="1"/>
    <col min="3839" max="3839" width="8" style="51" bestFit="1" customWidth="1"/>
    <col min="3840" max="3840" width="28.375" style="51" customWidth="1"/>
    <col min="3841" max="3841" width="8" style="51" bestFit="1" customWidth="1"/>
    <col min="3842" max="3842" width="9.125" style="51" bestFit="1" customWidth="1"/>
    <col min="3843" max="3843" width="8.125" style="51" customWidth="1"/>
    <col min="3844" max="3844" width="7.875" style="51" bestFit="1" customWidth="1"/>
    <col min="3845" max="3845" width="8.25" style="51" customWidth="1"/>
    <col min="3846" max="3846" width="8" style="51" customWidth="1"/>
    <col min="3847" max="3847" width="18.625" style="51" customWidth="1"/>
    <col min="3848" max="4089" width="9" style="51"/>
    <col min="4090" max="4090" width="1.375" style="51" customWidth="1"/>
    <col min="4091" max="4091" width="10.75" style="51" customWidth="1"/>
    <col min="4092" max="4092" width="17.75" style="51" bestFit="1" customWidth="1"/>
    <col min="4093" max="4093" width="11.625" style="51" bestFit="1" customWidth="1"/>
    <col min="4094" max="4094" width="7.625" style="51" customWidth="1"/>
    <col min="4095" max="4095" width="8" style="51" bestFit="1" customWidth="1"/>
    <col min="4096" max="4096" width="28.375" style="51" customWidth="1"/>
    <col min="4097" max="4097" width="8" style="51" bestFit="1" customWidth="1"/>
    <col min="4098" max="4098" width="9.125" style="51" bestFit="1" customWidth="1"/>
    <col min="4099" max="4099" width="8.125" style="51" customWidth="1"/>
    <col min="4100" max="4100" width="7.875" style="51" bestFit="1" customWidth="1"/>
    <col min="4101" max="4101" width="8.25" style="51" customWidth="1"/>
    <col min="4102" max="4102" width="8" style="51" customWidth="1"/>
    <col min="4103" max="4103" width="18.625" style="51" customWidth="1"/>
    <col min="4104" max="4345" width="9" style="51"/>
    <col min="4346" max="4346" width="1.375" style="51" customWidth="1"/>
    <col min="4347" max="4347" width="10.75" style="51" customWidth="1"/>
    <col min="4348" max="4348" width="17.75" style="51" bestFit="1" customWidth="1"/>
    <col min="4349" max="4349" width="11.625" style="51" bestFit="1" customWidth="1"/>
    <col min="4350" max="4350" width="7.625" style="51" customWidth="1"/>
    <col min="4351" max="4351" width="8" style="51" bestFit="1" customWidth="1"/>
    <col min="4352" max="4352" width="28.375" style="51" customWidth="1"/>
    <col min="4353" max="4353" width="8" style="51" bestFit="1" customWidth="1"/>
    <col min="4354" max="4354" width="9.125" style="51" bestFit="1" customWidth="1"/>
    <col min="4355" max="4355" width="8.125" style="51" customWidth="1"/>
    <col min="4356" max="4356" width="7.875" style="51" bestFit="1" customWidth="1"/>
    <col min="4357" max="4357" width="8.25" style="51" customWidth="1"/>
    <col min="4358" max="4358" width="8" style="51" customWidth="1"/>
    <col min="4359" max="4359" width="18.625" style="51" customWidth="1"/>
    <col min="4360" max="4601" width="9" style="51"/>
    <col min="4602" max="4602" width="1.375" style="51" customWidth="1"/>
    <col min="4603" max="4603" width="10.75" style="51" customWidth="1"/>
    <col min="4604" max="4604" width="17.75" style="51" bestFit="1" customWidth="1"/>
    <col min="4605" max="4605" width="11.625" style="51" bestFit="1" customWidth="1"/>
    <col min="4606" max="4606" width="7.625" style="51" customWidth="1"/>
    <col min="4607" max="4607" width="8" style="51" bestFit="1" customWidth="1"/>
    <col min="4608" max="4608" width="28.375" style="51" customWidth="1"/>
    <col min="4609" max="4609" width="8" style="51" bestFit="1" customWidth="1"/>
    <col min="4610" max="4610" width="9.125" style="51" bestFit="1" customWidth="1"/>
    <col min="4611" max="4611" width="8.125" style="51" customWidth="1"/>
    <col min="4612" max="4612" width="7.875" style="51" bestFit="1" customWidth="1"/>
    <col min="4613" max="4613" width="8.25" style="51" customWidth="1"/>
    <col min="4614" max="4614" width="8" style="51" customWidth="1"/>
    <col min="4615" max="4615" width="18.625" style="51" customWidth="1"/>
    <col min="4616" max="4857" width="9" style="51"/>
    <col min="4858" max="4858" width="1.375" style="51" customWidth="1"/>
    <col min="4859" max="4859" width="10.75" style="51" customWidth="1"/>
    <col min="4860" max="4860" width="17.75" style="51" bestFit="1" customWidth="1"/>
    <col min="4861" max="4861" width="11.625" style="51" bestFit="1" customWidth="1"/>
    <col min="4862" max="4862" width="7.625" style="51" customWidth="1"/>
    <col min="4863" max="4863" width="8" style="51" bestFit="1" customWidth="1"/>
    <col min="4864" max="4864" width="28.375" style="51" customWidth="1"/>
    <col min="4865" max="4865" width="8" style="51" bestFit="1" customWidth="1"/>
    <col min="4866" max="4866" width="9.125" style="51" bestFit="1" customWidth="1"/>
    <col min="4867" max="4867" width="8.125" style="51" customWidth="1"/>
    <col min="4868" max="4868" width="7.875" style="51" bestFit="1" customWidth="1"/>
    <col min="4869" max="4869" width="8.25" style="51" customWidth="1"/>
    <col min="4870" max="4870" width="8" style="51" customWidth="1"/>
    <col min="4871" max="4871" width="18.625" style="51" customWidth="1"/>
    <col min="4872" max="5113" width="9" style="51"/>
    <col min="5114" max="5114" width="1.375" style="51" customWidth="1"/>
    <col min="5115" max="5115" width="10.75" style="51" customWidth="1"/>
    <col min="5116" max="5116" width="17.75" style="51" bestFit="1" customWidth="1"/>
    <col min="5117" max="5117" width="11.625" style="51" bestFit="1" customWidth="1"/>
    <col min="5118" max="5118" width="7.625" style="51" customWidth="1"/>
    <col min="5119" max="5119" width="8" style="51" bestFit="1" customWidth="1"/>
    <col min="5120" max="5120" width="28.375" style="51" customWidth="1"/>
    <col min="5121" max="5121" width="8" style="51" bestFit="1" customWidth="1"/>
    <col min="5122" max="5122" width="9.125" style="51" bestFit="1" customWidth="1"/>
    <col min="5123" max="5123" width="8.125" style="51" customWidth="1"/>
    <col min="5124" max="5124" width="7.875" style="51" bestFit="1" customWidth="1"/>
    <col min="5125" max="5125" width="8.25" style="51" customWidth="1"/>
    <col min="5126" max="5126" width="8" style="51" customWidth="1"/>
    <col min="5127" max="5127" width="18.625" style="51" customWidth="1"/>
    <col min="5128" max="5369" width="9" style="51"/>
    <col min="5370" max="5370" width="1.375" style="51" customWidth="1"/>
    <col min="5371" max="5371" width="10.75" style="51" customWidth="1"/>
    <col min="5372" max="5372" width="17.75" style="51" bestFit="1" customWidth="1"/>
    <col min="5373" max="5373" width="11.625" style="51" bestFit="1" customWidth="1"/>
    <col min="5374" max="5374" width="7.625" style="51" customWidth="1"/>
    <col min="5375" max="5375" width="8" style="51" bestFit="1" customWidth="1"/>
    <col min="5376" max="5376" width="28.375" style="51" customWidth="1"/>
    <col min="5377" max="5377" width="8" style="51" bestFit="1" customWidth="1"/>
    <col min="5378" max="5378" width="9.125" style="51" bestFit="1" customWidth="1"/>
    <col min="5379" max="5379" width="8.125" style="51" customWidth="1"/>
    <col min="5380" max="5380" width="7.875" style="51" bestFit="1" customWidth="1"/>
    <col min="5381" max="5381" width="8.25" style="51" customWidth="1"/>
    <col min="5382" max="5382" width="8" style="51" customWidth="1"/>
    <col min="5383" max="5383" width="18.625" style="51" customWidth="1"/>
    <col min="5384" max="5625" width="9" style="51"/>
    <col min="5626" max="5626" width="1.375" style="51" customWidth="1"/>
    <col min="5627" max="5627" width="10.75" style="51" customWidth="1"/>
    <col min="5628" max="5628" width="17.75" style="51" bestFit="1" customWidth="1"/>
    <col min="5629" max="5629" width="11.625" style="51" bestFit="1" customWidth="1"/>
    <col min="5630" max="5630" width="7.625" style="51" customWidth="1"/>
    <col min="5631" max="5631" width="8" style="51" bestFit="1" customWidth="1"/>
    <col min="5632" max="5632" width="28.375" style="51" customWidth="1"/>
    <col min="5633" max="5633" width="8" style="51" bestFit="1" customWidth="1"/>
    <col min="5634" max="5634" width="9.125" style="51" bestFit="1" customWidth="1"/>
    <col min="5635" max="5635" width="8.125" style="51" customWidth="1"/>
    <col min="5636" max="5636" width="7.875" style="51" bestFit="1" customWidth="1"/>
    <col min="5637" max="5637" width="8.25" style="51" customWidth="1"/>
    <col min="5638" max="5638" width="8" style="51" customWidth="1"/>
    <col min="5639" max="5639" width="18.625" style="51" customWidth="1"/>
    <col min="5640" max="5881" width="9" style="51"/>
    <col min="5882" max="5882" width="1.375" style="51" customWidth="1"/>
    <col min="5883" max="5883" width="10.75" style="51" customWidth="1"/>
    <col min="5884" max="5884" width="17.75" style="51" bestFit="1" customWidth="1"/>
    <col min="5885" max="5885" width="11.625" style="51" bestFit="1" customWidth="1"/>
    <col min="5886" max="5886" width="7.625" style="51" customWidth="1"/>
    <col min="5887" max="5887" width="8" style="51" bestFit="1" customWidth="1"/>
    <col min="5888" max="5888" width="28.375" style="51" customWidth="1"/>
    <col min="5889" max="5889" width="8" style="51" bestFit="1" customWidth="1"/>
    <col min="5890" max="5890" width="9.125" style="51" bestFit="1" customWidth="1"/>
    <col min="5891" max="5891" width="8.125" style="51" customWidth="1"/>
    <col min="5892" max="5892" width="7.875" style="51" bestFit="1" customWidth="1"/>
    <col min="5893" max="5893" width="8.25" style="51" customWidth="1"/>
    <col min="5894" max="5894" width="8" style="51" customWidth="1"/>
    <col min="5895" max="5895" width="18.625" style="51" customWidth="1"/>
    <col min="5896" max="6137" width="9" style="51"/>
    <col min="6138" max="6138" width="1.375" style="51" customWidth="1"/>
    <col min="6139" max="6139" width="10.75" style="51" customWidth="1"/>
    <col min="6140" max="6140" width="17.75" style="51" bestFit="1" customWidth="1"/>
    <col min="6141" max="6141" width="11.625" style="51" bestFit="1" customWidth="1"/>
    <col min="6142" max="6142" width="7.625" style="51" customWidth="1"/>
    <col min="6143" max="6143" width="8" style="51" bestFit="1" customWidth="1"/>
    <col min="6144" max="6144" width="28.375" style="51" customWidth="1"/>
    <col min="6145" max="6145" width="8" style="51" bestFit="1" customWidth="1"/>
    <col min="6146" max="6146" width="9.125" style="51" bestFit="1" customWidth="1"/>
    <col min="6147" max="6147" width="8.125" style="51" customWidth="1"/>
    <col min="6148" max="6148" width="7.875" style="51" bestFit="1" customWidth="1"/>
    <col min="6149" max="6149" width="8.25" style="51" customWidth="1"/>
    <col min="6150" max="6150" width="8" style="51" customWidth="1"/>
    <col min="6151" max="6151" width="18.625" style="51" customWidth="1"/>
    <col min="6152" max="6393" width="9" style="51"/>
    <col min="6394" max="6394" width="1.375" style="51" customWidth="1"/>
    <col min="6395" max="6395" width="10.75" style="51" customWidth="1"/>
    <col min="6396" max="6396" width="17.75" style="51" bestFit="1" customWidth="1"/>
    <col min="6397" max="6397" width="11.625" style="51" bestFit="1" customWidth="1"/>
    <col min="6398" max="6398" width="7.625" style="51" customWidth="1"/>
    <col min="6399" max="6399" width="8" style="51" bestFit="1" customWidth="1"/>
    <col min="6400" max="6400" width="28.375" style="51" customWidth="1"/>
    <col min="6401" max="6401" width="8" style="51" bestFit="1" customWidth="1"/>
    <col min="6402" max="6402" width="9.125" style="51" bestFit="1" customWidth="1"/>
    <col min="6403" max="6403" width="8.125" style="51" customWidth="1"/>
    <col min="6404" max="6404" width="7.875" style="51" bestFit="1" customWidth="1"/>
    <col min="6405" max="6405" width="8.25" style="51" customWidth="1"/>
    <col min="6406" max="6406" width="8" style="51" customWidth="1"/>
    <col min="6407" max="6407" width="18.625" style="51" customWidth="1"/>
    <col min="6408" max="6649" width="9" style="51"/>
    <col min="6650" max="6650" width="1.375" style="51" customWidth="1"/>
    <col min="6651" max="6651" width="10.75" style="51" customWidth="1"/>
    <col min="6652" max="6652" width="17.75" style="51" bestFit="1" customWidth="1"/>
    <col min="6653" max="6653" width="11.625" style="51" bestFit="1" customWidth="1"/>
    <col min="6654" max="6654" width="7.625" style="51" customWidth="1"/>
    <col min="6655" max="6655" width="8" style="51" bestFit="1" customWidth="1"/>
    <col min="6656" max="6656" width="28.375" style="51" customWidth="1"/>
    <col min="6657" max="6657" width="8" style="51" bestFit="1" customWidth="1"/>
    <col min="6658" max="6658" width="9.125" style="51" bestFit="1" customWidth="1"/>
    <col min="6659" max="6659" width="8.125" style="51" customWidth="1"/>
    <col min="6660" max="6660" width="7.875" style="51" bestFit="1" customWidth="1"/>
    <col min="6661" max="6661" width="8.25" style="51" customWidth="1"/>
    <col min="6662" max="6662" width="8" style="51" customWidth="1"/>
    <col min="6663" max="6663" width="18.625" style="51" customWidth="1"/>
    <col min="6664" max="6905" width="9" style="51"/>
    <col min="6906" max="6906" width="1.375" style="51" customWidth="1"/>
    <col min="6907" max="6907" width="10.75" style="51" customWidth="1"/>
    <col min="6908" max="6908" width="17.75" style="51" bestFit="1" customWidth="1"/>
    <col min="6909" max="6909" width="11.625" style="51" bestFit="1" customWidth="1"/>
    <col min="6910" max="6910" width="7.625" style="51" customWidth="1"/>
    <col min="6911" max="6911" width="8" style="51" bestFit="1" customWidth="1"/>
    <col min="6912" max="6912" width="28.375" style="51" customWidth="1"/>
    <col min="6913" max="6913" width="8" style="51" bestFit="1" customWidth="1"/>
    <col min="6914" max="6914" width="9.125" style="51" bestFit="1" customWidth="1"/>
    <col min="6915" max="6915" width="8.125" style="51" customWidth="1"/>
    <col min="6916" max="6916" width="7.875" style="51" bestFit="1" customWidth="1"/>
    <col min="6917" max="6917" width="8.25" style="51" customWidth="1"/>
    <col min="6918" max="6918" width="8" style="51" customWidth="1"/>
    <col min="6919" max="6919" width="18.625" style="51" customWidth="1"/>
    <col min="6920" max="7161" width="9" style="51"/>
    <col min="7162" max="7162" width="1.375" style="51" customWidth="1"/>
    <col min="7163" max="7163" width="10.75" style="51" customWidth="1"/>
    <col min="7164" max="7164" width="17.75" style="51" bestFit="1" customWidth="1"/>
    <col min="7165" max="7165" width="11.625" style="51" bestFit="1" customWidth="1"/>
    <col min="7166" max="7166" width="7.625" style="51" customWidth="1"/>
    <col min="7167" max="7167" width="8" style="51" bestFit="1" customWidth="1"/>
    <col min="7168" max="7168" width="28.375" style="51" customWidth="1"/>
    <col min="7169" max="7169" width="8" style="51" bestFit="1" customWidth="1"/>
    <col min="7170" max="7170" width="9.125" style="51" bestFit="1" customWidth="1"/>
    <col min="7171" max="7171" width="8.125" style="51" customWidth="1"/>
    <col min="7172" max="7172" width="7.875" style="51" bestFit="1" customWidth="1"/>
    <col min="7173" max="7173" width="8.25" style="51" customWidth="1"/>
    <col min="7174" max="7174" width="8" style="51" customWidth="1"/>
    <col min="7175" max="7175" width="18.625" style="51" customWidth="1"/>
    <col min="7176" max="7417" width="9" style="51"/>
    <col min="7418" max="7418" width="1.375" style="51" customWidth="1"/>
    <col min="7419" max="7419" width="10.75" style="51" customWidth="1"/>
    <col min="7420" max="7420" width="17.75" style="51" bestFit="1" customWidth="1"/>
    <col min="7421" max="7421" width="11.625" style="51" bestFit="1" customWidth="1"/>
    <col min="7422" max="7422" width="7.625" style="51" customWidth="1"/>
    <col min="7423" max="7423" width="8" style="51" bestFit="1" customWidth="1"/>
    <col min="7424" max="7424" width="28.375" style="51" customWidth="1"/>
    <col min="7425" max="7425" width="8" style="51" bestFit="1" customWidth="1"/>
    <col min="7426" max="7426" width="9.125" style="51" bestFit="1" customWidth="1"/>
    <col min="7427" max="7427" width="8.125" style="51" customWidth="1"/>
    <col min="7428" max="7428" width="7.875" style="51" bestFit="1" customWidth="1"/>
    <col min="7429" max="7429" width="8.25" style="51" customWidth="1"/>
    <col min="7430" max="7430" width="8" style="51" customWidth="1"/>
    <col min="7431" max="7431" width="18.625" style="51" customWidth="1"/>
    <col min="7432" max="7673" width="9" style="51"/>
    <col min="7674" max="7674" width="1.375" style="51" customWidth="1"/>
    <col min="7675" max="7675" width="10.75" style="51" customWidth="1"/>
    <col min="7676" max="7676" width="17.75" style="51" bestFit="1" customWidth="1"/>
    <col min="7677" max="7677" width="11.625" style="51" bestFit="1" customWidth="1"/>
    <col min="7678" max="7678" width="7.625" style="51" customWidth="1"/>
    <col min="7679" max="7679" width="8" style="51" bestFit="1" customWidth="1"/>
    <col min="7680" max="7680" width="28.375" style="51" customWidth="1"/>
    <col min="7681" max="7681" width="8" style="51" bestFit="1" customWidth="1"/>
    <col min="7682" max="7682" width="9.125" style="51" bestFit="1" customWidth="1"/>
    <col min="7683" max="7683" width="8.125" style="51" customWidth="1"/>
    <col min="7684" max="7684" width="7.875" style="51" bestFit="1" customWidth="1"/>
    <col min="7685" max="7685" width="8.25" style="51" customWidth="1"/>
    <col min="7686" max="7686" width="8" style="51" customWidth="1"/>
    <col min="7687" max="7687" width="18.625" style="51" customWidth="1"/>
    <col min="7688" max="7929" width="9" style="51"/>
    <col min="7930" max="7930" width="1.375" style="51" customWidth="1"/>
    <col min="7931" max="7931" width="10.75" style="51" customWidth="1"/>
    <col min="7932" max="7932" width="17.75" style="51" bestFit="1" customWidth="1"/>
    <col min="7933" max="7933" width="11.625" style="51" bestFit="1" customWidth="1"/>
    <col min="7934" max="7934" width="7.625" style="51" customWidth="1"/>
    <col min="7935" max="7935" width="8" style="51" bestFit="1" customWidth="1"/>
    <col min="7936" max="7936" width="28.375" style="51" customWidth="1"/>
    <col min="7937" max="7937" width="8" style="51" bestFit="1" customWidth="1"/>
    <col min="7938" max="7938" width="9.125" style="51" bestFit="1" customWidth="1"/>
    <col min="7939" max="7939" width="8.125" style="51" customWidth="1"/>
    <col min="7940" max="7940" width="7.875" style="51" bestFit="1" customWidth="1"/>
    <col min="7941" max="7941" width="8.25" style="51" customWidth="1"/>
    <col min="7942" max="7942" width="8" style="51" customWidth="1"/>
    <col min="7943" max="7943" width="18.625" style="51" customWidth="1"/>
    <col min="7944" max="8185" width="9" style="51"/>
    <col min="8186" max="8186" width="1.375" style="51" customWidth="1"/>
    <col min="8187" max="8187" width="10.75" style="51" customWidth="1"/>
    <col min="8188" max="8188" width="17.75" style="51" bestFit="1" customWidth="1"/>
    <col min="8189" max="8189" width="11.625" style="51" bestFit="1" customWidth="1"/>
    <col min="8190" max="8190" width="7.625" style="51" customWidth="1"/>
    <col min="8191" max="8191" width="8" style="51" bestFit="1" customWidth="1"/>
    <col min="8192" max="8192" width="28.375" style="51" customWidth="1"/>
    <col min="8193" max="8193" width="8" style="51" bestFit="1" customWidth="1"/>
    <col min="8194" max="8194" width="9.125" style="51" bestFit="1" customWidth="1"/>
    <col min="8195" max="8195" width="8.125" style="51" customWidth="1"/>
    <col min="8196" max="8196" width="7.875" style="51" bestFit="1" customWidth="1"/>
    <col min="8197" max="8197" width="8.25" style="51" customWidth="1"/>
    <col min="8198" max="8198" width="8" style="51" customWidth="1"/>
    <col min="8199" max="8199" width="18.625" style="51" customWidth="1"/>
    <col min="8200" max="8441" width="9" style="51"/>
    <col min="8442" max="8442" width="1.375" style="51" customWidth="1"/>
    <col min="8443" max="8443" width="10.75" style="51" customWidth="1"/>
    <col min="8444" max="8444" width="17.75" style="51" bestFit="1" customWidth="1"/>
    <col min="8445" max="8445" width="11.625" style="51" bestFit="1" customWidth="1"/>
    <col min="8446" max="8446" width="7.625" style="51" customWidth="1"/>
    <col min="8447" max="8447" width="8" style="51" bestFit="1" customWidth="1"/>
    <col min="8448" max="8448" width="28.375" style="51" customWidth="1"/>
    <col min="8449" max="8449" width="8" style="51" bestFit="1" customWidth="1"/>
    <col min="8450" max="8450" width="9.125" style="51" bestFit="1" customWidth="1"/>
    <col min="8451" max="8451" width="8.125" style="51" customWidth="1"/>
    <col min="8452" max="8452" width="7.875" style="51" bestFit="1" customWidth="1"/>
    <col min="8453" max="8453" width="8.25" style="51" customWidth="1"/>
    <col min="8454" max="8454" width="8" style="51" customWidth="1"/>
    <col min="8455" max="8455" width="18.625" style="51" customWidth="1"/>
    <col min="8456" max="8697" width="9" style="51"/>
    <col min="8698" max="8698" width="1.375" style="51" customWidth="1"/>
    <col min="8699" max="8699" width="10.75" style="51" customWidth="1"/>
    <col min="8700" max="8700" width="17.75" style="51" bestFit="1" customWidth="1"/>
    <col min="8701" max="8701" width="11.625" style="51" bestFit="1" customWidth="1"/>
    <col min="8702" max="8702" width="7.625" style="51" customWidth="1"/>
    <col min="8703" max="8703" width="8" style="51" bestFit="1" customWidth="1"/>
    <col min="8704" max="8704" width="28.375" style="51" customWidth="1"/>
    <col min="8705" max="8705" width="8" style="51" bestFit="1" customWidth="1"/>
    <col min="8706" max="8706" width="9.125" style="51" bestFit="1" customWidth="1"/>
    <col min="8707" max="8707" width="8.125" style="51" customWidth="1"/>
    <col min="8708" max="8708" width="7.875" style="51" bestFit="1" customWidth="1"/>
    <col min="8709" max="8709" width="8.25" style="51" customWidth="1"/>
    <col min="8710" max="8710" width="8" style="51" customWidth="1"/>
    <col min="8711" max="8711" width="18.625" style="51" customWidth="1"/>
    <col min="8712" max="8953" width="9" style="51"/>
    <col min="8954" max="8954" width="1.375" style="51" customWidth="1"/>
    <col min="8955" max="8955" width="10.75" style="51" customWidth="1"/>
    <col min="8956" max="8956" width="17.75" style="51" bestFit="1" customWidth="1"/>
    <col min="8957" max="8957" width="11.625" style="51" bestFit="1" customWidth="1"/>
    <col min="8958" max="8958" width="7.625" style="51" customWidth="1"/>
    <col min="8959" max="8959" width="8" style="51" bestFit="1" customWidth="1"/>
    <col min="8960" max="8960" width="28.375" style="51" customWidth="1"/>
    <col min="8961" max="8961" width="8" style="51" bestFit="1" customWidth="1"/>
    <col min="8962" max="8962" width="9.125" style="51" bestFit="1" customWidth="1"/>
    <col min="8963" max="8963" width="8.125" style="51" customWidth="1"/>
    <col min="8964" max="8964" width="7.875" style="51" bestFit="1" customWidth="1"/>
    <col min="8965" max="8965" width="8.25" style="51" customWidth="1"/>
    <col min="8966" max="8966" width="8" style="51" customWidth="1"/>
    <col min="8967" max="8967" width="18.625" style="51" customWidth="1"/>
    <col min="8968" max="9209" width="9" style="51"/>
    <col min="9210" max="9210" width="1.375" style="51" customWidth="1"/>
    <col min="9211" max="9211" width="10.75" style="51" customWidth="1"/>
    <col min="9212" max="9212" width="17.75" style="51" bestFit="1" customWidth="1"/>
    <col min="9213" max="9213" width="11.625" style="51" bestFit="1" customWidth="1"/>
    <col min="9214" max="9214" width="7.625" style="51" customWidth="1"/>
    <col min="9215" max="9215" width="8" style="51" bestFit="1" customWidth="1"/>
    <col min="9216" max="9216" width="28.375" style="51" customWidth="1"/>
    <col min="9217" max="9217" width="8" style="51" bestFit="1" customWidth="1"/>
    <col min="9218" max="9218" width="9.125" style="51" bestFit="1" customWidth="1"/>
    <col min="9219" max="9219" width="8.125" style="51" customWidth="1"/>
    <col min="9220" max="9220" width="7.875" style="51" bestFit="1" customWidth="1"/>
    <col min="9221" max="9221" width="8.25" style="51" customWidth="1"/>
    <col min="9222" max="9222" width="8" style="51" customWidth="1"/>
    <col min="9223" max="9223" width="18.625" style="51" customWidth="1"/>
    <col min="9224" max="9465" width="9" style="51"/>
    <col min="9466" max="9466" width="1.375" style="51" customWidth="1"/>
    <col min="9467" max="9467" width="10.75" style="51" customWidth="1"/>
    <col min="9468" max="9468" width="17.75" style="51" bestFit="1" customWidth="1"/>
    <col min="9469" max="9469" width="11.625" style="51" bestFit="1" customWidth="1"/>
    <col min="9470" max="9470" width="7.625" style="51" customWidth="1"/>
    <col min="9471" max="9471" width="8" style="51" bestFit="1" customWidth="1"/>
    <col min="9472" max="9472" width="28.375" style="51" customWidth="1"/>
    <col min="9473" max="9473" width="8" style="51" bestFit="1" customWidth="1"/>
    <col min="9474" max="9474" width="9.125" style="51" bestFit="1" customWidth="1"/>
    <col min="9475" max="9475" width="8.125" style="51" customWidth="1"/>
    <col min="9476" max="9476" width="7.875" style="51" bestFit="1" customWidth="1"/>
    <col min="9477" max="9477" width="8.25" style="51" customWidth="1"/>
    <col min="9478" max="9478" width="8" style="51" customWidth="1"/>
    <col min="9479" max="9479" width="18.625" style="51" customWidth="1"/>
    <col min="9480" max="9721" width="9" style="51"/>
    <col min="9722" max="9722" width="1.375" style="51" customWidth="1"/>
    <col min="9723" max="9723" width="10.75" style="51" customWidth="1"/>
    <col min="9724" max="9724" width="17.75" style="51" bestFit="1" customWidth="1"/>
    <col min="9725" max="9725" width="11.625" style="51" bestFit="1" customWidth="1"/>
    <col min="9726" max="9726" width="7.625" style="51" customWidth="1"/>
    <col min="9727" max="9727" width="8" style="51" bestFit="1" customWidth="1"/>
    <col min="9728" max="9728" width="28.375" style="51" customWidth="1"/>
    <col min="9729" max="9729" width="8" style="51" bestFit="1" customWidth="1"/>
    <col min="9730" max="9730" width="9.125" style="51" bestFit="1" customWidth="1"/>
    <col min="9731" max="9731" width="8.125" style="51" customWidth="1"/>
    <col min="9732" max="9732" width="7.875" style="51" bestFit="1" customWidth="1"/>
    <col min="9733" max="9733" width="8.25" style="51" customWidth="1"/>
    <col min="9734" max="9734" width="8" style="51" customWidth="1"/>
    <col min="9735" max="9735" width="18.625" style="51" customWidth="1"/>
    <col min="9736" max="9977" width="9" style="51"/>
    <col min="9978" max="9978" width="1.375" style="51" customWidth="1"/>
    <col min="9979" max="9979" width="10.75" style="51" customWidth="1"/>
    <col min="9980" max="9980" width="17.75" style="51" bestFit="1" customWidth="1"/>
    <col min="9981" max="9981" width="11.625" style="51" bestFit="1" customWidth="1"/>
    <col min="9982" max="9982" width="7.625" style="51" customWidth="1"/>
    <col min="9983" max="9983" width="8" style="51" bestFit="1" customWidth="1"/>
    <col min="9984" max="9984" width="28.375" style="51" customWidth="1"/>
    <col min="9985" max="9985" width="8" style="51" bestFit="1" customWidth="1"/>
    <col min="9986" max="9986" width="9.125" style="51" bestFit="1" customWidth="1"/>
    <col min="9987" max="9987" width="8.125" style="51" customWidth="1"/>
    <col min="9988" max="9988" width="7.875" style="51" bestFit="1" customWidth="1"/>
    <col min="9989" max="9989" width="8.25" style="51" customWidth="1"/>
    <col min="9990" max="9990" width="8" style="51" customWidth="1"/>
    <col min="9991" max="9991" width="18.625" style="51" customWidth="1"/>
    <col min="9992" max="10233" width="9" style="51"/>
    <col min="10234" max="10234" width="1.375" style="51" customWidth="1"/>
    <col min="10235" max="10235" width="10.75" style="51" customWidth="1"/>
    <col min="10236" max="10236" width="17.75" style="51" bestFit="1" customWidth="1"/>
    <col min="10237" max="10237" width="11.625" style="51" bestFit="1" customWidth="1"/>
    <col min="10238" max="10238" width="7.625" style="51" customWidth="1"/>
    <col min="10239" max="10239" width="8" style="51" bestFit="1" customWidth="1"/>
    <col min="10240" max="10240" width="28.375" style="51" customWidth="1"/>
    <col min="10241" max="10241" width="8" style="51" bestFit="1" customWidth="1"/>
    <col min="10242" max="10242" width="9.125" style="51" bestFit="1" customWidth="1"/>
    <col min="10243" max="10243" width="8.125" style="51" customWidth="1"/>
    <col min="10244" max="10244" width="7.875" style="51" bestFit="1" customWidth="1"/>
    <col min="10245" max="10245" width="8.25" style="51" customWidth="1"/>
    <col min="10246" max="10246" width="8" style="51" customWidth="1"/>
    <col min="10247" max="10247" width="18.625" style="51" customWidth="1"/>
    <col min="10248" max="10489" width="9" style="51"/>
    <col min="10490" max="10490" width="1.375" style="51" customWidth="1"/>
    <col min="10491" max="10491" width="10.75" style="51" customWidth="1"/>
    <col min="10492" max="10492" width="17.75" style="51" bestFit="1" customWidth="1"/>
    <col min="10493" max="10493" width="11.625" style="51" bestFit="1" customWidth="1"/>
    <col min="10494" max="10494" width="7.625" style="51" customWidth="1"/>
    <col min="10495" max="10495" width="8" style="51" bestFit="1" customWidth="1"/>
    <col min="10496" max="10496" width="28.375" style="51" customWidth="1"/>
    <col min="10497" max="10497" width="8" style="51" bestFit="1" customWidth="1"/>
    <col min="10498" max="10498" width="9.125" style="51" bestFit="1" customWidth="1"/>
    <col min="10499" max="10499" width="8.125" style="51" customWidth="1"/>
    <col min="10500" max="10500" width="7.875" style="51" bestFit="1" customWidth="1"/>
    <col min="10501" max="10501" width="8.25" style="51" customWidth="1"/>
    <col min="10502" max="10502" width="8" style="51" customWidth="1"/>
    <col min="10503" max="10503" width="18.625" style="51" customWidth="1"/>
    <col min="10504" max="10745" width="9" style="51"/>
    <col min="10746" max="10746" width="1.375" style="51" customWidth="1"/>
    <col min="10747" max="10747" width="10.75" style="51" customWidth="1"/>
    <col min="10748" max="10748" width="17.75" style="51" bestFit="1" customWidth="1"/>
    <col min="10749" max="10749" width="11.625" style="51" bestFit="1" customWidth="1"/>
    <col min="10750" max="10750" width="7.625" style="51" customWidth="1"/>
    <col min="10751" max="10751" width="8" style="51" bestFit="1" customWidth="1"/>
    <col min="10752" max="10752" width="28.375" style="51" customWidth="1"/>
    <col min="10753" max="10753" width="8" style="51" bestFit="1" customWidth="1"/>
    <col min="10754" max="10754" width="9.125" style="51" bestFit="1" customWidth="1"/>
    <col min="10755" max="10755" width="8.125" style="51" customWidth="1"/>
    <col min="10756" max="10756" width="7.875" style="51" bestFit="1" customWidth="1"/>
    <col min="10757" max="10757" width="8.25" style="51" customWidth="1"/>
    <col min="10758" max="10758" width="8" style="51" customWidth="1"/>
    <col min="10759" max="10759" width="18.625" style="51" customWidth="1"/>
    <col min="10760" max="11001" width="9" style="51"/>
    <col min="11002" max="11002" width="1.375" style="51" customWidth="1"/>
    <col min="11003" max="11003" width="10.75" style="51" customWidth="1"/>
    <col min="11004" max="11004" width="17.75" style="51" bestFit="1" customWidth="1"/>
    <col min="11005" max="11005" width="11.625" style="51" bestFit="1" customWidth="1"/>
    <col min="11006" max="11006" width="7.625" style="51" customWidth="1"/>
    <col min="11007" max="11007" width="8" style="51" bestFit="1" customWidth="1"/>
    <col min="11008" max="11008" width="28.375" style="51" customWidth="1"/>
    <col min="11009" max="11009" width="8" style="51" bestFit="1" customWidth="1"/>
    <col min="11010" max="11010" width="9.125" style="51" bestFit="1" customWidth="1"/>
    <col min="11011" max="11011" width="8.125" style="51" customWidth="1"/>
    <col min="11012" max="11012" width="7.875" style="51" bestFit="1" customWidth="1"/>
    <col min="11013" max="11013" width="8.25" style="51" customWidth="1"/>
    <col min="11014" max="11014" width="8" style="51" customWidth="1"/>
    <col min="11015" max="11015" width="18.625" style="51" customWidth="1"/>
    <col min="11016" max="11257" width="9" style="51"/>
    <col min="11258" max="11258" width="1.375" style="51" customWidth="1"/>
    <col min="11259" max="11259" width="10.75" style="51" customWidth="1"/>
    <col min="11260" max="11260" width="17.75" style="51" bestFit="1" customWidth="1"/>
    <col min="11261" max="11261" width="11.625" style="51" bestFit="1" customWidth="1"/>
    <col min="11262" max="11262" width="7.625" style="51" customWidth="1"/>
    <col min="11263" max="11263" width="8" style="51" bestFit="1" customWidth="1"/>
    <col min="11264" max="11264" width="28.375" style="51" customWidth="1"/>
    <col min="11265" max="11265" width="8" style="51" bestFit="1" customWidth="1"/>
    <col min="11266" max="11266" width="9.125" style="51" bestFit="1" customWidth="1"/>
    <col min="11267" max="11267" width="8.125" style="51" customWidth="1"/>
    <col min="11268" max="11268" width="7.875" style="51" bestFit="1" customWidth="1"/>
    <col min="11269" max="11269" width="8.25" style="51" customWidth="1"/>
    <col min="11270" max="11270" width="8" style="51" customWidth="1"/>
    <col min="11271" max="11271" width="18.625" style="51" customWidth="1"/>
    <col min="11272" max="11513" width="9" style="51"/>
    <col min="11514" max="11514" width="1.375" style="51" customWidth="1"/>
    <col min="11515" max="11515" width="10.75" style="51" customWidth="1"/>
    <col min="11516" max="11516" width="17.75" style="51" bestFit="1" customWidth="1"/>
    <col min="11517" max="11517" width="11.625" style="51" bestFit="1" customWidth="1"/>
    <col min="11518" max="11518" width="7.625" style="51" customWidth="1"/>
    <col min="11519" max="11519" width="8" style="51" bestFit="1" customWidth="1"/>
    <col min="11520" max="11520" width="28.375" style="51" customWidth="1"/>
    <col min="11521" max="11521" width="8" style="51" bestFit="1" customWidth="1"/>
    <col min="11522" max="11522" width="9.125" style="51" bestFit="1" customWidth="1"/>
    <col min="11523" max="11523" width="8.125" style="51" customWidth="1"/>
    <col min="11524" max="11524" width="7.875" style="51" bestFit="1" customWidth="1"/>
    <col min="11525" max="11525" width="8.25" style="51" customWidth="1"/>
    <col min="11526" max="11526" width="8" style="51" customWidth="1"/>
    <col min="11527" max="11527" width="18.625" style="51" customWidth="1"/>
    <col min="11528" max="11769" width="9" style="51"/>
    <col min="11770" max="11770" width="1.375" style="51" customWidth="1"/>
    <col min="11771" max="11771" width="10.75" style="51" customWidth="1"/>
    <col min="11772" max="11772" width="17.75" style="51" bestFit="1" customWidth="1"/>
    <col min="11773" max="11773" width="11.625" style="51" bestFit="1" customWidth="1"/>
    <col min="11774" max="11774" width="7.625" style="51" customWidth="1"/>
    <col min="11775" max="11775" width="8" style="51" bestFit="1" customWidth="1"/>
    <col min="11776" max="11776" width="28.375" style="51" customWidth="1"/>
    <col min="11777" max="11777" width="8" style="51" bestFit="1" customWidth="1"/>
    <col min="11778" max="11778" width="9.125" style="51" bestFit="1" customWidth="1"/>
    <col min="11779" max="11779" width="8.125" style="51" customWidth="1"/>
    <col min="11780" max="11780" width="7.875" style="51" bestFit="1" customWidth="1"/>
    <col min="11781" max="11781" width="8.25" style="51" customWidth="1"/>
    <col min="11782" max="11782" width="8" style="51" customWidth="1"/>
    <col min="11783" max="11783" width="18.625" style="51" customWidth="1"/>
    <col min="11784" max="12025" width="9" style="51"/>
    <col min="12026" max="12026" width="1.375" style="51" customWidth="1"/>
    <col min="12027" max="12027" width="10.75" style="51" customWidth="1"/>
    <col min="12028" max="12028" width="17.75" style="51" bestFit="1" customWidth="1"/>
    <col min="12029" max="12029" width="11.625" style="51" bestFit="1" customWidth="1"/>
    <col min="12030" max="12030" width="7.625" style="51" customWidth="1"/>
    <col min="12031" max="12031" width="8" style="51" bestFit="1" customWidth="1"/>
    <col min="12032" max="12032" width="28.375" style="51" customWidth="1"/>
    <col min="12033" max="12033" width="8" style="51" bestFit="1" customWidth="1"/>
    <col min="12034" max="12034" width="9.125" style="51" bestFit="1" customWidth="1"/>
    <col min="12035" max="12035" width="8.125" style="51" customWidth="1"/>
    <col min="12036" max="12036" width="7.875" style="51" bestFit="1" customWidth="1"/>
    <col min="12037" max="12037" width="8.25" style="51" customWidth="1"/>
    <col min="12038" max="12038" width="8" style="51" customWidth="1"/>
    <col min="12039" max="12039" width="18.625" style="51" customWidth="1"/>
    <col min="12040" max="12281" width="9" style="51"/>
    <col min="12282" max="12282" width="1.375" style="51" customWidth="1"/>
    <col min="12283" max="12283" width="10.75" style="51" customWidth="1"/>
    <col min="12284" max="12284" width="17.75" style="51" bestFit="1" customWidth="1"/>
    <col min="12285" max="12285" width="11.625" style="51" bestFit="1" customWidth="1"/>
    <col min="12286" max="12286" width="7.625" style="51" customWidth="1"/>
    <col min="12287" max="12287" width="8" style="51" bestFit="1" customWidth="1"/>
    <col min="12288" max="12288" width="28.375" style="51" customWidth="1"/>
    <col min="12289" max="12289" width="8" style="51" bestFit="1" customWidth="1"/>
    <col min="12290" max="12290" width="9.125" style="51" bestFit="1" customWidth="1"/>
    <col min="12291" max="12291" width="8.125" style="51" customWidth="1"/>
    <col min="12292" max="12292" width="7.875" style="51" bestFit="1" customWidth="1"/>
    <col min="12293" max="12293" width="8.25" style="51" customWidth="1"/>
    <col min="12294" max="12294" width="8" style="51" customWidth="1"/>
    <col min="12295" max="12295" width="18.625" style="51" customWidth="1"/>
    <col min="12296" max="12537" width="9" style="51"/>
    <col min="12538" max="12538" width="1.375" style="51" customWidth="1"/>
    <col min="12539" max="12539" width="10.75" style="51" customWidth="1"/>
    <col min="12540" max="12540" width="17.75" style="51" bestFit="1" customWidth="1"/>
    <col min="12541" max="12541" width="11.625" style="51" bestFit="1" customWidth="1"/>
    <col min="12542" max="12542" width="7.625" style="51" customWidth="1"/>
    <col min="12543" max="12543" width="8" style="51" bestFit="1" customWidth="1"/>
    <col min="12544" max="12544" width="28.375" style="51" customWidth="1"/>
    <col min="12545" max="12545" width="8" style="51" bestFit="1" customWidth="1"/>
    <col min="12546" max="12546" width="9.125" style="51" bestFit="1" customWidth="1"/>
    <col min="12547" max="12547" width="8.125" style="51" customWidth="1"/>
    <col min="12548" max="12548" width="7.875" style="51" bestFit="1" customWidth="1"/>
    <col min="12549" max="12549" width="8.25" style="51" customWidth="1"/>
    <col min="12550" max="12550" width="8" style="51" customWidth="1"/>
    <col min="12551" max="12551" width="18.625" style="51" customWidth="1"/>
    <col min="12552" max="12793" width="9" style="51"/>
    <col min="12794" max="12794" width="1.375" style="51" customWidth="1"/>
    <col min="12795" max="12795" width="10.75" style="51" customWidth="1"/>
    <col min="12796" max="12796" width="17.75" style="51" bestFit="1" customWidth="1"/>
    <col min="12797" max="12797" width="11.625" style="51" bestFit="1" customWidth="1"/>
    <col min="12798" max="12798" width="7.625" style="51" customWidth="1"/>
    <col min="12799" max="12799" width="8" style="51" bestFit="1" customWidth="1"/>
    <col min="12800" max="12800" width="28.375" style="51" customWidth="1"/>
    <col min="12801" max="12801" width="8" style="51" bestFit="1" customWidth="1"/>
    <col min="12802" max="12802" width="9.125" style="51" bestFit="1" customWidth="1"/>
    <col min="12803" max="12803" width="8.125" style="51" customWidth="1"/>
    <col min="12804" max="12804" width="7.875" style="51" bestFit="1" customWidth="1"/>
    <col min="12805" max="12805" width="8.25" style="51" customWidth="1"/>
    <col min="12806" max="12806" width="8" style="51" customWidth="1"/>
    <col min="12807" max="12807" width="18.625" style="51" customWidth="1"/>
    <col min="12808" max="13049" width="9" style="51"/>
    <col min="13050" max="13050" width="1.375" style="51" customWidth="1"/>
    <col min="13051" max="13051" width="10.75" style="51" customWidth="1"/>
    <col min="13052" max="13052" width="17.75" style="51" bestFit="1" customWidth="1"/>
    <col min="13053" max="13053" width="11.625" style="51" bestFit="1" customWidth="1"/>
    <col min="13054" max="13054" width="7.625" style="51" customWidth="1"/>
    <col min="13055" max="13055" width="8" style="51" bestFit="1" customWidth="1"/>
    <col min="13056" max="13056" width="28.375" style="51" customWidth="1"/>
    <col min="13057" max="13057" width="8" style="51" bestFit="1" customWidth="1"/>
    <col min="13058" max="13058" width="9.125" style="51" bestFit="1" customWidth="1"/>
    <col min="13059" max="13059" width="8.125" style="51" customWidth="1"/>
    <col min="13060" max="13060" width="7.875" style="51" bestFit="1" customWidth="1"/>
    <col min="13061" max="13061" width="8.25" style="51" customWidth="1"/>
    <col min="13062" max="13062" width="8" style="51" customWidth="1"/>
    <col min="13063" max="13063" width="18.625" style="51" customWidth="1"/>
    <col min="13064" max="13305" width="9" style="51"/>
    <col min="13306" max="13306" width="1.375" style="51" customWidth="1"/>
    <col min="13307" max="13307" width="10.75" style="51" customWidth="1"/>
    <col min="13308" max="13308" width="17.75" style="51" bestFit="1" customWidth="1"/>
    <col min="13309" max="13309" width="11.625" style="51" bestFit="1" customWidth="1"/>
    <col min="13310" max="13310" width="7.625" style="51" customWidth="1"/>
    <col min="13311" max="13311" width="8" style="51" bestFit="1" customWidth="1"/>
    <col min="13312" max="13312" width="28.375" style="51" customWidth="1"/>
    <col min="13313" max="13313" width="8" style="51" bestFit="1" customWidth="1"/>
    <col min="13314" max="13314" width="9.125" style="51" bestFit="1" customWidth="1"/>
    <col min="13315" max="13315" width="8.125" style="51" customWidth="1"/>
    <col min="13316" max="13316" width="7.875" style="51" bestFit="1" customWidth="1"/>
    <col min="13317" max="13317" width="8.25" style="51" customWidth="1"/>
    <col min="13318" max="13318" width="8" style="51" customWidth="1"/>
    <col min="13319" max="13319" width="18.625" style="51" customWidth="1"/>
    <col min="13320" max="13561" width="9" style="51"/>
    <col min="13562" max="13562" width="1.375" style="51" customWidth="1"/>
    <col min="13563" max="13563" width="10.75" style="51" customWidth="1"/>
    <col min="13564" max="13564" width="17.75" style="51" bestFit="1" customWidth="1"/>
    <col min="13565" max="13565" width="11.625" style="51" bestFit="1" customWidth="1"/>
    <col min="13566" max="13566" width="7.625" style="51" customWidth="1"/>
    <col min="13567" max="13567" width="8" style="51" bestFit="1" customWidth="1"/>
    <col min="13568" max="13568" width="28.375" style="51" customWidth="1"/>
    <col min="13569" max="13569" width="8" style="51" bestFit="1" customWidth="1"/>
    <col min="13570" max="13570" width="9.125" style="51" bestFit="1" customWidth="1"/>
    <col min="13571" max="13571" width="8.125" style="51" customWidth="1"/>
    <col min="13572" max="13572" width="7.875" style="51" bestFit="1" customWidth="1"/>
    <col min="13573" max="13573" width="8.25" style="51" customWidth="1"/>
    <col min="13574" max="13574" width="8" style="51" customWidth="1"/>
    <col min="13575" max="13575" width="18.625" style="51" customWidth="1"/>
    <col min="13576" max="13817" width="9" style="51"/>
    <col min="13818" max="13818" width="1.375" style="51" customWidth="1"/>
    <col min="13819" max="13819" width="10.75" style="51" customWidth="1"/>
    <col min="13820" max="13820" width="17.75" style="51" bestFit="1" customWidth="1"/>
    <col min="13821" max="13821" width="11.625" style="51" bestFit="1" customWidth="1"/>
    <col min="13822" max="13822" width="7.625" style="51" customWidth="1"/>
    <col min="13823" max="13823" width="8" style="51" bestFit="1" customWidth="1"/>
    <col min="13824" max="13824" width="28.375" style="51" customWidth="1"/>
    <col min="13825" max="13825" width="8" style="51" bestFit="1" customWidth="1"/>
    <col min="13826" max="13826" width="9.125" style="51" bestFit="1" customWidth="1"/>
    <col min="13827" max="13827" width="8.125" style="51" customWidth="1"/>
    <col min="13828" max="13828" width="7.875" style="51" bestFit="1" customWidth="1"/>
    <col min="13829" max="13829" width="8.25" style="51" customWidth="1"/>
    <col min="13830" max="13830" width="8" style="51" customWidth="1"/>
    <col min="13831" max="13831" width="18.625" style="51" customWidth="1"/>
    <col min="13832" max="14073" width="9" style="51"/>
    <col min="14074" max="14074" width="1.375" style="51" customWidth="1"/>
    <col min="14075" max="14075" width="10.75" style="51" customWidth="1"/>
    <col min="14076" max="14076" width="17.75" style="51" bestFit="1" customWidth="1"/>
    <col min="14077" max="14077" width="11.625" style="51" bestFit="1" customWidth="1"/>
    <col min="14078" max="14078" width="7.625" style="51" customWidth="1"/>
    <col min="14079" max="14079" width="8" style="51" bestFit="1" customWidth="1"/>
    <col min="14080" max="14080" width="28.375" style="51" customWidth="1"/>
    <col min="14081" max="14081" width="8" style="51" bestFit="1" customWidth="1"/>
    <col min="14082" max="14082" width="9.125" style="51" bestFit="1" customWidth="1"/>
    <col min="14083" max="14083" width="8.125" style="51" customWidth="1"/>
    <col min="14084" max="14084" width="7.875" style="51" bestFit="1" customWidth="1"/>
    <col min="14085" max="14085" width="8.25" style="51" customWidth="1"/>
    <col min="14086" max="14086" width="8" style="51" customWidth="1"/>
    <col min="14087" max="14087" width="18.625" style="51" customWidth="1"/>
    <col min="14088" max="14329" width="9" style="51"/>
    <col min="14330" max="14330" width="1.375" style="51" customWidth="1"/>
    <col min="14331" max="14331" width="10.75" style="51" customWidth="1"/>
    <col min="14332" max="14332" width="17.75" style="51" bestFit="1" customWidth="1"/>
    <col min="14333" max="14333" width="11.625" style="51" bestFit="1" customWidth="1"/>
    <col min="14334" max="14334" width="7.625" style="51" customWidth="1"/>
    <col min="14335" max="14335" width="8" style="51" bestFit="1" customWidth="1"/>
    <col min="14336" max="14336" width="28.375" style="51" customWidth="1"/>
    <col min="14337" max="14337" width="8" style="51" bestFit="1" customWidth="1"/>
    <col min="14338" max="14338" width="9.125" style="51" bestFit="1" customWidth="1"/>
    <col min="14339" max="14339" width="8.125" style="51" customWidth="1"/>
    <col min="14340" max="14340" width="7.875" style="51" bestFit="1" customWidth="1"/>
    <col min="14341" max="14341" width="8.25" style="51" customWidth="1"/>
    <col min="14342" max="14342" width="8" style="51" customWidth="1"/>
    <col min="14343" max="14343" width="18.625" style="51" customWidth="1"/>
    <col min="14344" max="14585" width="9" style="51"/>
    <col min="14586" max="14586" width="1.375" style="51" customWidth="1"/>
    <col min="14587" max="14587" width="10.75" style="51" customWidth="1"/>
    <col min="14588" max="14588" width="17.75" style="51" bestFit="1" customWidth="1"/>
    <col min="14589" max="14589" width="11.625" style="51" bestFit="1" customWidth="1"/>
    <col min="14590" max="14590" width="7.625" style="51" customWidth="1"/>
    <col min="14591" max="14591" width="8" style="51" bestFit="1" customWidth="1"/>
    <col min="14592" max="14592" width="28.375" style="51" customWidth="1"/>
    <col min="14593" max="14593" width="8" style="51" bestFit="1" customWidth="1"/>
    <col min="14594" max="14594" width="9.125" style="51" bestFit="1" customWidth="1"/>
    <col min="14595" max="14595" width="8.125" style="51" customWidth="1"/>
    <col min="14596" max="14596" width="7.875" style="51" bestFit="1" customWidth="1"/>
    <col min="14597" max="14597" width="8.25" style="51" customWidth="1"/>
    <col min="14598" max="14598" width="8" style="51" customWidth="1"/>
    <col min="14599" max="14599" width="18.625" style="51" customWidth="1"/>
    <col min="14600" max="14841" width="9" style="51"/>
    <col min="14842" max="14842" width="1.375" style="51" customWidth="1"/>
    <col min="14843" max="14843" width="10.75" style="51" customWidth="1"/>
    <col min="14844" max="14844" width="17.75" style="51" bestFit="1" customWidth="1"/>
    <col min="14845" max="14845" width="11.625" style="51" bestFit="1" customWidth="1"/>
    <col min="14846" max="14846" width="7.625" style="51" customWidth="1"/>
    <col min="14847" max="14847" width="8" style="51" bestFit="1" customWidth="1"/>
    <col min="14848" max="14848" width="28.375" style="51" customWidth="1"/>
    <col min="14849" max="14849" width="8" style="51" bestFit="1" customWidth="1"/>
    <col min="14850" max="14850" width="9.125" style="51" bestFit="1" customWidth="1"/>
    <col min="14851" max="14851" width="8.125" style="51" customWidth="1"/>
    <col min="14852" max="14852" width="7.875" style="51" bestFit="1" customWidth="1"/>
    <col min="14853" max="14853" width="8.25" style="51" customWidth="1"/>
    <col min="14854" max="14854" width="8" style="51" customWidth="1"/>
    <col min="14855" max="14855" width="18.625" style="51" customWidth="1"/>
    <col min="14856" max="15097" width="9" style="51"/>
    <col min="15098" max="15098" width="1.375" style="51" customWidth="1"/>
    <col min="15099" max="15099" width="10.75" style="51" customWidth="1"/>
    <col min="15100" max="15100" width="17.75" style="51" bestFit="1" customWidth="1"/>
    <col min="15101" max="15101" width="11.625" style="51" bestFit="1" customWidth="1"/>
    <col min="15102" max="15102" width="7.625" style="51" customWidth="1"/>
    <col min="15103" max="15103" width="8" style="51" bestFit="1" customWidth="1"/>
    <col min="15104" max="15104" width="28.375" style="51" customWidth="1"/>
    <col min="15105" max="15105" width="8" style="51" bestFit="1" customWidth="1"/>
    <col min="15106" max="15106" width="9.125" style="51" bestFit="1" customWidth="1"/>
    <col min="15107" max="15107" width="8.125" style="51" customWidth="1"/>
    <col min="15108" max="15108" width="7.875" style="51" bestFit="1" customWidth="1"/>
    <col min="15109" max="15109" width="8.25" style="51" customWidth="1"/>
    <col min="15110" max="15110" width="8" style="51" customWidth="1"/>
    <col min="15111" max="15111" width="18.625" style="51" customWidth="1"/>
    <col min="15112" max="15353" width="9" style="51"/>
    <col min="15354" max="15354" width="1.375" style="51" customWidth="1"/>
    <col min="15355" max="15355" width="10.75" style="51" customWidth="1"/>
    <col min="15356" max="15356" width="17.75" style="51" bestFit="1" customWidth="1"/>
    <col min="15357" max="15357" width="11.625" style="51" bestFit="1" customWidth="1"/>
    <col min="15358" max="15358" width="7.625" style="51" customWidth="1"/>
    <col min="15359" max="15359" width="8" style="51" bestFit="1" customWidth="1"/>
    <col min="15360" max="15360" width="28.375" style="51" customWidth="1"/>
    <col min="15361" max="15361" width="8" style="51" bestFit="1" customWidth="1"/>
    <col min="15362" max="15362" width="9.125" style="51" bestFit="1" customWidth="1"/>
    <col min="15363" max="15363" width="8.125" style="51" customWidth="1"/>
    <col min="15364" max="15364" width="7.875" style="51" bestFit="1" customWidth="1"/>
    <col min="15365" max="15365" width="8.25" style="51" customWidth="1"/>
    <col min="15366" max="15366" width="8" style="51" customWidth="1"/>
    <col min="15367" max="15367" width="18.625" style="51" customWidth="1"/>
    <col min="15368" max="15609" width="9" style="51"/>
    <col min="15610" max="15610" width="1.375" style="51" customWidth="1"/>
    <col min="15611" max="15611" width="10.75" style="51" customWidth="1"/>
    <col min="15612" max="15612" width="17.75" style="51" bestFit="1" customWidth="1"/>
    <col min="15613" max="15613" width="11.625" style="51" bestFit="1" customWidth="1"/>
    <col min="15614" max="15614" width="7.625" style="51" customWidth="1"/>
    <col min="15615" max="15615" width="8" style="51" bestFit="1" customWidth="1"/>
    <col min="15616" max="15616" width="28.375" style="51" customWidth="1"/>
    <col min="15617" max="15617" width="8" style="51" bestFit="1" customWidth="1"/>
    <col min="15618" max="15618" width="9.125" style="51" bestFit="1" customWidth="1"/>
    <col min="15619" max="15619" width="8.125" style="51" customWidth="1"/>
    <col min="15620" max="15620" width="7.875" style="51" bestFit="1" customWidth="1"/>
    <col min="15621" max="15621" width="8.25" style="51" customWidth="1"/>
    <col min="15622" max="15622" width="8" style="51" customWidth="1"/>
    <col min="15623" max="15623" width="18.625" style="51" customWidth="1"/>
    <col min="15624" max="15865" width="9" style="51"/>
    <col min="15866" max="15866" width="1.375" style="51" customWidth="1"/>
    <col min="15867" max="15867" width="10.75" style="51" customWidth="1"/>
    <col min="15868" max="15868" width="17.75" style="51" bestFit="1" customWidth="1"/>
    <col min="15869" max="15869" width="11.625" style="51" bestFit="1" customWidth="1"/>
    <col min="15870" max="15870" width="7.625" style="51" customWidth="1"/>
    <col min="15871" max="15871" width="8" style="51" bestFit="1" customWidth="1"/>
    <col min="15872" max="15872" width="28.375" style="51" customWidth="1"/>
    <col min="15873" max="15873" width="8" style="51" bestFit="1" customWidth="1"/>
    <col min="15874" max="15874" width="9.125" style="51" bestFit="1" customWidth="1"/>
    <col min="15875" max="15875" width="8.125" style="51" customWidth="1"/>
    <col min="15876" max="15876" width="7.875" style="51" bestFit="1" customWidth="1"/>
    <col min="15877" max="15877" width="8.25" style="51" customWidth="1"/>
    <col min="15878" max="15878" width="8" style="51" customWidth="1"/>
    <col min="15879" max="15879" width="18.625" style="51" customWidth="1"/>
    <col min="15880" max="16121" width="9" style="51"/>
    <col min="16122" max="16122" width="1.375" style="51" customWidth="1"/>
    <col min="16123" max="16123" width="10.75" style="51" customWidth="1"/>
    <col min="16124" max="16124" width="17.75" style="51" bestFit="1" customWidth="1"/>
    <col min="16125" max="16125" width="11.625" style="51" bestFit="1" customWidth="1"/>
    <col min="16126" max="16126" width="7.625" style="51" customWidth="1"/>
    <col min="16127" max="16127" width="8" style="51" bestFit="1" customWidth="1"/>
    <col min="16128" max="16128" width="28.375" style="51" customWidth="1"/>
    <col min="16129" max="16129" width="8" style="51" bestFit="1" customWidth="1"/>
    <col min="16130" max="16130" width="9.125" style="51" bestFit="1" customWidth="1"/>
    <col min="16131" max="16131" width="8.125" style="51" customWidth="1"/>
    <col min="16132" max="16132" width="7.875" style="51" bestFit="1" customWidth="1"/>
    <col min="16133" max="16133" width="8.25" style="51" customWidth="1"/>
    <col min="16134" max="16134" width="8" style="51" customWidth="1"/>
    <col min="16135" max="16135" width="18.625" style="51" customWidth="1"/>
    <col min="16136" max="16384" width="9" style="51"/>
  </cols>
  <sheetData>
    <row r="1" spans="1:7" ht="20.25">
      <c r="A1" s="378" t="s">
        <v>825</v>
      </c>
      <c r="B1" s="378"/>
      <c r="C1" s="378"/>
      <c r="D1" s="378"/>
      <c r="E1" s="378"/>
      <c r="F1" s="378"/>
      <c r="G1" s="378"/>
    </row>
    <row r="2" spans="1:7">
      <c r="A2" s="52"/>
      <c r="B2" s="53"/>
      <c r="C2" s="54"/>
      <c r="D2" s="54"/>
      <c r="E2" s="55"/>
      <c r="F2" s="56"/>
      <c r="G2" s="56"/>
    </row>
    <row r="3" spans="1:7">
      <c r="A3" s="59" t="s">
        <v>803</v>
      </c>
      <c r="B3" s="60" t="s">
        <v>327</v>
      </c>
      <c r="C3" s="61" t="s">
        <v>328</v>
      </c>
      <c r="D3" s="62" t="s">
        <v>329</v>
      </c>
      <c r="E3" s="63" t="s">
        <v>805</v>
      </c>
      <c r="F3" s="64" t="s">
        <v>804</v>
      </c>
      <c r="G3" s="64" t="s">
        <v>330</v>
      </c>
    </row>
    <row r="4" spans="1:7">
      <c r="A4" s="57" t="s">
        <v>834</v>
      </c>
      <c r="B4" s="57" t="s">
        <v>331</v>
      </c>
      <c r="C4" s="57" t="s">
        <v>332</v>
      </c>
      <c r="D4" s="57" t="s">
        <v>333</v>
      </c>
      <c r="E4" s="57" t="s">
        <v>334</v>
      </c>
      <c r="F4" s="57" t="s">
        <v>335</v>
      </c>
      <c r="G4" s="57" t="s">
        <v>336</v>
      </c>
    </row>
    <row r="5" spans="1:7">
      <c r="A5" s="57" t="s">
        <v>835</v>
      </c>
      <c r="B5" s="57" t="s">
        <v>337</v>
      </c>
      <c r="C5" s="57" t="s">
        <v>338</v>
      </c>
      <c r="D5" s="57" t="s">
        <v>339</v>
      </c>
      <c r="E5" s="57" t="s">
        <v>340</v>
      </c>
      <c r="F5" s="57" t="s">
        <v>341</v>
      </c>
      <c r="G5" s="57" t="s">
        <v>342</v>
      </c>
    </row>
    <row r="6" spans="1:7">
      <c r="A6" s="57" t="s">
        <v>836</v>
      </c>
      <c r="B6" s="57" t="s">
        <v>1</v>
      </c>
      <c r="C6" s="57" t="s">
        <v>4</v>
      </c>
      <c r="D6" s="57" t="s">
        <v>2</v>
      </c>
      <c r="E6" s="57" t="s">
        <v>340</v>
      </c>
      <c r="F6" s="57" t="s">
        <v>3</v>
      </c>
      <c r="G6" s="57" t="s">
        <v>343</v>
      </c>
    </row>
    <row r="7" spans="1:7">
      <c r="A7" s="57" t="s">
        <v>837</v>
      </c>
      <c r="B7" s="57" t="s">
        <v>344</v>
      </c>
      <c r="C7" s="57" t="s">
        <v>53</v>
      </c>
      <c r="D7" s="57" t="s">
        <v>345</v>
      </c>
      <c r="E7" s="57" t="s">
        <v>346</v>
      </c>
      <c r="F7" s="57" t="s">
        <v>347</v>
      </c>
      <c r="G7" s="57" t="s">
        <v>348</v>
      </c>
    </row>
    <row r="8" spans="1:7">
      <c r="A8" s="57" t="s">
        <v>838</v>
      </c>
      <c r="B8" s="57" t="s">
        <v>349</v>
      </c>
      <c r="C8" s="57" t="s">
        <v>350</v>
      </c>
      <c r="D8" s="57" t="s">
        <v>351</v>
      </c>
      <c r="E8" s="57" t="s">
        <v>352</v>
      </c>
      <c r="F8" s="57" t="s">
        <v>353</v>
      </c>
      <c r="G8" s="57" t="s">
        <v>354</v>
      </c>
    </row>
    <row r="9" spans="1:7">
      <c r="A9" s="57" t="s">
        <v>839</v>
      </c>
      <c r="B9" s="57" t="s">
        <v>355</v>
      </c>
      <c r="C9" s="57" t="s">
        <v>54</v>
      </c>
      <c r="D9" s="57" t="s">
        <v>356</v>
      </c>
      <c r="E9" s="57" t="s">
        <v>340</v>
      </c>
      <c r="F9" s="57" t="s">
        <v>357</v>
      </c>
      <c r="G9" s="57" t="s">
        <v>358</v>
      </c>
    </row>
    <row r="10" spans="1:7">
      <c r="A10" s="57" t="s">
        <v>840</v>
      </c>
      <c r="B10" s="57" t="s">
        <v>359</v>
      </c>
      <c r="C10" s="57" t="s">
        <v>360</v>
      </c>
      <c r="D10" s="57" t="s">
        <v>361</v>
      </c>
      <c r="E10" s="57" t="s">
        <v>340</v>
      </c>
      <c r="F10" s="57" t="s">
        <v>362</v>
      </c>
      <c r="G10" s="57" t="s">
        <v>363</v>
      </c>
    </row>
    <row r="11" spans="1:7">
      <c r="A11" s="57" t="s">
        <v>841</v>
      </c>
      <c r="B11" s="57" t="s">
        <v>364</v>
      </c>
      <c r="C11" s="57" t="s">
        <v>365</v>
      </c>
      <c r="D11" s="57" t="s">
        <v>366</v>
      </c>
      <c r="E11" s="57" t="s">
        <v>367</v>
      </c>
      <c r="F11" s="57" t="s">
        <v>368</v>
      </c>
      <c r="G11" s="57" t="s">
        <v>369</v>
      </c>
    </row>
    <row r="12" spans="1:7">
      <c r="A12" s="57" t="s">
        <v>842</v>
      </c>
      <c r="B12" s="57" t="s">
        <v>370</v>
      </c>
      <c r="C12" s="57" t="s">
        <v>371</v>
      </c>
      <c r="D12" s="57" t="s">
        <v>372</v>
      </c>
      <c r="E12" s="57" t="s">
        <v>340</v>
      </c>
      <c r="F12" s="57" t="s">
        <v>373</v>
      </c>
      <c r="G12" s="57" t="s">
        <v>374</v>
      </c>
    </row>
    <row r="13" spans="1:7">
      <c r="A13" s="57" t="s">
        <v>843</v>
      </c>
      <c r="B13" s="57" t="s">
        <v>375</v>
      </c>
      <c r="C13" s="57" t="s">
        <v>376</v>
      </c>
      <c r="D13" s="57" t="s">
        <v>377</v>
      </c>
      <c r="E13" s="57" t="s">
        <v>367</v>
      </c>
      <c r="F13" s="57" t="s">
        <v>378</v>
      </c>
      <c r="G13" s="57" t="s">
        <v>379</v>
      </c>
    </row>
    <row r="14" spans="1:7">
      <c r="A14" s="57" t="s">
        <v>844</v>
      </c>
      <c r="B14" s="57" t="s">
        <v>380</v>
      </c>
      <c r="C14" s="57" t="s">
        <v>381</v>
      </c>
      <c r="D14" s="57" t="s">
        <v>382</v>
      </c>
      <c r="E14" s="57" t="s">
        <v>383</v>
      </c>
      <c r="F14" s="57" t="s">
        <v>384</v>
      </c>
      <c r="G14" s="57" t="s">
        <v>385</v>
      </c>
    </row>
    <row r="15" spans="1:7">
      <c r="A15" s="57" t="s">
        <v>845</v>
      </c>
      <c r="B15" s="57" t="s">
        <v>386</v>
      </c>
      <c r="C15" s="57" t="s">
        <v>387</v>
      </c>
      <c r="D15" s="57" t="s">
        <v>388</v>
      </c>
      <c r="E15" s="57" t="s">
        <v>340</v>
      </c>
      <c r="F15" s="57" t="s">
        <v>389</v>
      </c>
      <c r="G15" s="57" t="s">
        <v>390</v>
      </c>
    </row>
    <row r="16" spans="1:7">
      <c r="A16" s="57" t="s">
        <v>846</v>
      </c>
      <c r="B16" s="57" t="s">
        <v>391</v>
      </c>
      <c r="C16" s="57" t="s">
        <v>392</v>
      </c>
      <c r="D16" s="57" t="s">
        <v>393</v>
      </c>
      <c r="E16" s="57" t="s">
        <v>346</v>
      </c>
      <c r="F16" s="57" t="s">
        <v>394</v>
      </c>
      <c r="G16" s="57" t="s">
        <v>395</v>
      </c>
    </row>
    <row r="17" spans="1:7">
      <c r="A17" s="57" t="s">
        <v>847</v>
      </c>
      <c r="B17" s="57" t="s">
        <v>396</v>
      </c>
      <c r="C17" s="57" t="s">
        <v>397</v>
      </c>
      <c r="D17" s="57" t="s">
        <v>398</v>
      </c>
      <c r="E17" s="57" t="s">
        <v>340</v>
      </c>
      <c r="F17" s="57" t="s">
        <v>399</v>
      </c>
      <c r="G17" s="57" t="s">
        <v>400</v>
      </c>
    </row>
    <row r="18" spans="1:7">
      <c r="A18" s="57" t="s">
        <v>848</v>
      </c>
      <c r="B18" s="57" t="s">
        <v>401</v>
      </c>
      <c r="C18" s="57" t="s">
        <v>402</v>
      </c>
      <c r="D18" s="57" t="s">
        <v>403</v>
      </c>
      <c r="E18" s="57" t="s">
        <v>340</v>
      </c>
      <c r="F18" s="57" t="s">
        <v>404</v>
      </c>
      <c r="G18" s="57" t="s">
        <v>405</v>
      </c>
    </row>
    <row r="19" spans="1:7">
      <c r="A19" s="57" t="s">
        <v>849</v>
      </c>
      <c r="B19" s="57" t="s">
        <v>406</v>
      </c>
      <c r="C19" s="57" t="s">
        <v>407</v>
      </c>
      <c r="D19" s="57" t="s">
        <v>408</v>
      </c>
      <c r="E19" s="57" t="s">
        <v>409</v>
      </c>
      <c r="F19" s="57" t="s">
        <v>410</v>
      </c>
      <c r="G19" s="57" t="s">
        <v>411</v>
      </c>
    </row>
    <row r="20" spans="1:7">
      <c r="A20" s="57" t="s">
        <v>850</v>
      </c>
      <c r="B20" s="57" t="s">
        <v>412</v>
      </c>
      <c r="C20" s="57" t="s">
        <v>413</v>
      </c>
      <c r="D20" s="57" t="s">
        <v>414</v>
      </c>
      <c r="E20" s="57" t="s">
        <v>340</v>
      </c>
      <c r="F20" s="57" t="s">
        <v>415</v>
      </c>
      <c r="G20" s="57" t="s">
        <v>416</v>
      </c>
    </row>
    <row r="21" spans="1:7">
      <c r="A21" s="57" t="s">
        <v>851</v>
      </c>
      <c r="B21" s="57" t="s">
        <v>417</v>
      </c>
      <c r="C21" s="57" t="s">
        <v>418</v>
      </c>
      <c r="D21" s="57" t="s">
        <v>419</v>
      </c>
      <c r="E21" s="57" t="s">
        <v>340</v>
      </c>
      <c r="F21" s="57" t="s">
        <v>420</v>
      </c>
      <c r="G21" s="57" t="s">
        <v>421</v>
      </c>
    </row>
    <row r="22" spans="1:7">
      <c r="A22" s="57" t="s">
        <v>852</v>
      </c>
      <c r="B22" s="57" t="s">
        <v>422</v>
      </c>
      <c r="C22" s="57" t="s">
        <v>423</v>
      </c>
      <c r="D22" s="57" t="s">
        <v>424</v>
      </c>
      <c r="E22" s="57" t="s">
        <v>425</v>
      </c>
      <c r="F22" s="57" t="s">
        <v>426</v>
      </c>
      <c r="G22" s="57" t="s">
        <v>426</v>
      </c>
    </row>
    <row r="23" spans="1:7">
      <c r="A23" s="57" t="s">
        <v>853</v>
      </c>
      <c r="B23" s="57" t="s">
        <v>427</v>
      </c>
      <c r="C23" s="57" t="s">
        <v>428</v>
      </c>
      <c r="D23" s="57" t="s">
        <v>429</v>
      </c>
      <c r="E23" s="57" t="s">
        <v>346</v>
      </c>
      <c r="F23" s="57" t="s">
        <v>430</v>
      </c>
      <c r="G23" s="57" t="s">
        <v>431</v>
      </c>
    </row>
    <row r="24" spans="1:7">
      <c r="A24" s="57" t="s">
        <v>854</v>
      </c>
      <c r="B24" s="57" t="s">
        <v>432</v>
      </c>
      <c r="C24" s="57" t="s">
        <v>433</v>
      </c>
      <c r="D24" s="57" t="s">
        <v>434</v>
      </c>
      <c r="E24" s="57" t="s">
        <v>340</v>
      </c>
      <c r="F24" s="57" t="s">
        <v>435</v>
      </c>
      <c r="G24" s="57" t="s">
        <v>436</v>
      </c>
    </row>
    <row r="25" spans="1:7">
      <c r="A25" s="57" t="s">
        <v>855</v>
      </c>
      <c r="B25" s="57" t="s">
        <v>437</v>
      </c>
      <c r="C25" s="57" t="s">
        <v>438</v>
      </c>
      <c r="D25" s="57" t="s">
        <v>439</v>
      </c>
      <c r="E25" s="57" t="s">
        <v>352</v>
      </c>
      <c r="F25" s="57" t="s">
        <v>440</v>
      </c>
      <c r="G25" s="57" t="s">
        <v>441</v>
      </c>
    </row>
    <row r="26" spans="1:7">
      <c r="A26" s="57" t="s">
        <v>856</v>
      </c>
      <c r="B26" s="57" t="s">
        <v>442</v>
      </c>
      <c r="C26" s="57" t="s">
        <v>443</v>
      </c>
      <c r="D26" s="57" t="s">
        <v>444</v>
      </c>
      <c r="E26" s="57" t="s">
        <v>340</v>
      </c>
      <c r="F26" s="57" t="s">
        <v>445</v>
      </c>
      <c r="G26" s="57" t="s">
        <v>445</v>
      </c>
    </row>
    <row r="27" spans="1:7">
      <c r="A27" s="57" t="s">
        <v>857</v>
      </c>
      <c r="B27" s="57" t="s">
        <v>446</v>
      </c>
      <c r="C27" s="57" t="s">
        <v>447</v>
      </c>
      <c r="D27" s="57" t="s">
        <v>448</v>
      </c>
      <c r="E27" s="57" t="s">
        <v>449</v>
      </c>
      <c r="F27" s="57" t="s">
        <v>450</v>
      </c>
      <c r="G27" s="57" t="s">
        <v>451</v>
      </c>
    </row>
    <row r="28" spans="1:7">
      <c r="A28" s="57" t="s">
        <v>858</v>
      </c>
      <c r="B28" s="57" t="s">
        <v>452</v>
      </c>
      <c r="C28" s="57" t="s">
        <v>453</v>
      </c>
      <c r="D28" s="57" t="s">
        <v>454</v>
      </c>
      <c r="E28" s="57" t="s">
        <v>340</v>
      </c>
      <c r="F28" s="57" t="s">
        <v>455</v>
      </c>
      <c r="G28" s="57" t="s">
        <v>456</v>
      </c>
    </row>
    <row r="29" spans="1:7">
      <c r="A29" s="57" t="s">
        <v>859</v>
      </c>
      <c r="B29" s="57" t="s">
        <v>457</v>
      </c>
      <c r="C29" s="57" t="s">
        <v>458</v>
      </c>
      <c r="D29" s="57" t="s">
        <v>459</v>
      </c>
      <c r="E29" s="57" t="s">
        <v>460</v>
      </c>
      <c r="F29" s="57" t="s">
        <v>461</v>
      </c>
      <c r="G29" s="57" t="s">
        <v>461</v>
      </c>
    </row>
    <row r="30" spans="1:7">
      <c r="A30" s="57" t="s">
        <v>860</v>
      </c>
      <c r="B30" s="57" t="s">
        <v>462</v>
      </c>
      <c r="C30" s="57" t="s">
        <v>463</v>
      </c>
      <c r="D30" s="57" t="s">
        <v>464</v>
      </c>
      <c r="E30" s="57" t="s">
        <v>340</v>
      </c>
      <c r="F30" s="57" t="s">
        <v>465</v>
      </c>
      <c r="G30" s="57" t="s">
        <v>466</v>
      </c>
    </row>
    <row r="31" spans="1:7">
      <c r="A31" s="57" t="s">
        <v>861</v>
      </c>
      <c r="B31" s="57" t="s">
        <v>467</v>
      </c>
      <c r="C31" s="57" t="s">
        <v>468</v>
      </c>
      <c r="D31" s="57" t="s">
        <v>469</v>
      </c>
      <c r="E31" s="57" t="s">
        <v>449</v>
      </c>
      <c r="F31" s="57" t="s">
        <v>470</v>
      </c>
      <c r="G31" s="57" t="s">
        <v>471</v>
      </c>
    </row>
    <row r="32" spans="1:7">
      <c r="A32" s="57" t="s">
        <v>862</v>
      </c>
      <c r="B32" s="57" t="s">
        <v>472</v>
      </c>
      <c r="C32" s="57" t="s">
        <v>473</v>
      </c>
      <c r="D32" s="57" t="s">
        <v>474</v>
      </c>
      <c r="E32" s="57" t="s">
        <v>340</v>
      </c>
      <c r="F32" s="57" t="s">
        <v>475</v>
      </c>
      <c r="G32" s="57" t="s">
        <v>476</v>
      </c>
    </row>
    <row r="33" spans="1:7">
      <c r="A33" s="57" t="s">
        <v>863</v>
      </c>
      <c r="B33" s="57" t="s">
        <v>477</v>
      </c>
      <c r="C33" s="57" t="s">
        <v>478</v>
      </c>
      <c r="D33" s="57" t="s">
        <v>479</v>
      </c>
      <c r="E33" s="57" t="s">
        <v>340</v>
      </c>
      <c r="F33" s="57" t="s">
        <v>480</v>
      </c>
      <c r="G33" s="57" t="s">
        <v>481</v>
      </c>
    </row>
    <row r="34" spans="1:7">
      <c r="A34" s="57" t="s">
        <v>864</v>
      </c>
      <c r="B34" s="57" t="s">
        <v>482</v>
      </c>
      <c r="C34" s="57" t="s">
        <v>483</v>
      </c>
      <c r="D34" s="57" t="s">
        <v>484</v>
      </c>
      <c r="E34" s="57" t="s">
        <v>485</v>
      </c>
      <c r="F34" s="57" t="s">
        <v>486</v>
      </c>
      <c r="G34" s="57" t="s">
        <v>487</v>
      </c>
    </row>
    <row r="35" spans="1:7">
      <c r="A35" s="57" t="s">
        <v>865</v>
      </c>
      <c r="B35" s="57" t="s">
        <v>488</v>
      </c>
      <c r="C35" s="57" t="s">
        <v>489</v>
      </c>
      <c r="D35" s="57" t="s">
        <v>490</v>
      </c>
      <c r="E35" s="57" t="s">
        <v>340</v>
      </c>
      <c r="F35" s="57" t="s">
        <v>491</v>
      </c>
      <c r="G35" s="57" t="s">
        <v>492</v>
      </c>
    </row>
    <row r="36" spans="1:7">
      <c r="A36" s="57" t="s">
        <v>866</v>
      </c>
      <c r="B36" s="57" t="s">
        <v>493</v>
      </c>
      <c r="C36" s="57" t="s">
        <v>494</v>
      </c>
      <c r="D36" s="57" t="s">
        <v>495</v>
      </c>
      <c r="E36" s="57" t="s">
        <v>340</v>
      </c>
      <c r="F36" s="57" t="s">
        <v>496</v>
      </c>
      <c r="G36" s="57" t="s">
        <v>497</v>
      </c>
    </row>
    <row r="37" spans="1:7">
      <c r="A37" s="57" t="s">
        <v>867</v>
      </c>
      <c r="B37" s="57" t="s">
        <v>498</v>
      </c>
      <c r="C37" s="57" t="s">
        <v>499</v>
      </c>
      <c r="D37" s="57" t="s">
        <v>500</v>
      </c>
      <c r="E37" s="57" t="s">
        <v>501</v>
      </c>
      <c r="F37" s="57" t="s">
        <v>502</v>
      </c>
      <c r="G37" s="57" t="s">
        <v>503</v>
      </c>
    </row>
    <row r="38" spans="1:7">
      <c r="A38" s="57" t="s">
        <v>868</v>
      </c>
      <c r="B38" s="57" t="s">
        <v>504</v>
      </c>
      <c r="C38" s="57" t="s">
        <v>505</v>
      </c>
      <c r="D38" s="57" t="s">
        <v>506</v>
      </c>
      <c r="E38" s="57" t="s">
        <v>507</v>
      </c>
      <c r="F38" s="57" t="s">
        <v>508</v>
      </c>
      <c r="G38" s="57" t="s">
        <v>509</v>
      </c>
    </row>
    <row r="39" spans="1:7">
      <c r="A39" s="57" t="s">
        <v>869</v>
      </c>
      <c r="B39" s="57" t="s">
        <v>510</v>
      </c>
      <c r="C39" s="57" t="s">
        <v>511</v>
      </c>
      <c r="D39" s="57" t="s">
        <v>512</v>
      </c>
      <c r="E39" s="57" t="s">
        <v>340</v>
      </c>
      <c r="F39" s="57" t="s">
        <v>513</v>
      </c>
      <c r="G39" s="57" t="s">
        <v>514</v>
      </c>
    </row>
    <row r="40" spans="1:7">
      <c r="A40" s="57" t="s">
        <v>870</v>
      </c>
      <c r="B40" s="57" t="s">
        <v>515</v>
      </c>
      <c r="C40" s="57" t="s">
        <v>516</v>
      </c>
      <c r="D40" s="57" t="s">
        <v>517</v>
      </c>
      <c r="E40" s="57" t="s">
        <v>367</v>
      </c>
      <c r="F40" s="57" t="s">
        <v>518</v>
      </c>
      <c r="G40" s="57" t="s">
        <v>519</v>
      </c>
    </row>
    <row r="41" spans="1:7">
      <c r="A41" s="57" t="s">
        <v>871</v>
      </c>
      <c r="B41" s="57" t="s">
        <v>520</v>
      </c>
      <c r="C41" s="57" t="s">
        <v>521</v>
      </c>
      <c r="D41" s="57" t="s">
        <v>522</v>
      </c>
      <c r="E41" s="57" t="s">
        <v>340</v>
      </c>
      <c r="F41" s="57" t="s">
        <v>523</v>
      </c>
      <c r="G41" s="57" t="s">
        <v>524</v>
      </c>
    </row>
    <row r="42" spans="1:7">
      <c r="A42" s="57" t="s">
        <v>872</v>
      </c>
      <c r="B42" s="57" t="s">
        <v>525</v>
      </c>
      <c r="C42" s="57" t="s">
        <v>526</v>
      </c>
      <c r="D42" s="57" t="s">
        <v>527</v>
      </c>
      <c r="E42" s="57" t="s">
        <v>346</v>
      </c>
      <c r="F42" s="57" t="s">
        <v>528</v>
      </c>
      <c r="G42" s="57" t="s">
        <v>529</v>
      </c>
    </row>
    <row r="43" spans="1:7">
      <c r="A43" s="57" t="s">
        <v>873</v>
      </c>
      <c r="B43" s="57" t="s">
        <v>530</v>
      </c>
      <c r="C43" s="57" t="s">
        <v>531</v>
      </c>
      <c r="D43" s="57" t="s">
        <v>532</v>
      </c>
      <c r="E43" s="57" t="s">
        <v>340</v>
      </c>
      <c r="F43" s="57" t="s">
        <v>533</v>
      </c>
      <c r="G43" s="57" t="s">
        <v>534</v>
      </c>
    </row>
    <row r="44" spans="1:7">
      <c r="A44" s="57" t="s">
        <v>874</v>
      </c>
      <c r="B44" s="57" t="s">
        <v>535</v>
      </c>
      <c r="C44" s="57" t="s">
        <v>536</v>
      </c>
      <c r="D44" s="57" t="s">
        <v>537</v>
      </c>
      <c r="E44" s="57" t="s">
        <v>352</v>
      </c>
      <c r="F44" s="57" t="s">
        <v>538</v>
      </c>
      <c r="G44" s="57" t="s">
        <v>539</v>
      </c>
    </row>
    <row r="45" spans="1:7">
      <c r="A45" s="57" t="s">
        <v>875</v>
      </c>
      <c r="B45" s="57" t="s">
        <v>540</v>
      </c>
      <c r="C45" s="57" t="s">
        <v>541</v>
      </c>
      <c r="D45" s="57" t="s">
        <v>542</v>
      </c>
      <c r="E45" s="57" t="s">
        <v>340</v>
      </c>
      <c r="F45" s="57" t="s">
        <v>543</v>
      </c>
      <c r="G45" s="57" t="s">
        <v>544</v>
      </c>
    </row>
    <row r="46" spans="1:7">
      <c r="A46" s="57" t="s">
        <v>876</v>
      </c>
      <c r="B46" s="57" t="s">
        <v>545</v>
      </c>
      <c r="C46" s="57" t="s">
        <v>546</v>
      </c>
      <c r="D46" s="57" t="s">
        <v>547</v>
      </c>
      <c r="E46" s="57" t="s">
        <v>548</v>
      </c>
      <c r="F46" s="57" t="s">
        <v>549</v>
      </c>
      <c r="G46" s="57" t="s">
        <v>550</v>
      </c>
    </row>
    <row r="47" spans="1:7">
      <c r="A47" s="57" t="s">
        <v>877</v>
      </c>
      <c r="B47" s="57" t="s">
        <v>551</v>
      </c>
      <c r="C47" s="57" t="s">
        <v>552</v>
      </c>
      <c r="D47" s="57" t="s">
        <v>553</v>
      </c>
      <c r="E47" s="57" t="s">
        <v>340</v>
      </c>
      <c r="F47" s="57" t="s">
        <v>554</v>
      </c>
      <c r="G47" s="57" t="s">
        <v>555</v>
      </c>
    </row>
    <row r="48" spans="1:7">
      <c r="A48" s="57" t="s">
        <v>878</v>
      </c>
      <c r="B48" s="57" t="s">
        <v>556</v>
      </c>
      <c r="C48" s="57" t="s">
        <v>557</v>
      </c>
      <c r="D48" s="57" t="s">
        <v>558</v>
      </c>
      <c r="E48" s="57" t="s">
        <v>559</v>
      </c>
      <c r="F48" s="57" t="s">
        <v>560</v>
      </c>
      <c r="G48" s="57" t="s">
        <v>561</v>
      </c>
    </row>
    <row r="49" spans="1:7">
      <c r="A49" s="57" t="s">
        <v>879</v>
      </c>
      <c r="B49" s="57" t="s">
        <v>562</v>
      </c>
      <c r="C49" s="57" t="s">
        <v>563</v>
      </c>
      <c r="D49" s="57" t="s">
        <v>564</v>
      </c>
      <c r="E49" s="57" t="s">
        <v>340</v>
      </c>
      <c r="F49" s="57" t="s">
        <v>565</v>
      </c>
      <c r="G49" s="57" t="s">
        <v>566</v>
      </c>
    </row>
    <row r="50" spans="1:7">
      <c r="A50" s="57" t="s">
        <v>880</v>
      </c>
      <c r="B50" s="57" t="s">
        <v>567</v>
      </c>
      <c r="C50" s="57" t="s">
        <v>568</v>
      </c>
      <c r="D50" s="57" t="s">
        <v>569</v>
      </c>
      <c r="E50" s="57" t="s">
        <v>340</v>
      </c>
      <c r="F50" s="57" t="s">
        <v>570</v>
      </c>
      <c r="G50" s="57" t="s">
        <v>571</v>
      </c>
    </row>
    <row r="51" spans="1:7">
      <c r="A51" s="57" t="s">
        <v>881</v>
      </c>
      <c r="B51" s="57" t="s">
        <v>572</v>
      </c>
      <c r="C51" s="57" t="s">
        <v>573</v>
      </c>
      <c r="D51" s="57" t="s">
        <v>574</v>
      </c>
      <c r="E51" s="57" t="s">
        <v>575</v>
      </c>
      <c r="F51" s="57" t="s">
        <v>576</v>
      </c>
      <c r="G51" s="57" t="s">
        <v>577</v>
      </c>
    </row>
    <row r="52" spans="1:7">
      <c r="A52" s="57" t="s">
        <v>882</v>
      </c>
      <c r="B52" s="57" t="s">
        <v>578</v>
      </c>
      <c r="C52" s="57" t="s">
        <v>579</v>
      </c>
      <c r="D52" s="57" t="s">
        <v>580</v>
      </c>
      <c r="E52" s="57" t="s">
        <v>340</v>
      </c>
      <c r="F52" s="57" t="s">
        <v>581</v>
      </c>
      <c r="G52" s="57" t="s">
        <v>582</v>
      </c>
    </row>
    <row r="53" spans="1:7">
      <c r="A53" s="57" t="s">
        <v>883</v>
      </c>
      <c r="B53" s="57" t="s">
        <v>583</v>
      </c>
      <c r="C53" s="57" t="s">
        <v>584</v>
      </c>
      <c r="D53" s="57" t="s">
        <v>585</v>
      </c>
      <c r="E53" s="57" t="s">
        <v>586</v>
      </c>
      <c r="F53" s="57" t="s">
        <v>587</v>
      </c>
      <c r="G53" s="57" t="s">
        <v>588</v>
      </c>
    </row>
    <row r="54" spans="1:7">
      <c r="A54" s="57" t="s">
        <v>884</v>
      </c>
      <c r="B54" s="57" t="s">
        <v>589</v>
      </c>
      <c r="C54" s="57" t="s">
        <v>590</v>
      </c>
      <c r="D54" s="57" t="s">
        <v>591</v>
      </c>
      <c r="E54" s="57" t="s">
        <v>592</v>
      </c>
      <c r="F54" s="57" t="s">
        <v>593</v>
      </c>
      <c r="G54" s="57" t="s">
        <v>594</v>
      </c>
    </row>
    <row r="55" spans="1:7">
      <c r="A55" s="57" t="s">
        <v>885</v>
      </c>
      <c r="B55" s="57" t="s">
        <v>595</v>
      </c>
      <c r="C55" s="57" t="s">
        <v>596</v>
      </c>
      <c r="D55" s="57" t="s">
        <v>597</v>
      </c>
      <c r="E55" s="57" t="s">
        <v>340</v>
      </c>
      <c r="F55" s="57" t="s">
        <v>598</v>
      </c>
      <c r="G55" s="57" t="s">
        <v>599</v>
      </c>
    </row>
    <row r="56" spans="1:7">
      <c r="A56" s="57" t="s">
        <v>886</v>
      </c>
      <c r="B56" s="57" t="s">
        <v>600</v>
      </c>
      <c r="C56" s="57" t="s">
        <v>601</v>
      </c>
      <c r="D56" s="57" t="s">
        <v>602</v>
      </c>
      <c r="E56" s="57" t="s">
        <v>340</v>
      </c>
      <c r="F56" s="57" t="s">
        <v>603</v>
      </c>
      <c r="G56" s="57" t="s">
        <v>604</v>
      </c>
    </row>
    <row r="57" spans="1:7">
      <c r="A57" s="57" t="s">
        <v>887</v>
      </c>
      <c r="B57" s="57" t="s">
        <v>605</v>
      </c>
      <c r="C57" s="57" t="s">
        <v>606</v>
      </c>
      <c r="D57" s="57" t="s">
        <v>607</v>
      </c>
      <c r="E57" s="57" t="s">
        <v>340</v>
      </c>
      <c r="F57" s="57" t="s">
        <v>608</v>
      </c>
      <c r="G57" s="57" t="s">
        <v>609</v>
      </c>
    </row>
    <row r="58" spans="1:7">
      <c r="A58" s="57" t="s">
        <v>888</v>
      </c>
      <c r="B58" s="57" t="s">
        <v>610</v>
      </c>
      <c r="C58" s="57" t="s">
        <v>611</v>
      </c>
      <c r="D58" s="57" t="s">
        <v>612</v>
      </c>
      <c r="E58" s="57" t="s">
        <v>340</v>
      </c>
      <c r="F58" s="57" t="s">
        <v>613</v>
      </c>
      <c r="G58" s="57" t="s">
        <v>614</v>
      </c>
    </row>
    <row r="59" spans="1:7">
      <c r="A59" s="57" t="s">
        <v>889</v>
      </c>
      <c r="B59" s="57" t="s">
        <v>615</v>
      </c>
      <c r="C59" s="57" t="s">
        <v>53</v>
      </c>
      <c r="D59" s="57" t="s">
        <v>616</v>
      </c>
      <c r="E59" s="57" t="s">
        <v>617</v>
      </c>
      <c r="F59" s="57" t="s">
        <v>618</v>
      </c>
      <c r="G59" s="57" t="s">
        <v>619</v>
      </c>
    </row>
    <row r="60" spans="1:7">
      <c r="A60" s="57" t="s">
        <v>890</v>
      </c>
      <c r="B60" s="57" t="s">
        <v>620</v>
      </c>
      <c r="C60" s="57" t="s">
        <v>621</v>
      </c>
      <c r="D60" s="57" t="s">
        <v>622</v>
      </c>
      <c r="E60" s="57" t="s">
        <v>340</v>
      </c>
      <c r="F60" s="57" t="s">
        <v>623</v>
      </c>
      <c r="G60" s="57" t="s">
        <v>624</v>
      </c>
    </row>
    <row r="61" spans="1:7">
      <c r="A61" s="57" t="s">
        <v>891</v>
      </c>
      <c r="B61" s="57" t="s">
        <v>625</v>
      </c>
      <c r="C61" s="57" t="s">
        <v>626</v>
      </c>
      <c r="D61" s="57" t="s">
        <v>627</v>
      </c>
      <c r="E61" s="57" t="s">
        <v>367</v>
      </c>
      <c r="F61" s="57" t="s">
        <v>628</v>
      </c>
      <c r="G61" s="57" t="s">
        <v>629</v>
      </c>
    </row>
    <row r="62" spans="1:7">
      <c r="A62" s="57" t="s">
        <v>892</v>
      </c>
      <c r="B62" s="57" t="s">
        <v>630</v>
      </c>
      <c r="C62" s="57" t="s">
        <v>631</v>
      </c>
      <c r="D62" s="57" t="s">
        <v>632</v>
      </c>
      <c r="E62" s="57" t="s">
        <v>340</v>
      </c>
      <c r="F62" s="57" t="s">
        <v>633</v>
      </c>
      <c r="G62" s="57" t="s">
        <v>634</v>
      </c>
    </row>
    <row r="63" spans="1:7">
      <c r="A63" s="57" t="s">
        <v>893</v>
      </c>
      <c r="B63" s="57" t="s">
        <v>635</v>
      </c>
      <c r="C63" s="57" t="s">
        <v>636</v>
      </c>
      <c r="D63" s="57" t="s">
        <v>637</v>
      </c>
      <c r="E63" s="57" t="s">
        <v>638</v>
      </c>
      <c r="F63" s="57" t="s">
        <v>639</v>
      </c>
      <c r="G63" s="57" t="s">
        <v>640</v>
      </c>
    </row>
    <row r="64" spans="1:7">
      <c r="A64" s="57" t="s">
        <v>894</v>
      </c>
      <c r="B64" s="57" t="s">
        <v>641</v>
      </c>
      <c r="C64" s="57" t="s">
        <v>642</v>
      </c>
      <c r="D64" s="57" t="s">
        <v>643</v>
      </c>
      <c r="E64" s="57" t="s">
        <v>352</v>
      </c>
      <c r="F64" s="57" t="s">
        <v>644</v>
      </c>
      <c r="G64" s="57" t="s">
        <v>645</v>
      </c>
    </row>
    <row r="65" spans="1:7">
      <c r="A65" s="57" t="s">
        <v>895</v>
      </c>
      <c r="B65" s="57" t="s">
        <v>646</v>
      </c>
      <c r="C65" s="57" t="s">
        <v>647</v>
      </c>
      <c r="D65" s="57" t="s">
        <v>648</v>
      </c>
      <c r="E65" s="57" t="s">
        <v>340</v>
      </c>
      <c r="F65" s="57" t="s">
        <v>649</v>
      </c>
      <c r="G65" s="57" t="s">
        <v>650</v>
      </c>
    </row>
    <row r="66" spans="1:7">
      <c r="A66" s="57" t="s">
        <v>896</v>
      </c>
      <c r="B66" s="57" t="s">
        <v>651</v>
      </c>
      <c r="C66" s="57" t="s">
        <v>652</v>
      </c>
      <c r="D66" s="57" t="s">
        <v>653</v>
      </c>
      <c r="E66" s="57" t="s">
        <v>346</v>
      </c>
      <c r="F66" s="57" t="s">
        <v>654</v>
      </c>
      <c r="G66" s="57" t="s">
        <v>655</v>
      </c>
    </row>
    <row r="67" spans="1:7">
      <c r="A67" s="57" t="s">
        <v>897</v>
      </c>
      <c r="B67" s="57" t="s">
        <v>656</v>
      </c>
      <c r="C67" s="57" t="s">
        <v>657</v>
      </c>
      <c r="D67" s="57" t="s">
        <v>658</v>
      </c>
      <c r="E67" s="57" t="s">
        <v>340</v>
      </c>
      <c r="F67" s="57" t="s">
        <v>659</v>
      </c>
      <c r="G67" s="57" t="s">
        <v>660</v>
      </c>
    </row>
    <row r="68" spans="1:7">
      <c r="A68" s="57" t="s">
        <v>898</v>
      </c>
      <c r="B68" s="57" t="s">
        <v>661</v>
      </c>
      <c r="C68" s="57" t="s">
        <v>662</v>
      </c>
      <c r="D68" s="57" t="s">
        <v>663</v>
      </c>
      <c r="E68" s="57" t="s">
        <v>664</v>
      </c>
      <c r="F68" s="57" t="s">
        <v>665</v>
      </c>
      <c r="G68" s="57" t="s">
        <v>666</v>
      </c>
    </row>
    <row r="69" spans="1:7">
      <c r="A69" s="57" t="s">
        <v>899</v>
      </c>
      <c r="B69" s="57" t="s">
        <v>667</v>
      </c>
      <c r="C69" s="57" t="s">
        <v>668</v>
      </c>
      <c r="D69" s="57" t="s">
        <v>669</v>
      </c>
      <c r="E69" s="57" t="s">
        <v>340</v>
      </c>
      <c r="F69" s="57" t="s">
        <v>670</v>
      </c>
      <c r="G69" s="57" t="s">
        <v>671</v>
      </c>
    </row>
    <row r="70" spans="1:7">
      <c r="A70" s="57" t="s">
        <v>900</v>
      </c>
      <c r="B70" s="57" t="s">
        <v>672</v>
      </c>
      <c r="C70" s="57" t="s">
        <v>673</v>
      </c>
      <c r="D70" s="57" t="s">
        <v>674</v>
      </c>
      <c r="E70" s="57" t="s">
        <v>675</v>
      </c>
      <c r="F70" s="57" t="s">
        <v>676</v>
      </c>
      <c r="G70" s="57" t="s">
        <v>677</v>
      </c>
    </row>
    <row r="71" spans="1:7">
      <c r="A71" s="57" t="s">
        <v>901</v>
      </c>
      <c r="B71" s="57" t="s">
        <v>678</v>
      </c>
      <c r="C71" s="57" t="s">
        <v>679</v>
      </c>
      <c r="D71" s="57" t="s">
        <v>680</v>
      </c>
      <c r="E71" s="57" t="s">
        <v>340</v>
      </c>
      <c r="F71" s="57" t="s">
        <v>681</v>
      </c>
      <c r="G71" s="57" t="s">
        <v>682</v>
      </c>
    </row>
    <row r="72" spans="1:7">
      <c r="A72" s="57" t="s">
        <v>902</v>
      </c>
      <c r="B72" s="57" t="s">
        <v>683</v>
      </c>
      <c r="C72" s="57" t="s">
        <v>684</v>
      </c>
      <c r="D72" s="57" t="s">
        <v>685</v>
      </c>
      <c r="E72" s="57" t="s">
        <v>686</v>
      </c>
      <c r="F72" s="57" t="s">
        <v>687</v>
      </c>
      <c r="G72" s="57" t="s">
        <v>688</v>
      </c>
    </row>
    <row r="73" spans="1:7">
      <c r="A73" s="57" t="s">
        <v>903</v>
      </c>
      <c r="B73" s="57" t="s">
        <v>689</v>
      </c>
      <c r="C73" s="57" t="s">
        <v>690</v>
      </c>
      <c r="D73" s="57" t="s">
        <v>691</v>
      </c>
      <c r="E73" s="57" t="s">
        <v>340</v>
      </c>
      <c r="F73" s="57" t="s">
        <v>692</v>
      </c>
      <c r="G73" s="57" t="s">
        <v>693</v>
      </c>
    </row>
    <row r="74" spans="1:7">
      <c r="A74" s="57" t="s">
        <v>904</v>
      </c>
      <c r="B74" s="57" t="s">
        <v>694</v>
      </c>
      <c r="C74" s="57" t="s">
        <v>695</v>
      </c>
      <c r="D74" s="57" t="s">
        <v>696</v>
      </c>
      <c r="E74" s="57" t="s">
        <v>697</v>
      </c>
      <c r="F74" s="57" t="s">
        <v>698</v>
      </c>
      <c r="G74" s="57" t="s">
        <v>699</v>
      </c>
    </row>
    <row r="75" spans="1:7">
      <c r="A75" s="57" t="s">
        <v>905</v>
      </c>
      <c r="B75" s="57" t="s">
        <v>700</v>
      </c>
      <c r="C75" s="57" t="s">
        <v>701</v>
      </c>
      <c r="D75" s="57" t="s">
        <v>702</v>
      </c>
      <c r="E75" s="57" t="s">
        <v>340</v>
      </c>
      <c r="F75" s="57" t="s">
        <v>703</v>
      </c>
      <c r="G75" s="57" t="s">
        <v>704</v>
      </c>
    </row>
    <row r="76" spans="1:7">
      <c r="A76" s="57" t="s">
        <v>906</v>
      </c>
      <c r="B76" s="57" t="s">
        <v>705</v>
      </c>
      <c r="C76" s="57" t="s">
        <v>706</v>
      </c>
      <c r="D76" s="57" t="s">
        <v>707</v>
      </c>
      <c r="E76" s="57" t="s">
        <v>708</v>
      </c>
      <c r="F76" s="57" t="s">
        <v>709</v>
      </c>
      <c r="G76" s="57" t="s">
        <v>710</v>
      </c>
    </row>
    <row r="77" spans="1:7">
      <c r="A77" s="57" t="s">
        <v>907</v>
      </c>
      <c r="B77" s="57" t="s">
        <v>711</v>
      </c>
      <c r="C77" s="57" t="s">
        <v>712</v>
      </c>
      <c r="D77" s="57" t="s">
        <v>713</v>
      </c>
      <c r="E77" s="57" t="s">
        <v>340</v>
      </c>
      <c r="F77" s="57" t="s">
        <v>714</v>
      </c>
      <c r="G77" s="57" t="s">
        <v>715</v>
      </c>
    </row>
    <row r="78" spans="1:7">
      <c r="A78" s="57" t="s">
        <v>908</v>
      </c>
      <c r="B78" s="57" t="s">
        <v>716</v>
      </c>
      <c r="C78" s="57" t="s">
        <v>717</v>
      </c>
      <c r="D78" s="57" t="s">
        <v>718</v>
      </c>
      <c r="E78" s="57" t="s">
        <v>719</v>
      </c>
      <c r="F78" s="57" t="s">
        <v>720</v>
      </c>
      <c r="G78" s="57" t="s">
        <v>721</v>
      </c>
    </row>
    <row r="79" spans="1:7">
      <c r="A79" s="57" t="s">
        <v>909</v>
      </c>
      <c r="B79" s="57" t="s">
        <v>722</v>
      </c>
      <c r="C79" s="57" t="s">
        <v>723</v>
      </c>
      <c r="D79" s="57" t="s">
        <v>724</v>
      </c>
      <c r="E79" s="57" t="s">
        <v>340</v>
      </c>
      <c r="F79" s="57" t="s">
        <v>725</v>
      </c>
      <c r="G79" s="57" t="s">
        <v>726</v>
      </c>
    </row>
    <row r="80" spans="1:7">
      <c r="A80" s="57" t="s">
        <v>910</v>
      </c>
      <c r="B80" s="57" t="s">
        <v>727</v>
      </c>
      <c r="C80" s="57" t="s">
        <v>728</v>
      </c>
      <c r="D80" s="57" t="s">
        <v>729</v>
      </c>
      <c r="E80" s="57" t="s">
        <v>346</v>
      </c>
      <c r="F80" s="57" t="s">
        <v>730</v>
      </c>
      <c r="G80" s="57" t="s">
        <v>731</v>
      </c>
    </row>
    <row r="81" spans="1:7">
      <c r="A81" s="57" t="s">
        <v>911</v>
      </c>
      <c r="B81" s="57" t="s">
        <v>732</v>
      </c>
      <c r="C81" s="57" t="s">
        <v>733</v>
      </c>
      <c r="D81" s="57" t="s">
        <v>734</v>
      </c>
      <c r="E81" s="57" t="s">
        <v>340</v>
      </c>
      <c r="F81" s="57" t="s">
        <v>735</v>
      </c>
      <c r="G81" s="57" t="s">
        <v>736</v>
      </c>
    </row>
    <row r="82" spans="1:7">
      <c r="A82" s="57" t="s">
        <v>912</v>
      </c>
      <c r="B82" s="57" t="s">
        <v>737</v>
      </c>
      <c r="C82" s="57" t="s">
        <v>738</v>
      </c>
      <c r="D82" s="57" t="s">
        <v>739</v>
      </c>
      <c r="E82" s="57" t="s">
        <v>719</v>
      </c>
      <c r="F82" s="57" t="s">
        <v>740</v>
      </c>
      <c r="G82" s="57" t="s">
        <v>741</v>
      </c>
    </row>
    <row r="83" spans="1:7">
      <c r="A83" s="57" t="s">
        <v>913</v>
      </c>
      <c r="B83" s="57" t="s">
        <v>742</v>
      </c>
      <c r="C83" s="57" t="s">
        <v>743</v>
      </c>
      <c r="D83" s="57" t="s">
        <v>744</v>
      </c>
      <c r="E83" s="57" t="s">
        <v>340</v>
      </c>
      <c r="F83" s="57" t="s">
        <v>745</v>
      </c>
      <c r="G83" s="57" t="s">
        <v>746</v>
      </c>
    </row>
    <row r="84" spans="1:7">
      <c r="A84" s="57" t="s">
        <v>914</v>
      </c>
      <c r="B84" s="57" t="s">
        <v>747</v>
      </c>
      <c r="C84" s="57" t="s">
        <v>748</v>
      </c>
      <c r="D84" s="57" t="s">
        <v>749</v>
      </c>
      <c r="E84" s="57" t="s">
        <v>340</v>
      </c>
      <c r="F84" s="57" t="s">
        <v>750</v>
      </c>
      <c r="G84" s="57" t="s">
        <v>751</v>
      </c>
    </row>
    <row r="85" spans="1:7">
      <c r="A85" s="57" t="s">
        <v>915</v>
      </c>
      <c r="B85" s="57" t="s">
        <v>752</v>
      </c>
      <c r="C85" s="57" t="s">
        <v>753</v>
      </c>
      <c r="D85" s="57" t="s">
        <v>754</v>
      </c>
      <c r="E85" s="57" t="s">
        <v>409</v>
      </c>
      <c r="F85" s="57" t="s">
        <v>755</v>
      </c>
      <c r="G85" s="57" t="s">
        <v>756</v>
      </c>
    </row>
    <row r="86" spans="1:7">
      <c r="A86" s="57" t="s">
        <v>916</v>
      </c>
      <c r="B86" s="57" t="s">
        <v>757</v>
      </c>
      <c r="C86" s="57" t="s">
        <v>758</v>
      </c>
      <c r="D86" s="57" t="s">
        <v>759</v>
      </c>
      <c r="E86" s="57" t="s">
        <v>340</v>
      </c>
      <c r="F86" s="57" t="s">
        <v>760</v>
      </c>
      <c r="G86" s="57" t="s">
        <v>761</v>
      </c>
    </row>
    <row r="87" spans="1:7">
      <c r="A87" s="57" t="s">
        <v>917</v>
      </c>
      <c r="B87" s="57" t="s">
        <v>762</v>
      </c>
      <c r="C87" s="57" t="s">
        <v>763</v>
      </c>
      <c r="D87" s="57" t="s">
        <v>764</v>
      </c>
      <c r="E87" s="57" t="s">
        <v>346</v>
      </c>
      <c r="F87" s="57" t="s">
        <v>765</v>
      </c>
      <c r="G87" s="57" t="s">
        <v>766</v>
      </c>
    </row>
    <row r="88" spans="1:7">
      <c r="A88" s="57" t="s">
        <v>918</v>
      </c>
      <c r="B88" s="57" t="s">
        <v>767</v>
      </c>
      <c r="C88" s="57" t="s">
        <v>768</v>
      </c>
      <c r="D88" s="57" t="s">
        <v>769</v>
      </c>
      <c r="E88" s="57" t="s">
        <v>340</v>
      </c>
      <c r="F88" s="57" t="s">
        <v>770</v>
      </c>
      <c r="G88" s="57" t="s">
        <v>771</v>
      </c>
    </row>
    <row r="89" spans="1:7">
      <c r="A89" s="57" t="s">
        <v>919</v>
      </c>
      <c r="B89" s="57" t="s">
        <v>772</v>
      </c>
      <c r="C89" s="57" t="s">
        <v>773</v>
      </c>
      <c r="D89" s="57" t="s">
        <v>774</v>
      </c>
      <c r="E89" s="57" t="s">
        <v>340</v>
      </c>
      <c r="F89" s="57" t="s">
        <v>775</v>
      </c>
      <c r="G89" s="57" t="s">
        <v>776</v>
      </c>
    </row>
    <row r="90" spans="1:7">
      <c r="A90" s="57" t="s">
        <v>920</v>
      </c>
      <c r="B90" s="57" t="s">
        <v>777</v>
      </c>
      <c r="C90" s="57" t="s">
        <v>778</v>
      </c>
      <c r="D90" s="57" t="s">
        <v>779</v>
      </c>
      <c r="E90" s="57" t="s">
        <v>485</v>
      </c>
      <c r="F90" s="57" t="s">
        <v>780</v>
      </c>
      <c r="G90" s="57" t="s">
        <v>781</v>
      </c>
    </row>
    <row r="91" spans="1:7">
      <c r="A91" s="57" t="s">
        <v>921</v>
      </c>
      <c r="B91" s="57" t="s">
        <v>782</v>
      </c>
      <c r="C91" s="57" t="s">
        <v>783</v>
      </c>
      <c r="D91" s="57" t="s">
        <v>784</v>
      </c>
      <c r="E91" s="57" t="s">
        <v>367</v>
      </c>
      <c r="F91" s="57" t="s">
        <v>785</v>
      </c>
      <c r="G91" s="57" t="s">
        <v>786</v>
      </c>
    </row>
    <row r="92" spans="1:7">
      <c r="A92" s="57" t="s">
        <v>922</v>
      </c>
      <c r="B92" s="57" t="s">
        <v>787</v>
      </c>
      <c r="C92" s="57" t="s">
        <v>788</v>
      </c>
      <c r="D92" s="57" t="s">
        <v>789</v>
      </c>
      <c r="E92" s="57" t="s">
        <v>340</v>
      </c>
      <c r="F92" s="57" t="s">
        <v>790</v>
      </c>
      <c r="G92" s="57" t="s">
        <v>791</v>
      </c>
    </row>
    <row r="93" spans="1:7">
      <c r="A93" s="57" t="s">
        <v>923</v>
      </c>
      <c r="B93" s="57" t="s">
        <v>792</v>
      </c>
      <c r="C93" s="57" t="s">
        <v>793</v>
      </c>
      <c r="D93" s="57" t="s">
        <v>794</v>
      </c>
      <c r="E93" s="57" t="s">
        <v>340</v>
      </c>
      <c r="F93" s="57" t="s">
        <v>795</v>
      </c>
      <c r="G93" s="57" t="s">
        <v>796</v>
      </c>
    </row>
    <row r="94" spans="1:7">
      <c r="A94" s="57" t="s">
        <v>924</v>
      </c>
      <c r="B94" s="65" t="s">
        <v>797</v>
      </c>
      <c r="C94" s="65" t="s">
        <v>798</v>
      </c>
      <c r="D94" s="65" t="s">
        <v>799</v>
      </c>
      <c r="E94" s="65" t="s">
        <v>800</v>
      </c>
      <c r="F94" s="65" t="s">
        <v>801</v>
      </c>
      <c r="G94" s="65" t="s">
        <v>802</v>
      </c>
    </row>
    <row r="96" spans="1:7" ht="14.25" thickBot="1">
      <c r="A96" s="58"/>
      <c r="B96" s="58"/>
      <c r="C96" s="58"/>
      <c r="D96" s="58"/>
      <c r="E96" s="58"/>
      <c r="F96" s="58"/>
      <c r="G96" s="58"/>
    </row>
  </sheetData>
  <mergeCells count="1">
    <mergeCell ref="A1:G1"/>
  </mergeCells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95"/>
  <sheetViews>
    <sheetView showGridLines="0" workbookViewId="0">
      <selection activeCell="H17" sqref="H17"/>
    </sheetView>
  </sheetViews>
  <sheetFormatPr defaultRowHeight="16.5"/>
  <cols>
    <col min="10" max="10" width="8" bestFit="1" customWidth="1"/>
    <col min="11" max="11" width="16.375" bestFit="1" customWidth="1"/>
    <col min="12" max="12" width="8" bestFit="1" customWidth="1"/>
    <col min="13" max="13" width="21.75" bestFit="1" customWidth="1"/>
    <col min="14" max="14" width="9.625" bestFit="1" customWidth="1"/>
    <col min="15" max="15" width="13.5" bestFit="1" customWidth="1"/>
    <col min="16" max="16" width="13" bestFit="1" customWidth="1"/>
  </cols>
  <sheetData>
    <row r="3" spans="1:16" ht="17.25" thickBot="1"/>
    <row r="4" spans="1:16">
      <c r="A4" s="86" t="s">
        <v>50</v>
      </c>
      <c r="C4" s="45" t="s">
        <v>56</v>
      </c>
      <c r="D4" s="45" t="s">
        <v>57</v>
      </c>
      <c r="E4" s="45" t="s">
        <v>58</v>
      </c>
      <c r="F4" s="45" t="s">
        <v>59</v>
      </c>
      <c r="H4" s="90" t="s">
        <v>327</v>
      </c>
      <c r="J4" s="89" t="s">
        <v>803</v>
      </c>
      <c r="K4" s="90" t="s">
        <v>327</v>
      </c>
      <c r="L4" s="91" t="s">
        <v>328</v>
      </c>
      <c r="M4" s="92" t="s">
        <v>329</v>
      </c>
      <c r="N4" s="93" t="s">
        <v>805</v>
      </c>
      <c r="O4" s="94" t="s">
        <v>804</v>
      </c>
      <c r="P4" s="94" t="s">
        <v>330</v>
      </c>
    </row>
    <row r="5" spans="1:16">
      <c r="A5" s="87">
        <v>1</v>
      </c>
      <c r="C5" s="42" t="s">
        <v>60</v>
      </c>
      <c r="D5" s="42">
        <v>5</v>
      </c>
      <c r="E5" s="42">
        <v>15</v>
      </c>
      <c r="F5" s="42">
        <v>10</v>
      </c>
      <c r="H5" s="87" t="s">
        <v>928</v>
      </c>
      <c r="J5" s="57" t="s">
        <v>834</v>
      </c>
      <c r="K5" s="57" t="s">
        <v>331</v>
      </c>
      <c r="L5" s="57" t="s">
        <v>332</v>
      </c>
      <c r="M5" s="57" t="s">
        <v>333</v>
      </c>
      <c r="N5" s="57" t="s">
        <v>334</v>
      </c>
      <c r="O5" s="57" t="s">
        <v>335</v>
      </c>
      <c r="P5" s="57" t="s">
        <v>336</v>
      </c>
    </row>
    <row r="6" spans="1:16">
      <c r="C6" s="42" t="s">
        <v>61</v>
      </c>
      <c r="D6" s="42">
        <v>5</v>
      </c>
      <c r="E6" s="42">
        <v>16</v>
      </c>
      <c r="F6" s="42">
        <v>20</v>
      </c>
      <c r="J6" s="57" t="s">
        <v>835</v>
      </c>
      <c r="K6" s="57" t="s">
        <v>337</v>
      </c>
      <c r="L6" s="57" t="s">
        <v>338</v>
      </c>
      <c r="M6" s="57" t="s">
        <v>339</v>
      </c>
      <c r="N6" s="57" t="s">
        <v>340</v>
      </c>
      <c r="O6" s="57" t="s">
        <v>341</v>
      </c>
      <c r="P6" s="57" t="s">
        <v>342</v>
      </c>
    </row>
    <row r="7" spans="1:16">
      <c r="C7" s="42" t="s">
        <v>62</v>
      </c>
      <c r="D7" s="42">
        <v>5</v>
      </c>
      <c r="E7" s="42">
        <v>17</v>
      </c>
      <c r="F7" s="42">
        <v>15</v>
      </c>
      <c r="J7" s="57" t="s">
        <v>836</v>
      </c>
      <c r="K7" s="57" t="s">
        <v>1</v>
      </c>
      <c r="L7" s="57" t="s">
        <v>4</v>
      </c>
      <c r="M7" s="57" t="s">
        <v>2</v>
      </c>
      <c r="N7" s="57" t="s">
        <v>340</v>
      </c>
      <c r="O7" s="57" t="s">
        <v>3</v>
      </c>
      <c r="P7" s="57" t="s">
        <v>343</v>
      </c>
    </row>
    <row r="8" spans="1:16">
      <c r="C8" s="67"/>
      <c r="D8" s="67"/>
      <c r="E8" s="67"/>
      <c r="F8" s="67"/>
      <c r="J8" s="57" t="s">
        <v>837</v>
      </c>
      <c r="K8" s="57" t="s">
        <v>344</v>
      </c>
      <c r="L8" s="57" t="s">
        <v>53</v>
      </c>
      <c r="M8" s="57" t="s">
        <v>345</v>
      </c>
      <c r="N8" s="57" t="s">
        <v>346</v>
      </c>
      <c r="O8" s="57" t="s">
        <v>347</v>
      </c>
      <c r="P8" s="57" t="s">
        <v>348</v>
      </c>
    </row>
    <row r="9" spans="1:16">
      <c r="C9" s="67"/>
      <c r="D9" s="67"/>
      <c r="E9" s="67"/>
      <c r="F9" s="67"/>
      <c r="J9" s="57" t="s">
        <v>838</v>
      </c>
      <c r="K9" s="57" t="s">
        <v>349</v>
      </c>
      <c r="L9" s="57" t="s">
        <v>350</v>
      </c>
      <c r="M9" s="57" t="s">
        <v>351</v>
      </c>
      <c r="N9" s="57" t="s">
        <v>352</v>
      </c>
      <c r="O9" s="57" t="s">
        <v>353</v>
      </c>
      <c r="P9" s="57" t="s">
        <v>354</v>
      </c>
    </row>
    <row r="10" spans="1:16">
      <c r="C10" s="67"/>
      <c r="D10" s="67"/>
      <c r="E10" s="67"/>
      <c r="F10" s="67"/>
      <c r="J10" s="57" t="s">
        <v>839</v>
      </c>
      <c r="K10" s="57" t="s">
        <v>355</v>
      </c>
      <c r="L10" s="57" t="s">
        <v>54</v>
      </c>
      <c r="M10" s="57" t="s">
        <v>356</v>
      </c>
      <c r="N10" s="57" t="s">
        <v>340</v>
      </c>
      <c r="O10" s="57" t="s">
        <v>357</v>
      </c>
      <c r="P10" s="57" t="s">
        <v>358</v>
      </c>
    </row>
    <row r="11" spans="1:16">
      <c r="J11" s="57" t="s">
        <v>840</v>
      </c>
      <c r="K11" s="57" t="s">
        <v>359</v>
      </c>
      <c r="L11" s="57" t="s">
        <v>360</v>
      </c>
      <c r="M11" s="57" t="s">
        <v>361</v>
      </c>
      <c r="N11" s="57" t="s">
        <v>340</v>
      </c>
      <c r="O11" s="57" t="s">
        <v>362</v>
      </c>
      <c r="P11" s="57" t="s">
        <v>363</v>
      </c>
    </row>
    <row r="12" spans="1:16">
      <c r="J12" s="57" t="s">
        <v>841</v>
      </c>
      <c r="K12" s="57" t="s">
        <v>364</v>
      </c>
      <c r="L12" s="57" t="s">
        <v>365</v>
      </c>
      <c r="M12" s="57" t="s">
        <v>366</v>
      </c>
      <c r="N12" s="57" t="s">
        <v>367</v>
      </c>
      <c r="O12" s="57" t="s">
        <v>368</v>
      </c>
      <c r="P12" s="57" t="s">
        <v>369</v>
      </c>
    </row>
    <row r="13" spans="1:16">
      <c r="J13" s="57" t="s">
        <v>842</v>
      </c>
      <c r="K13" s="57" t="s">
        <v>370</v>
      </c>
      <c r="L13" s="57" t="s">
        <v>371</v>
      </c>
      <c r="M13" s="57" t="s">
        <v>372</v>
      </c>
      <c r="N13" s="57" t="s">
        <v>340</v>
      </c>
      <c r="O13" s="57" t="s">
        <v>373</v>
      </c>
      <c r="P13" s="57" t="s">
        <v>374</v>
      </c>
    </row>
    <row r="14" spans="1:16">
      <c r="J14" s="57" t="s">
        <v>843</v>
      </c>
      <c r="K14" s="57" t="s">
        <v>375</v>
      </c>
      <c r="L14" s="57" t="s">
        <v>376</v>
      </c>
      <c r="M14" s="57" t="s">
        <v>377</v>
      </c>
      <c r="N14" s="57" t="s">
        <v>367</v>
      </c>
      <c r="O14" s="57" t="s">
        <v>378</v>
      </c>
      <c r="P14" s="57" t="s">
        <v>379</v>
      </c>
    </row>
    <row r="15" spans="1:16">
      <c r="J15" s="57" t="s">
        <v>844</v>
      </c>
      <c r="K15" s="57" t="s">
        <v>380</v>
      </c>
      <c r="L15" s="57" t="s">
        <v>381</v>
      </c>
      <c r="M15" s="57" t="s">
        <v>382</v>
      </c>
      <c r="N15" s="57" t="s">
        <v>383</v>
      </c>
      <c r="O15" s="57" t="s">
        <v>384</v>
      </c>
      <c r="P15" s="57" t="s">
        <v>385</v>
      </c>
    </row>
    <row r="16" spans="1:16">
      <c r="J16" s="57" t="s">
        <v>845</v>
      </c>
      <c r="K16" s="57" t="s">
        <v>386</v>
      </c>
      <c r="L16" s="57" t="s">
        <v>387</v>
      </c>
      <c r="M16" s="57" t="s">
        <v>388</v>
      </c>
      <c r="N16" s="57" t="s">
        <v>340</v>
      </c>
      <c r="O16" s="57" t="s">
        <v>389</v>
      </c>
      <c r="P16" s="57" t="s">
        <v>390</v>
      </c>
    </row>
    <row r="17" spans="10:16">
      <c r="J17" s="57" t="s">
        <v>846</v>
      </c>
      <c r="K17" s="57" t="s">
        <v>391</v>
      </c>
      <c r="L17" s="57" t="s">
        <v>392</v>
      </c>
      <c r="M17" s="57" t="s">
        <v>393</v>
      </c>
      <c r="N17" s="57" t="s">
        <v>346</v>
      </c>
      <c r="O17" s="57" t="s">
        <v>394</v>
      </c>
      <c r="P17" s="57" t="s">
        <v>395</v>
      </c>
    </row>
    <row r="18" spans="10:16">
      <c r="J18" s="57" t="s">
        <v>847</v>
      </c>
      <c r="K18" s="57" t="s">
        <v>396</v>
      </c>
      <c r="L18" s="57" t="s">
        <v>397</v>
      </c>
      <c r="M18" s="57" t="s">
        <v>398</v>
      </c>
      <c r="N18" s="57" t="s">
        <v>340</v>
      </c>
      <c r="O18" s="57" t="s">
        <v>399</v>
      </c>
      <c r="P18" s="57" t="s">
        <v>400</v>
      </c>
    </row>
    <row r="19" spans="10:16">
      <c r="J19" s="57" t="s">
        <v>848</v>
      </c>
      <c r="K19" s="57" t="s">
        <v>401</v>
      </c>
      <c r="L19" s="57" t="s">
        <v>402</v>
      </c>
      <c r="M19" s="57" t="s">
        <v>403</v>
      </c>
      <c r="N19" s="57" t="s">
        <v>340</v>
      </c>
      <c r="O19" s="57" t="s">
        <v>404</v>
      </c>
      <c r="P19" s="57" t="s">
        <v>405</v>
      </c>
    </row>
    <row r="20" spans="10:16">
      <c r="J20" s="57" t="s">
        <v>849</v>
      </c>
      <c r="K20" s="57" t="s">
        <v>406</v>
      </c>
      <c r="L20" s="57" t="s">
        <v>407</v>
      </c>
      <c r="M20" s="57" t="s">
        <v>408</v>
      </c>
      <c r="N20" s="57" t="s">
        <v>409</v>
      </c>
      <c r="O20" s="57" t="s">
        <v>410</v>
      </c>
      <c r="P20" s="57" t="s">
        <v>411</v>
      </c>
    </row>
    <row r="21" spans="10:16">
      <c r="J21" s="57" t="s">
        <v>850</v>
      </c>
      <c r="K21" s="57" t="s">
        <v>412</v>
      </c>
      <c r="L21" s="57" t="s">
        <v>413</v>
      </c>
      <c r="M21" s="57" t="s">
        <v>414</v>
      </c>
      <c r="N21" s="57" t="s">
        <v>340</v>
      </c>
      <c r="O21" s="57" t="s">
        <v>415</v>
      </c>
      <c r="P21" s="57" t="s">
        <v>416</v>
      </c>
    </row>
    <row r="22" spans="10:16">
      <c r="J22" s="57" t="s">
        <v>851</v>
      </c>
      <c r="K22" s="57" t="s">
        <v>417</v>
      </c>
      <c r="L22" s="57" t="s">
        <v>418</v>
      </c>
      <c r="M22" s="57" t="s">
        <v>419</v>
      </c>
      <c r="N22" s="57" t="s">
        <v>340</v>
      </c>
      <c r="O22" s="57" t="s">
        <v>420</v>
      </c>
      <c r="P22" s="57" t="s">
        <v>421</v>
      </c>
    </row>
    <row r="23" spans="10:16">
      <c r="J23" s="57" t="s">
        <v>852</v>
      </c>
      <c r="K23" s="57" t="s">
        <v>422</v>
      </c>
      <c r="L23" s="57" t="s">
        <v>423</v>
      </c>
      <c r="M23" s="57" t="s">
        <v>424</v>
      </c>
      <c r="N23" s="57" t="s">
        <v>425</v>
      </c>
      <c r="O23" s="57" t="s">
        <v>426</v>
      </c>
      <c r="P23" s="57" t="s">
        <v>426</v>
      </c>
    </row>
    <row r="24" spans="10:16">
      <c r="J24" s="57" t="s">
        <v>853</v>
      </c>
      <c r="K24" s="57" t="s">
        <v>427</v>
      </c>
      <c r="L24" s="57" t="s">
        <v>428</v>
      </c>
      <c r="M24" s="57" t="s">
        <v>429</v>
      </c>
      <c r="N24" s="57" t="s">
        <v>346</v>
      </c>
      <c r="O24" s="57" t="s">
        <v>430</v>
      </c>
      <c r="P24" s="57" t="s">
        <v>431</v>
      </c>
    </row>
    <row r="25" spans="10:16">
      <c r="J25" s="57" t="s">
        <v>854</v>
      </c>
      <c r="K25" s="57" t="s">
        <v>432</v>
      </c>
      <c r="L25" s="57" t="s">
        <v>433</v>
      </c>
      <c r="M25" s="57" t="s">
        <v>434</v>
      </c>
      <c r="N25" s="57" t="s">
        <v>340</v>
      </c>
      <c r="O25" s="57" t="s">
        <v>435</v>
      </c>
      <c r="P25" s="57" t="s">
        <v>436</v>
      </c>
    </row>
    <row r="26" spans="10:16">
      <c r="J26" s="57" t="s">
        <v>855</v>
      </c>
      <c r="K26" s="57" t="s">
        <v>437</v>
      </c>
      <c r="L26" s="57" t="s">
        <v>438</v>
      </c>
      <c r="M26" s="57" t="s">
        <v>439</v>
      </c>
      <c r="N26" s="57" t="s">
        <v>352</v>
      </c>
      <c r="O26" s="57" t="s">
        <v>440</v>
      </c>
      <c r="P26" s="57" t="s">
        <v>441</v>
      </c>
    </row>
    <row r="27" spans="10:16">
      <c r="J27" s="57" t="s">
        <v>856</v>
      </c>
      <c r="K27" s="57" t="s">
        <v>442</v>
      </c>
      <c r="L27" s="57" t="s">
        <v>443</v>
      </c>
      <c r="M27" s="57" t="s">
        <v>444</v>
      </c>
      <c r="N27" s="57" t="s">
        <v>340</v>
      </c>
      <c r="O27" s="57" t="s">
        <v>445</v>
      </c>
      <c r="P27" s="57" t="s">
        <v>445</v>
      </c>
    </row>
    <row r="28" spans="10:16">
      <c r="J28" s="57" t="s">
        <v>857</v>
      </c>
      <c r="K28" s="57" t="s">
        <v>446</v>
      </c>
      <c r="L28" s="57" t="s">
        <v>447</v>
      </c>
      <c r="M28" s="57" t="s">
        <v>448</v>
      </c>
      <c r="N28" s="57" t="s">
        <v>449</v>
      </c>
      <c r="O28" s="57" t="s">
        <v>450</v>
      </c>
      <c r="P28" s="57" t="s">
        <v>451</v>
      </c>
    </row>
    <row r="29" spans="10:16">
      <c r="J29" s="57" t="s">
        <v>858</v>
      </c>
      <c r="K29" s="57" t="s">
        <v>452</v>
      </c>
      <c r="L29" s="57" t="s">
        <v>453</v>
      </c>
      <c r="M29" s="57" t="s">
        <v>454</v>
      </c>
      <c r="N29" s="57" t="s">
        <v>340</v>
      </c>
      <c r="O29" s="57" t="s">
        <v>455</v>
      </c>
      <c r="P29" s="57" t="s">
        <v>456</v>
      </c>
    </row>
    <row r="30" spans="10:16">
      <c r="J30" s="57" t="s">
        <v>859</v>
      </c>
      <c r="K30" s="57" t="s">
        <v>457</v>
      </c>
      <c r="L30" s="57" t="s">
        <v>458</v>
      </c>
      <c r="M30" s="57" t="s">
        <v>459</v>
      </c>
      <c r="N30" s="57" t="s">
        <v>460</v>
      </c>
      <c r="O30" s="57" t="s">
        <v>461</v>
      </c>
      <c r="P30" s="57" t="s">
        <v>461</v>
      </c>
    </row>
    <row r="31" spans="10:16">
      <c r="J31" s="57" t="s">
        <v>860</v>
      </c>
      <c r="K31" s="57" t="s">
        <v>462</v>
      </c>
      <c r="L31" s="57" t="s">
        <v>463</v>
      </c>
      <c r="M31" s="57" t="s">
        <v>464</v>
      </c>
      <c r="N31" s="57" t="s">
        <v>340</v>
      </c>
      <c r="O31" s="57" t="s">
        <v>465</v>
      </c>
      <c r="P31" s="57" t="s">
        <v>466</v>
      </c>
    </row>
    <row r="32" spans="10:16">
      <c r="J32" s="57" t="s">
        <v>861</v>
      </c>
      <c r="K32" s="57" t="s">
        <v>467</v>
      </c>
      <c r="L32" s="57" t="s">
        <v>468</v>
      </c>
      <c r="M32" s="57" t="s">
        <v>469</v>
      </c>
      <c r="N32" s="57" t="s">
        <v>449</v>
      </c>
      <c r="O32" s="57" t="s">
        <v>470</v>
      </c>
      <c r="P32" s="57" t="s">
        <v>471</v>
      </c>
    </row>
    <row r="33" spans="10:16">
      <c r="J33" s="57" t="s">
        <v>862</v>
      </c>
      <c r="K33" s="57" t="s">
        <v>472</v>
      </c>
      <c r="L33" s="57" t="s">
        <v>473</v>
      </c>
      <c r="M33" s="57" t="s">
        <v>474</v>
      </c>
      <c r="N33" s="57" t="s">
        <v>340</v>
      </c>
      <c r="O33" s="57" t="s">
        <v>475</v>
      </c>
      <c r="P33" s="57" t="s">
        <v>476</v>
      </c>
    </row>
    <row r="34" spans="10:16">
      <c r="J34" s="57" t="s">
        <v>863</v>
      </c>
      <c r="K34" s="57" t="s">
        <v>477</v>
      </c>
      <c r="L34" s="57" t="s">
        <v>478</v>
      </c>
      <c r="M34" s="57" t="s">
        <v>479</v>
      </c>
      <c r="N34" s="57" t="s">
        <v>340</v>
      </c>
      <c r="O34" s="57" t="s">
        <v>480</v>
      </c>
      <c r="P34" s="57" t="s">
        <v>481</v>
      </c>
    </row>
    <row r="35" spans="10:16">
      <c r="J35" s="57" t="s">
        <v>864</v>
      </c>
      <c r="K35" s="57" t="s">
        <v>482</v>
      </c>
      <c r="L35" s="57" t="s">
        <v>483</v>
      </c>
      <c r="M35" s="57" t="s">
        <v>484</v>
      </c>
      <c r="N35" s="57" t="s">
        <v>485</v>
      </c>
      <c r="O35" s="57" t="s">
        <v>486</v>
      </c>
      <c r="P35" s="57" t="s">
        <v>487</v>
      </c>
    </row>
    <row r="36" spans="10:16">
      <c r="J36" s="57" t="s">
        <v>865</v>
      </c>
      <c r="K36" s="57" t="s">
        <v>488</v>
      </c>
      <c r="L36" s="57" t="s">
        <v>489</v>
      </c>
      <c r="M36" s="57" t="s">
        <v>490</v>
      </c>
      <c r="N36" s="57" t="s">
        <v>340</v>
      </c>
      <c r="O36" s="57" t="s">
        <v>491</v>
      </c>
      <c r="P36" s="57" t="s">
        <v>492</v>
      </c>
    </row>
    <row r="37" spans="10:16">
      <c r="J37" s="57" t="s">
        <v>866</v>
      </c>
      <c r="K37" s="57" t="s">
        <v>493</v>
      </c>
      <c r="L37" s="57" t="s">
        <v>494</v>
      </c>
      <c r="M37" s="57" t="s">
        <v>495</v>
      </c>
      <c r="N37" s="57" t="s">
        <v>340</v>
      </c>
      <c r="O37" s="57" t="s">
        <v>496</v>
      </c>
      <c r="P37" s="57" t="s">
        <v>497</v>
      </c>
    </row>
    <row r="38" spans="10:16">
      <c r="J38" s="57" t="s">
        <v>867</v>
      </c>
      <c r="K38" s="57" t="s">
        <v>498</v>
      </c>
      <c r="L38" s="57" t="s">
        <v>499</v>
      </c>
      <c r="M38" s="57" t="s">
        <v>500</v>
      </c>
      <c r="N38" s="57" t="s">
        <v>501</v>
      </c>
      <c r="O38" s="57" t="s">
        <v>502</v>
      </c>
      <c r="P38" s="57" t="s">
        <v>503</v>
      </c>
    </row>
    <row r="39" spans="10:16">
      <c r="J39" s="57" t="s">
        <v>868</v>
      </c>
      <c r="K39" s="57" t="s">
        <v>504</v>
      </c>
      <c r="L39" s="57" t="s">
        <v>505</v>
      </c>
      <c r="M39" s="57" t="s">
        <v>506</v>
      </c>
      <c r="N39" s="57" t="s">
        <v>507</v>
      </c>
      <c r="O39" s="57" t="s">
        <v>508</v>
      </c>
      <c r="P39" s="57" t="s">
        <v>509</v>
      </c>
    </row>
    <row r="40" spans="10:16">
      <c r="J40" s="57" t="s">
        <v>869</v>
      </c>
      <c r="K40" s="57" t="s">
        <v>510</v>
      </c>
      <c r="L40" s="57" t="s">
        <v>511</v>
      </c>
      <c r="M40" s="57" t="s">
        <v>512</v>
      </c>
      <c r="N40" s="57" t="s">
        <v>340</v>
      </c>
      <c r="O40" s="57" t="s">
        <v>513</v>
      </c>
      <c r="P40" s="57" t="s">
        <v>514</v>
      </c>
    </row>
    <row r="41" spans="10:16">
      <c r="J41" s="57" t="s">
        <v>870</v>
      </c>
      <c r="K41" s="57" t="s">
        <v>515</v>
      </c>
      <c r="L41" s="57" t="s">
        <v>516</v>
      </c>
      <c r="M41" s="57" t="s">
        <v>517</v>
      </c>
      <c r="N41" s="57" t="s">
        <v>367</v>
      </c>
      <c r="O41" s="57" t="s">
        <v>518</v>
      </c>
      <c r="P41" s="57" t="s">
        <v>519</v>
      </c>
    </row>
    <row r="42" spans="10:16">
      <c r="J42" s="57" t="s">
        <v>871</v>
      </c>
      <c r="K42" s="57" t="s">
        <v>520</v>
      </c>
      <c r="L42" s="57" t="s">
        <v>521</v>
      </c>
      <c r="M42" s="57" t="s">
        <v>522</v>
      </c>
      <c r="N42" s="57" t="s">
        <v>340</v>
      </c>
      <c r="O42" s="57" t="s">
        <v>523</v>
      </c>
      <c r="P42" s="57" t="s">
        <v>524</v>
      </c>
    </row>
    <row r="43" spans="10:16">
      <c r="J43" s="57" t="s">
        <v>872</v>
      </c>
      <c r="K43" s="57" t="s">
        <v>525</v>
      </c>
      <c r="L43" s="57" t="s">
        <v>526</v>
      </c>
      <c r="M43" s="57" t="s">
        <v>527</v>
      </c>
      <c r="N43" s="57" t="s">
        <v>346</v>
      </c>
      <c r="O43" s="57" t="s">
        <v>528</v>
      </c>
      <c r="P43" s="57" t="s">
        <v>529</v>
      </c>
    </row>
    <row r="44" spans="10:16">
      <c r="J44" s="57" t="s">
        <v>873</v>
      </c>
      <c r="K44" s="57" t="s">
        <v>530</v>
      </c>
      <c r="L44" s="57" t="s">
        <v>531</v>
      </c>
      <c r="M44" s="57" t="s">
        <v>532</v>
      </c>
      <c r="N44" s="57" t="s">
        <v>340</v>
      </c>
      <c r="O44" s="57" t="s">
        <v>533</v>
      </c>
      <c r="P44" s="57" t="s">
        <v>534</v>
      </c>
    </row>
    <row r="45" spans="10:16">
      <c r="J45" s="57" t="s">
        <v>874</v>
      </c>
      <c r="K45" s="57" t="s">
        <v>535</v>
      </c>
      <c r="L45" s="57" t="s">
        <v>536</v>
      </c>
      <c r="M45" s="57" t="s">
        <v>537</v>
      </c>
      <c r="N45" s="57" t="s">
        <v>352</v>
      </c>
      <c r="O45" s="57" t="s">
        <v>538</v>
      </c>
      <c r="P45" s="57" t="s">
        <v>539</v>
      </c>
    </row>
    <row r="46" spans="10:16">
      <c r="J46" s="57" t="s">
        <v>875</v>
      </c>
      <c r="K46" s="57" t="s">
        <v>540</v>
      </c>
      <c r="L46" s="57" t="s">
        <v>541</v>
      </c>
      <c r="M46" s="57" t="s">
        <v>542</v>
      </c>
      <c r="N46" s="57" t="s">
        <v>340</v>
      </c>
      <c r="O46" s="57" t="s">
        <v>543</v>
      </c>
      <c r="P46" s="57" t="s">
        <v>544</v>
      </c>
    </row>
    <row r="47" spans="10:16">
      <c r="J47" s="57" t="s">
        <v>876</v>
      </c>
      <c r="K47" s="57" t="s">
        <v>545</v>
      </c>
      <c r="L47" s="57" t="s">
        <v>546</v>
      </c>
      <c r="M47" s="57" t="s">
        <v>547</v>
      </c>
      <c r="N47" s="57" t="s">
        <v>548</v>
      </c>
      <c r="O47" s="57" t="s">
        <v>549</v>
      </c>
      <c r="P47" s="57" t="s">
        <v>550</v>
      </c>
    </row>
    <row r="48" spans="10:16">
      <c r="J48" s="57" t="s">
        <v>877</v>
      </c>
      <c r="K48" s="57" t="s">
        <v>551</v>
      </c>
      <c r="L48" s="57" t="s">
        <v>552</v>
      </c>
      <c r="M48" s="57" t="s">
        <v>553</v>
      </c>
      <c r="N48" s="57" t="s">
        <v>340</v>
      </c>
      <c r="O48" s="57" t="s">
        <v>554</v>
      </c>
      <c r="P48" s="57" t="s">
        <v>555</v>
      </c>
    </row>
    <row r="49" spans="10:16">
      <c r="J49" s="57" t="s">
        <v>878</v>
      </c>
      <c r="K49" s="57" t="s">
        <v>556</v>
      </c>
      <c r="L49" s="57" t="s">
        <v>557</v>
      </c>
      <c r="M49" s="57" t="s">
        <v>558</v>
      </c>
      <c r="N49" s="57" t="s">
        <v>559</v>
      </c>
      <c r="O49" s="57" t="s">
        <v>560</v>
      </c>
      <c r="P49" s="57" t="s">
        <v>561</v>
      </c>
    </row>
    <row r="50" spans="10:16">
      <c r="J50" s="57" t="s">
        <v>879</v>
      </c>
      <c r="K50" s="57" t="s">
        <v>562</v>
      </c>
      <c r="L50" s="57" t="s">
        <v>563</v>
      </c>
      <c r="M50" s="57" t="s">
        <v>564</v>
      </c>
      <c r="N50" s="57" t="s">
        <v>340</v>
      </c>
      <c r="O50" s="57" t="s">
        <v>565</v>
      </c>
      <c r="P50" s="57" t="s">
        <v>566</v>
      </c>
    </row>
    <row r="51" spans="10:16">
      <c r="J51" s="57" t="s">
        <v>880</v>
      </c>
      <c r="K51" s="57" t="s">
        <v>567</v>
      </c>
      <c r="L51" s="57" t="s">
        <v>568</v>
      </c>
      <c r="M51" s="57" t="s">
        <v>569</v>
      </c>
      <c r="N51" s="57" t="s">
        <v>340</v>
      </c>
      <c r="O51" s="57" t="s">
        <v>570</v>
      </c>
      <c r="P51" s="57" t="s">
        <v>571</v>
      </c>
    </row>
    <row r="52" spans="10:16">
      <c r="J52" s="57" t="s">
        <v>881</v>
      </c>
      <c r="K52" s="57" t="s">
        <v>572</v>
      </c>
      <c r="L52" s="57" t="s">
        <v>573</v>
      </c>
      <c r="M52" s="57" t="s">
        <v>574</v>
      </c>
      <c r="N52" s="57" t="s">
        <v>575</v>
      </c>
      <c r="O52" s="57" t="s">
        <v>576</v>
      </c>
      <c r="P52" s="57" t="s">
        <v>577</v>
      </c>
    </row>
    <row r="53" spans="10:16">
      <c r="J53" s="57" t="s">
        <v>882</v>
      </c>
      <c r="K53" s="57" t="s">
        <v>578</v>
      </c>
      <c r="L53" s="57" t="s">
        <v>579</v>
      </c>
      <c r="M53" s="57" t="s">
        <v>580</v>
      </c>
      <c r="N53" s="57" t="s">
        <v>340</v>
      </c>
      <c r="O53" s="57" t="s">
        <v>581</v>
      </c>
      <c r="P53" s="57" t="s">
        <v>582</v>
      </c>
    </row>
    <row r="54" spans="10:16">
      <c r="J54" s="57" t="s">
        <v>883</v>
      </c>
      <c r="K54" s="57" t="s">
        <v>583</v>
      </c>
      <c r="L54" s="57" t="s">
        <v>584</v>
      </c>
      <c r="M54" s="57" t="s">
        <v>585</v>
      </c>
      <c r="N54" s="57" t="s">
        <v>586</v>
      </c>
      <c r="O54" s="57" t="s">
        <v>587</v>
      </c>
      <c r="P54" s="57" t="s">
        <v>588</v>
      </c>
    </row>
    <row r="55" spans="10:16">
      <c r="J55" s="57" t="s">
        <v>884</v>
      </c>
      <c r="K55" s="57" t="s">
        <v>589</v>
      </c>
      <c r="L55" s="57" t="s">
        <v>590</v>
      </c>
      <c r="M55" s="57" t="s">
        <v>591</v>
      </c>
      <c r="N55" s="57" t="s">
        <v>592</v>
      </c>
      <c r="O55" s="57" t="s">
        <v>593</v>
      </c>
      <c r="P55" s="57" t="s">
        <v>594</v>
      </c>
    </row>
    <row r="56" spans="10:16">
      <c r="J56" s="57" t="s">
        <v>885</v>
      </c>
      <c r="K56" s="57" t="s">
        <v>595</v>
      </c>
      <c r="L56" s="57" t="s">
        <v>596</v>
      </c>
      <c r="M56" s="57" t="s">
        <v>597</v>
      </c>
      <c r="N56" s="57" t="s">
        <v>340</v>
      </c>
      <c r="O56" s="57" t="s">
        <v>598</v>
      </c>
      <c r="P56" s="57" t="s">
        <v>599</v>
      </c>
    </row>
    <row r="57" spans="10:16">
      <c r="J57" s="57" t="s">
        <v>886</v>
      </c>
      <c r="K57" s="57" t="s">
        <v>600</v>
      </c>
      <c r="L57" s="57" t="s">
        <v>601</v>
      </c>
      <c r="M57" s="57" t="s">
        <v>602</v>
      </c>
      <c r="N57" s="57" t="s">
        <v>340</v>
      </c>
      <c r="O57" s="57" t="s">
        <v>603</v>
      </c>
      <c r="P57" s="57" t="s">
        <v>604</v>
      </c>
    </row>
    <row r="58" spans="10:16">
      <c r="J58" s="57" t="s">
        <v>887</v>
      </c>
      <c r="K58" s="57" t="s">
        <v>605</v>
      </c>
      <c r="L58" s="57" t="s">
        <v>606</v>
      </c>
      <c r="M58" s="57" t="s">
        <v>607</v>
      </c>
      <c r="N58" s="57" t="s">
        <v>340</v>
      </c>
      <c r="O58" s="57" t="s">
        <v>608</v>
      </c>
      <c r="P58" s="57" t="s">
        <v>609</v>
      </c>
    </row>
    <row r="59" spans="10:16">
      <c r="J59" s="57" t="s">
        <v>888</v>
      </c>
      <c r="K59" s="57" t="s">
        <v>610</v>
      </c>
      <c r="L59" s="57" t="s">
        <v>611</v>
      </c>
      <c r="M59" s="57" t="s">
        <v>612</v>
      </c>
      <c r="N59" s="57" t="s">
        <v>340</v>
      </c>
      <c r="O59" s="57" t="s">
        <v>613</v>
      </c>
      <c r="P59" s="57" t="s">
        <v>614</v>
      </c>
    </row>
    <row r="60" spans="10:16">
      <c r="J60" s="57" t="s">
        <v>889</v>
      </c>
      <c r="K60" s="57" t="s">
        <v>615</v>
      </c>
      <c r="L60" s="57" t="s">
        <v>53</v>
      </c>
      <c r="M60" s="57" t="s">
        <v>616</v>
      </c>
      <c r="N60" s="57" t="s">
        <v>617</v>
      </c>
      <c r="O60" s="57" t="s">
        <v>618</v>
      </c>
      <c r="P60" s="57" t="s">
        <v>619</v>
      </c>
    </row>
    <row r="61" spans="10:16">
      <c r="J61" s="57" t="s">
        <v>890</v>
      </c>
      <c r="K61" s="57" t="s">
        <v>620</v>
      </c>
      <c r="L61" s="57" t="s">
        <v>621</v>
      </c>
      <c r="M61" s="57" t="s">
        <v>622</v>
      </c>
      <c r="N61" s="57" t="s">
        <v>340</v>
      </c>
      <c r="O61" s="57" t="s">
        <v>623</v>
      </c>
      <c r="P61" s="57" t="s">
        <v>624</v>
      </c>
    </row>
    <row r="62" spans="10:16">
      <c r="J62" s="57" t="s">
        <v>891</v>
      </c>
      <c r="K62" s="57" t="s">
        <v>625</v>
      </c>
      <c r="L62" s="57" t="s">
        <v>626</v>
      </c>
      <c r="M62" s="57" t="s">
        <v>627</v>
      </c>
      <c r="N62" s="57" t="s">
        <v>367</v>
      </c>
      <c r="O62" s="57" t="s">
        <v>628</v>
      </c>
      <c r="P62" s="57" t="s">
        <v>629</v>
      </c>
    </row>
    <row r="63" spans="10:16">
      <c r="J63" s="57" t="s">
        <v>892</v>
      </c>
      <c r="K63" s="57" t="s">
        <v>630</v>
      </c>
      <c r="L63" s="57" t="s">
        <v>631</v>
      </c>
      <c r="M63" s="57" t="s">
        <v>632</v>
      </c>
      <c r="N63" s="57" t="s">
        <v>340</v>
      </c>
      <c r="O63" s="57" t="s">
        <v>633</v>
      </c>
      <c r="P63" s="57" t="s">
        <v>634</v>
      </c>
    </row>
    <row r="64" spans="10:16">
      <c r="J64" s="57" t="s">
        <v>893</v>
      </c>
      <c r="K64" s="57" t="s">
        <v>635</v>
      </c>
      <c r="L64" s="57" t="s">
        <v>636</v>
      </c>
      <c r="M64" s="57" t="s">
        <v>637</v>
      </c>
      <c r="N64" s="57" t="s">
        <v>638</v>
      </c>
      <c r="O64" s="57" t="s">
        <v>639</v>
      </c>
      <c r="P64" s="57" t="s">
        <v>640</v>
      </c>
    </row>
    <row r="65" spans="10:16">
      <c r="J65" s="57" t="s">
        <v>894</v>
      </c>
      <c r="K65" s="57" t="s">
        <v>641</v>
      </c>
      <c r="L65" s="57" t="s">
        <v>642</v>
      </c>
      <c r="M65" s="57" t="s">
        <v>643</v>
      </c>
      <c r="N65" s="57" t="s">
        <v>352</v>
      </c>
      <c r="O65" s="57" t="s">
        <v>644</v>
      </c>
      <c r="P65" s="57" t="s">
        <v>645</v>
      </c>
    </row>
    <row r="66" spans="10:16">
      <c r="J66" s="57" t="s">
        <v>895</v>
      </c>
      <c r="K66" s="57" t="s">
        <v>646</v>
      </c>
      <c r="L66" s="57" t="s">
        <v>647</v>
      </c>
      <c r="M66" s="57" t="s">
        <v>648</v>
      </c>
      <c r="N66" s="57" t="s">
        <v>340</v>
      </c>
      <c r="O66" s="57" t="s">
        <v>649</v>
      </c>
      <c r="P66" s="57" t="s">
        <v>650</v>
      </c>
    </row>
    <row r="67" spans="10:16">
      <c r="J67" s="57" t="s">
        <v>896</v>
      </c>
      <c r="K67" s="57" t="s">
        <v>651</v>
      </c>
      <c r="L67" s="57" t="s">
        <v>652</v>
      </c>
      <c r="M67" s="57" t="s">
        <v>653</v>
      </c>
      <c r="N67" s="57" t="s">
        <v>346</v>
      </c>
      <c r="O67" s="57" t="s">
        <v>654</v>
      </c>
      <c r="P67" s="57" t="s">
        <v>655</v>
      </c>
    </row>
    <row r="68" spans="10:16">
      <c r="J68" s="57" t="s">
        <v>897</v>
      </c>
      <c r="K68" s="57" t="s">
        <v>656</v>
      </c>
      <c r="L68" s="57" t="s">
        <v>657</v>
      </c>
      <c r="M68" s="57" t="s">
        <v>658</v>
      </c>
      <c r="N68" s="57" t="s">
        <v>340</v>
      </c>
      <c r="O68" s="57" t="s">
        <v>659</v>
      </c>
      <c r="P68" s="57" t="s">
        <v>660</v>
      </c>
    </row>
    <row r="69" spans="10:16">
      <c r="J69" s="57" t="s">
        <v>898</v>
      </c>
      <c r="K69" s="57" t="s">
        <v>661</v>
      </c>
      <c r="L69" s="57" t="s">
        <v>662</v>
      </c>
      <c r="M69" s="57" t="s">
        <v>663</v>
      </c>
      <c r="N69" s="57" t="s">
        <v>664</v>
      </c>
      <c r="O69" s="57" t="s">
        <v>665</v>
      </c>
      <c r="P69" s="57" t="s">
        <v>666</v>
      </c>
    </row>
    <row r="70" spans="10:16">
      <c r="J70" s="57" t="s">
        <v>899</v>
      </c>
      <c r="K70" s="57" t="s">
        <v>667</v>
      </c>
      <c r="L70" s="57" t="s">
        <v>668</v>
      </c>
      <c r="M70" s="57" t="s">
        <v>669</v>
      </c>
      <c r="N70" s="57" t="s">
        <v>340</v>
      </c>
      <c r="O70" s="57" t="s">
        <v>670</v>
      </c>
      <c r="P70" s="57" t="s">
        <v>671</v>
      </c>
    </row>
    <row r="71" spans="10:16">
      <c r="J71" s="57" t="s">
        <v>900</v>
      </c>
      <c r="K71" s="57" t="s">
        <v>672</v>
      </c>
      <c r="L71" s="57" t="s">
        <v>673</v>
      </c>
      <c r="M71" s="57" t="s">
        <v>674</v>
      </c>
      <c r="N71" s="57" t="s">
        <v>675</v>
      </c>
      <c r="O71" s="57" t="s">
        <v>676</v>
      </c>
      <c r="P71" s="57" t="s">
        <v>677</v>
      </c>
    </row>
    <row r="72" spans="10:16">
      <c r="J72" s="57" t="s">
        <v>901</v>
      </c>
      <c r="K72" s="57" t="s">
        <v>678</v>
      </c>
      <c r="L72" s="57" t="s">
        <v>679</v>
      </c>
      <c r="M72" s="57" t="s">
        <v>680</v>
      </c>
      <c r="N72" s="57" t="s">
        <v>340</v>
      </c>
      <c r="O72" s="57" t="s">
        <v>681</v>
      </c>
      <c r="P72" s="57" t="s">
        <v>682</v>
      </c>
    </row>
    <row r="73" spans="10:16">
      <c r="J73" s="57" t="s">
        <v>902</v>
      </c>
      <c r="K73" s="57" t="s">
        <v>683</v>
      </c>
      <c r="L73" s="57" t="s">
        <v>684</v>
      </c>
      <c r="M73" s="57" t="s">
        <v>685</v>
      </c>
      <c r="N73" s="57" t="s">
        <v>686</v>
      </c>
      <c r="O73" s="57" t="s">
        <v>687</v>
      </c>
      <c r="P73" s="57" t="s">
        <v>688</v>
      </c>
    </row>
    <row r="74" spans="10:16">
      <c r="J74" s="57" t="s">
        <v>903</v>
      </c>
      <c r="K74" s="57" t="s">
        <v>689</v>
      </c>
      <c r="L74" s="57" t="s">
        <v>690</v>
      </c>
      <c r="M74" s="57" t="s">
        <v>691</v>
      </c>
      <c r="N74" s="57" t="s">
        <v>340</v>
      </c>
      <c r="O74" s="57" t="s">
        <v>692</v>
      </c>
      <c r="P74" s="57" t="s">
        <v>693</v>
      </c>
    </row>
    <row r="75" spans="10:16">
      <c r="J75" s="57" t="s">
        <v>904</v>
      </c>
      <c r="K75" s="57" t="s">
        <v>694</v>
      </c>
      <c r="L75" s="57" t="s">
        <v>695</v>
      </c>
      <c r="M75" s="57" t="s">
        <v>696</v>
      </c>
      <c r="N75" s="57" t="s">
        <v>697</v>
      </c>
      <c r="O75" s="57" t="s">
        <v>698</v>
      </c>
      <c r="P75" s="57" t="s">
        <v>699</v>
      </c>
    </row>
    <row r="76" spans="10:16">
      <c r="J76" s="57" t="s">
        <v>905</v>
      </c>
      <c r="K76" s="57" t="s">
        <v>700</v>
      </c>
      <c r="L76" s="57" t="s">
        <v>701</v>
      </c>
      <c r="M76" s="57" t="s">
        <v>702</v>
      </c>
      <c r="N76" s="57" t="s">
        <v>340</v>
      </c>
      <c r="O76" s="57" t="s">
        <v>703</v>
      </c>
      <c r="P76" s="57" t="s">
        <v>704</v>
      </c>
    </row>
    <row r="77" spans="10:16">
      <c r="J77" s="57" t="s">
        <v>906</v>
      </c>
      <c r="K77" s="57" t="s">
        <v>705</v>
      </c>
      <c r="L77" s="57" t="s">
        <v>706</v>
      </c>
      <c r="M77" s="57" t="s">
        <v>707</v>
      </c>
      <c r="N77" s="57" t="s">
        <v>708</v>
      </c>
      <c r="O77" s="57" t="s">
        <v>709</v>
      </c>
      <c r="P77" s="57" t="s">
        <v>710</v>
      </c>
    </row>
    <row r="78" spans="10:16">
      <c r="J78" s="57" t="s">
        <v>907</v>
      </c>
      <c r="K78" s="57" t="s">
        <v>711</v>
      </c>
      <c r="L78" s="57" t="s">
        <v>712</v>
      </c>
      <c r="M78" s="57" t="s">
        <v>713</v>
      </c>
      <c r="N78" s="57" t="s">
        <v>340</v>
      </c>
      <c r="O78" s="57" t="s">
        <v>714</v>
      </c>
      <c r="P78" s="57" t="s">
        <v>715</v>
      </c>
    </row>
    <row r="79" spans="10:16">
      <c r="J79" s="57" t="s">
        <v>908</v>
      </c>
      <c r="K79" s="57" t="s">
        <v>716</v>
      </c>
      <c r="L79" s="57" t="s">
        <v>717</v>
      </c>
      <c r="M79" s="57" t="s">
        <v>718</v>
      </c>
      <c r="N79" s="57" t="s">
        <v>719</v>
      </c>
      <c r="O79" s="57" t="s">
        <v>720</v>
      </c>
      <c r="P79" s="57" t="s">
        <v>721</v>
      </c>
    </row>
    <row r="80" spans="10:16">
      <c r="J80" s="57" t="s">
        <v>909</v>
      </c>
      <c r="K80" s="57" t="s">
        <v>722</v>
      </c>
      <c r="L80" s="57" t="s">
        <v>723</v>
      </c>
      <c r="M80" s="57" t="s">
        <v>724</v>
      </c>
      <c r="N80" s="57" t="s">
        <v>340</v>
      </c>
      <c r="O80" s="57" t="s">
        <v>725</v>
      </c>
      <c r="P80" s="57" t="s">
        <v>726</v>
      </c>
    </row>
    <row r="81" spans="10:16">
      <c r="J81" s="57" t="s">
        <v>910</v>
      </c>
      <c r="K81" s="57" t="s">
        <v>727</v>
      </c>
      <c r="L81" s="57" t="s">
        <v>728</v>
      </c>
      <c r="M81" s="57" t="s">
        <v>729</v>
      </c>
      <c r="N81" s="57" t="s">
        <v>346</v>
      </c>
      <c r="O81" s="57" t="s">
        <v>730</v>
      </c>
      <c r="P81" s="57" t="s">
        <v>731</v>
      </c>
    </row>
    <row r="82" spans="10:16">
      <c r="J82" s="57" t="s">
        <v>911</v>
      </c>
      <c r="K82" s="57" t="s">
        <v>732</v>
      </c>
      <c r="L82" s="57" t="s">
        <v>733</v>
      </c>
      <c r="M82" s="57" t="s">
        <v>734</v>
      </c>
      <c r="N82" s="57" t="s">
        <v>340</v>
      </c>
      <c r="O82" s="57" t="s">
        <v>735</v>
      </c>
      <c r="P82" s="57" t="s">
        <v>736</v>
      </c>
    </row>
    <row r="83" spans="10:16">
      <c r="J83" s="57" t="s">
        <v>912</v>
      </c>
      <c r="K83" s="57" t="s">
        <v>737</v>
      </c>
      <c r="L83" s="57" t="s">
        <v>738</v>
      </c>
      <c r="M83" s="57" t="s">
        <v>739</v>
      </c>
      <c r="N83" s="57" t="s">
        <v>719</v>
      </c>
      <c r="O83" s="57" t="s">
        <v>740</v>
      </c>
      <c r="P83" s="57" t="s">
        <v>741</v>
      </c>
    </row>
    <row r="84" spans="10:16">
      <c r="J84" s="57" t="s">
        <v>913</v>
      </c>
      <c r="K84" s="57" t="s">
        <v>742</v>
      </c>
      <c r="L84" s="57" t="s">
        <v>743</v>
      </c>
      <c r="M84" s="57" t="s">
        <v>744</v>
      </c>
      <c r="N84" s="57" t="s">
        <v>340</v>
      </c>
      <c r="O84" s="57" t="s">
        <v>745</v>
      </c>
      <c r="P84" s="57" t="s">
        <v>746</v>
      </c>
    </row>
    <row r="85" spans="10:16">
      <c r="J85" s="57" t="s">
        <v>914</v>
      </c>
      <c r="K85" s="57" t="s">
        <v>747</v>
      </c>
      <c r="L85" s="57" t="s">
        <v>748</v>
      </c>
      <c r="M85" s="57" t="s">
        <v>749</v>
      </c>
      <c r="N85" s="57" t="s">
        <v>340</v>
      </c>
      <c r="O85" s="57" t="s">
        <v>750</v>
      </c>
      <c r="P85" s="57" t="s">
        <v>751</v>
      </c>
    </row>
    <row r="86" spans="10:16">
      <c r="J86" s="57" t="s">
        <v>915</v>
      </c>
      <c r="K86" s="57" t="s">
        <v>752</v>
      </c>
      <c r="L86" s="57" t="s">
        <v>753</v>
      </c>
      <c r="M86" s="57" t="s">
        <v>754</v>
      </c>
      <c r="N86" s="57" t="s">
        <v>409</v>
      </c>
      <c r="O86" s="57" t="s">
        <v>755</v>
      </c>
      <c r="P86" s="57" t="s">
        <v>756</v>
      </c>
    </row>
    <row r="87" spans="10:16">
      <c r="J87" s="57" t="s">
        <v>916</v>
      </c>
      <c r="K87" s="57" t="s">
        <v>757</v>
      </c>
      <c r="L87" s="57" t="s">
        <v>758</v>
      </c>
      <c r="M87" s="57" t="s">
        <v>759</v>
      </c>
      <c r="N87" s="57" t="s">
        <v>340</v>
      </c>
      <c r="O87" s="57" t="s">
        <v>760</v>
      </c>
      <c r="P87" s="57" t="s">
        <v>761</v>
      </c>
    </row>
    <row r="88" spans="10:16">
      <c r="J88" s="57" t="s">
        <v>917</v>
      </c>
      <c r="K88" s="57" t="s">
        <v>762</v>
      </c>
      <c r="L88" s="57" t="s">
        <v>763</v>
      </c>
      <c r="M88" s="57" t="s">
        <v>764</v>
      </c>
      <c r="N88" s="57" t="s">
        <v>346</v>
      </c>
      <c r="O88" s="57" t="s">
        <v>765</v>
      </c>
      <c r="P88" s="57" t="s">
        <v>766</v>
      </c>
    </row>
    <row r="89" spans="10:16">
      <c r="J89" s="57" t="s">
        <v>918</v>
      </c>
      <c r="K89" s="57" t="s">
        <v>767</v>
      </c>
      <c r="L89" s="57" t="s">
        <v>768</v>
      </c>
      <c r="M89" s="57" t="s">
        <v>769</v>
      </c>
      <c r="N89" s="57" t="s">
        <v>340</v>
      </c>
      <c r="O89" s="57" t="s">
        <v>770</v>
      </c>
      <c r="P89" s="57" t="s">
        <v>771</v>
      </c>
    </row>
    <row r="90" spans="10:16">
      <c r="J90" s="57" t="s">
        <v>919</v>
      </c>
      <c r="K90" s="57" t="s">
        <v>772</v>
      </c>
      <c r="L90" s="57" t="s">
        <v>773</v>
      </c>
      <c r="M90" s="57" t="s">
        <v>774</v>
      </c>
      <c r="N90" s="57" t="s">
        <v>340</v>
      </c>
      <c r="O90" s="57" t="s">
        <v>775</v>
      </c>
      <c r="P90" s="57" t="s">
        <v>776</v>
      </c>
    </row>
    <row r="91" spans="10:16">
      <c r="J91" s="57" t="s">
        <v>920</v>
      </c>
      <c r="K91" s="57" t="s">
        <v>777</v>
      </c>
      <c r="L91" s="57" t="s">
        <v>778</v>
      </c>
      <c r="M91" s="57" t="s">
        <v>779</v>
      </c>
      <c r="N91" s="57" t="s">
        <v>485</v>
      </c>
      <c r="O91" s="57" t="s">
        <v>780</v>
      </c>
      <c r="P91" s="57" t="s">
        <v>781</v>
      </c>
    </row>
    <row r="92" spans="10:16">
      <c r="J92" s="57" t="s">
        <v>921</v>
      </c>
      <c r="K92" s="57" t="s">
        <v>782</v>
      </c>
      <c r="L92" s="57" t="s">
        <v>783</v>
      </c>
      <c r="M92" s="57" t="s">
        <v>784</v>
      </c>
      <c r="N92" s="57" t="s">
        <v>367</v>
      </c>
      <c r="O92" s="57" t="s">
        <v>785</v>
      </c>
      <c r="P92" s="57" t="s">
        <v>786</v>
      </c>
    </row>
    <row r="93" spans="10:16">
      <c r="J93" s="57" t="s">
        <v>922</v>
      </c>
      <c r="K93" s="57" t="s">
        <v>787</v>
      </c>
      <c r="L93" s="57" t="s">
        <v>788</v>
      </c>
      <c r="M93" s="57" t="s">
        <v>789</v>
      </c>
      <c r="N93" s="57" t="s">
        <v>340</v>
      </c>
      <c r="O93" s="57" t="s">
        <v>790</v>
      </c>
      <c r="P93" s="57" t="s">
        <v>791</v>
      </c>
    </row>
    <row r="94" spans="10:16">
      <c r="J94" s="57" t="s">
        <v>923</v>
      </c>
      <c r="K94" s="57" t="s">
        <v>792</v>
      </c>
      <c r="L94" s="57" t="s">
        <v>793</v>
      </c>
      <c r="M94" s="57" t="s">
        <v>794</v>
      </c>
      <c r="N94" s="57" t="s">
        <v>340</v>
      </c>
      <c r="O94" s="57" t="s">
        <v>795</v>
      </c>
      <c r="P94" s="57" t="s">
        <v>796</v>
      </c>
    </row>
    <row r="95" spans="10:16">
      <c r="J95" s="57" t="s">
        <v>924</v>
      </c>
      <c r="K95" s="65" t="s">
        <v>797</v>
      </c>
      <c r="L95" s="65" t="s">
        <v>798</v>
      </c>
      <c r="M95" s="65" t="s">
        <v>799</v>
      </c>
      <c r="N95" s="65" t="s">
        <v>800</v>
      </c>
      <c r="O95" s="65" t="s">
        <v>801</v>
      </c>
      <c r="P95" s="65" t="s">
        <v>802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18</vt:i4>
      </vt:variant>
    </vt:vector>
  </HeadingPairs>
  <TitlesOfParts>
    <vt:vector size="25" baseType="lpstr">
      <vt:lpstr>거래명세서(입력)</vt:lpstr>
      <vt:lpstr>거래명세서(출력)</vt:lpstr>
      <vt:lpstr>발급대장</vt:lpstr>
      <vt:lpstr>상세항목</vt:lpstr>
      <vt:lpstr>제품목록</vt:lpstr>
      <vt:lpstr>고객목록</vt:lpstr>
      <vt:lpstr>@작업시트</vt:lpstr>
      <vt:lpstr>'@작업시트'!Criteria</vt:lpstr>
      <vt:lpstr>'@작업시트'!Extract</vt:lpstr>
      <vt:lpstr>nmD_고객코드</vt:lpstr>
      <vt:lpstr>nmD_발급번호</vt:lpstr>
      <vt:lpstr>nmD_상세항목시작</vt:lpstr>
      <vt:lpstr>nmD_상호</vt:lpstr>
      <vt:lpstr>nmD_인수자</vt:lpstr>
      <vt:lpstr>nmD_작성일</vt:lpstr>
      <vt:lpstr>nmD_전화번호</vt:lpstr>
      <vt:lpstr>nmD_주소</vt:lpstr>
      <vt:lpstr>nmD_합계</vt:lpstr>
      <vt:lpstr>nmMax코드</vt:lpstr>
      <vt:lpstr>nm고객목록_조건</vt:lpstr>
      <vt:lpstr>nm고객목록_출력</vt:lpstr>
      <vt:lpstr>nm상세항목_조건</vt:lpstr>
      <vt:lpstr>nm상세항목_출력</vt:lpstr>
      <vt:lpstr>nm품목코드</vt:lpstr>
      <vt:lpstr>'거래명세서(출력)'!Print_Titles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2014-02-26T07:08:02Z</cp:lastPrinted>
  <dcterms:created xsi:type="dcterms:W3CDTF">2013-11-01T06:50:11Z</dcterms:created>
  <dcterms:modified xsi:type="dcterms:W3CDTF">2014-05-17T16:10:52Z</dcterms:modified>
  <cp:category>엑셀 매크로</cp:category>
</cp:coreProperties>
</file>