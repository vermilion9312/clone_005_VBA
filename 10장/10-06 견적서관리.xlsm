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<sst xmlns="http://schemas.openxmlformats.org/spreadsheetml/2006/main" count="910" uniqueCount="547">
  <si>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</si>
  <si>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</si>
  <si>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</si>
  <si>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</si>
  <si>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</si>
  <si>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</si>
  <si>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</si>
  <si>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</si>
  <si>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</si>
  <si>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</si>
  <si>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</si>
  <si>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</si>
  <si>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</si>
  <si>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</si>
  <si>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</si>
  <si>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</si>
  <si>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</si>
  <si>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</si>
  <si>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</si>
  <si>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</si>
  <si>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</si>
  <si>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</si>
  <si>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</si>
  <si>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</si>
  <si>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</si>
  <si>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</si>
  <si>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</si>
  <si>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</si>
  <si>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</si>
  <si>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</si>
  <si>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</si>
  <si>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</si>
  <si>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</si>
  <si>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</si>
  <si>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</si>
  <si>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</si>
  <si>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</si>
  <si>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</si>
  <si>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</si>
  <si>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</si>
  <si>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</si>
  <si>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</si>
  <si>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</si>
  <si>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</si>
  <si>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</si>
  <si>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</si>
  <si>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</si>
  <si>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</si>
  <si>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</si>
  <si>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</si>
  <si>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</si>
  <si>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</si>
  <si>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</si>
  <si>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</si>
  <si>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</si>
  <si>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</si>
  <si>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</si>
  <si>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</si>
  <si>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</si>
  <si>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</si>
  <si>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</si>
  <si>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</si>
  <si>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</si>
  <si>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</si>
  <si>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</si>
  <si>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</si>
  <si>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</si>
  <si>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</si>
  <si>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</si>
  <si>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</si>
  <si>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</si>
  <si>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</si>
  <si>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</si>
  <si>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</si>
  <si>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</si>
  <si>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</si>
  <si>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</si>
  <si>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</si>
  <si>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</si>
  <si>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</si>
  <si>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</si>
  <si>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</si>
  <si>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</si>
  <si>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</si>
  <si>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</si>
  <si>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</si>
  <si>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</si>
  <si>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</si>
  <si>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</si>
  <si>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</si>
  <si>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</si>
  <si>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</si>
  <si>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</si>
  <si>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</si>
  <si>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</si>
  <si>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</si>
  <si>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</si>
  <si>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</si>
  <si>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</si>
  <si>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</si>
  <si>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</si>
  <si>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</si>
  <si>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</si>
  <si>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</si>
  <si>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</si>
  <si>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</si>
  <si>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</si>
  <si>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</si>
  <si>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</si>
  <si>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</si>
  <si>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</si>
  <si>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</si>
  <si>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</si>
  <si>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</si>
  <si>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</si>
  <si>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</si>
  <si>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</si>
  <si>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</si>
  <si>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</si>
  <si>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</si>
  <si>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</si>
  <si>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</si>
  <si>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</si>
  <si>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</si>
  <si>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</si>
  <si>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</si>
  <si>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</si>
  <si>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</si>
  <si>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</si>
  <si>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</si>
  <si>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</si>
  <si>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</si>
  <si>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</si>
  <si>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</si>
  <si>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</si>
  <si>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</si>
  <si>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</si>
  <si>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</si>
  <si>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</si>
  <si>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</si>
  <si>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</si>
  <si>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</si>
  <si>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</si>
  <si>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</si>
  <si>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</si>
  <si>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</si>
  <si>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</si>
  <si>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</si>
  <si>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</si>
  <si>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</si>
  <si>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</si>
  <si>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</si>
  <si>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</si>
  <si>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</si>
  <si>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</si>
  <si>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</si>
  <si>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</si>
  <si>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</si>
  <si>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</si>
  <si>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</si>
  <si>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</si>
  <si>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</si>
  <si>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</si>
  <si>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</si>
  <si>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</si>
  <si>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</si>
  <si>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</si>
  <si>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</si>
  <si>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</si>
  <si>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</si>
  <si>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</si>
  <si>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</si>
  <si>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</si>
  <si>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</si>
  <si>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</si>
  <si>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</si>
  <si>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</si>
  <si>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</si>
  <si>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</si>
  <si>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</si>
  <si>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</si>
  <si>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</si>
  <si>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</si>
  <si>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</si>
  <si>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</si>
  <si>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</si>
  <si>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</si>
  <si>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</si>
  <si>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</si>
  <si>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</si>
  <si>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</si>
  <si>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</si>
  <si>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</si>
  <si>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</si>
  <si>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</si>
  <si>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</si>
  <si>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</si>
  <si>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</si>
  <si>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</si>
  <si>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</si>
  <si>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</si>
  <si>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</si>
  <si>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</si>
  <si>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</si>
  <si>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</si>
  <si>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</si>
  <si>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</si>
  <si>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</si>
  <si>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</si>
  <si>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</si>
  <si>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</si>
  <si>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</si>
  <si>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</si>
  <si>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</si>
  <si>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</si>
  <si>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</si>
  <si>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</si>
  <si>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</si>
  <si>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</si>
  <si>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</si>
  <si>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</si>
  <si>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</si>
  <si>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</si>
  <si>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</si>
  <si>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</si>
  <si>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</si>
  <si>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</si>
  <si>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</si>
  <si>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</si>
  <si>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</si>
  <si>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</si>
  <si>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</si>
  <si>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</si>
  <si>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</si>
  <si>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</si>
  <si>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</si>
  <si>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</si>
  <si>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</si>
  <si>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</si>
  <si>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</si>
  <si>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</si>
  <si>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</si>
  <si>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</si>
  <si>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</si>
  <si>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</si>
  <si>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</si>
  <si>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</si>
  <si>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</si>
  <si>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</si>
  <si>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</si>
  <si>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</si>
  <si>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</si>
  <si>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</si>
  <si>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</si>
  <si>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</si>
  <si>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</si>
  <si>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</si>
  <si>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</si>
  <si>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</si>
  <si>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</si>
  <si>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</si>
  <si>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</si>
  <si>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</si>
  <si>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</si>
  <si>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</si>
  <si>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</si>
  <si>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</si>
  <si>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</si>
  <si>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</si>
  <si>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</si>
  <si>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</si>
  <si>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</si>
  <si>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</si>
  <si>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</si>
  <si>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</si>
  <si>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</si>
  <si>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</si>
  <si>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</si>
  <si>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</si>
  <si>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</si>
  <si>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</si>
  <si>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</si>
  <si>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</si>
  <si>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</si>
  <si>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</si>
  <si>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</si>
  <si>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</si>
  <si>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</si>
  <si>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</si>
  <si>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</si>
  <si>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</si>
  <si>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</si>
  <si>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</si>
  <si>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</si>
  <si>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</si>
  <si>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</si>
  <si>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</si>
  <si>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</si>
  <si>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</si>
  <si>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</si>
  <si>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</si>
  <si>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</si>
  <si>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</si>
  <si>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</si>
  <si>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</si>
  <si>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</si>
  <si>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</si>
  <si>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</si>
  <si>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</si>
  <si>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</si>
  <si>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</si>
  <si>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</si>
  <si>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</si>
  <si>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</si>
  <si>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</si>
  <si>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</si>
  <si>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</si>
  <si>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</si>
  <si>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</si>
  <si>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</si>
  <si>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</si>
  <si>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</si>
  <si>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</si>
  <si>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</si>
  <si>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</si>
  <si>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</si>
  <si>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</si>
  <si>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</si>
  <si>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</si>
  <si>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</si>
  <si>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</si>
  <si>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</si>
  <si>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</si>
  <si>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</si>
  <si>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</si>
  <si>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</si>
  <si>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</si>
  <si>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</si>
  <si>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</si>
  <si>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</si>
  <si>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</si>
  <si>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</si>
  <si>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</si>
  <si>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</si>
  <si>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</si>
  <si>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</si>
  <si>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</si>
  <si>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</si>
  <si>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</si>
  <si>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</si>
  <si>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</si>
  <si>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</si>
  <si>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</si>
  <si>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</si>
  <si>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</si>
  <si>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</si>
  <si>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</si>
  <si>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</si>
  <si>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</si>
  <si>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</si>
  <si>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</si>
  <si>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</si>
  <si>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</si>
  <si>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</si>
  <si>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</si>
  <si>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</si>
  <si>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</si>
  <si>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</si>
  <si>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</si>
  <si>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</si>
  <si>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</si>
  <si>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</si>
  <si>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</si>
  <si>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</si>
  <si>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</si>
  <si>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</si>
  <si>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</si>
  <si>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</si>
  <si>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</si>
  <si>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</si>
  <si>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</si>
  <si>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</si>
  <si>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</si>
  <si>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</si>
  <si>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</si>
  <si>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</si>
  <si>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</si>
  <si>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</si>
  <si>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</si>
  <si>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</si>
  <si>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</si>
  <si>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</si>
  <si>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</si>
  <si>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</si>
  <si>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</si>
  <si>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</si>
  <si>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</si>
  <si>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</si>
  <si>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</si>
  <si>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</si>
  <si>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</si>
  <si>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</si>
  <si>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</si>
  <si>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</si>
  <si>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</si>
  <si>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</si>
  <si>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</si>
  <si>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</si>
  <si>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</si>
  <si>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</si>
  <si>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</si>
  <si>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</si>
  <si>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</si>
  <si>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</si>
  <si>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</si>
  <si>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</si>
  <si>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</si>
  <si>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</si>
  <si>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</si>
  <si>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</si>
  <si>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</si>
  <si>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</si>
  <si>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</si>
  <si>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</si>
  <si>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</si>
  <si>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</si>
  <si>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</si>
  <si>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</si>
  <si>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</si>
  <si>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</si>
  <si>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</si>
  <si>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</si>
  <si>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</si>
  <si>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</si>
  <si>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</si>
  <si>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</si>
  <si>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</si>
  <si>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</si>
  <si>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</si>
  <si>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</si>
  <si>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</si>
  <si>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</si>
  <si>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</si>
  <si>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PPT-01</t>
  </si>
  <si>
    <t>031-822-0000</t>
  </si>
  <si>
    <t>천안 교육장</t>
  </si>
  <si>
    <t>김미려</t>
  </si>
  <si>
    <t>02-111-2225</t>
  </si>
  <si>
    <t>010-111-1234</t>
  </si>
  <si>
    <t>ddd@gilbut.co.kr</t>
  </si>
  <si>
    <t>2014-005</t>
  </si>
  <si>
    <t>2014-005</t>
    <phoneticPr fontId="1" type="noConversion"/>
  </si>
  <si>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</si>
  <si>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</si>
  <si>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</si>
  <si>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</si>
  <si>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</si>
  <si>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</si>
  <si>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</si>
  <si>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</si>
  <si>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</si>
  <si>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</si>
  <si>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</si>
  <si>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</si>
  <si>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</si>
  <si>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</si>
  <si>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</si>
  <si>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</si>
  <si>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</si>
  <si>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</si>
  <si>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</si>
  <si>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</si>
  <si>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</si>
  <si>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</si>
  <si>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</si>
  <si>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</si>
  <si>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</si>
  <si>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</si>
  <si>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</si>
  <si>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</si>
  <si>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</si>
  <si>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</si>
  <si>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</si>
  <si>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동서석유화학㈜</t>
    <phoneticPr fontId="1" type="noConversion"/>
  </si>
  <si>
    <t>유병찬</t>
    <phoneticPr fontId="1" type="noConversion"/>
  </si>
  <si>
    <t>620-1485</t>
    <phoneticPr fontId="1" type="noConversion"/>
  </si>
  <si>
    <t>aaa@aaa.com</t>
    <phoneticPr fontId="1" type="noConversion"/>
  </si>
  <si>
    <t>전산실</t>
    <phoneticPr fontId="1" type="noConversion"/>
  </si>
  <si>
    <t>정유진</t>
    <phoneticPr fontId="1" type="noConversion"/>
  </si>
  <si>
    <t>02-111-2222</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</si>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</sst>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490</v>
      </c>
    </row>
    <row r="4" spans="2:19" ht="24.75" customHeight="1" x14ac:dyDescent="0.3">
      <c r="B4" s="112" t="s">
        <v>491</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492</v>
      </c>
      <c r="D6" s="114"/>
      <c r="E6" s="114"/>
      <c r="F6" s="114"/>
      <c r="G6" s="114"/>
      <c r="H6" s="114"/>
      <c r="I6" s="114"/>
      <c r="J6" s="114"/>
      <c r="K6" s="114"/>
      <c r="L6" s="114"/>
      <c r="M6" s="114"/>
      <c r="N6" s="114"/>
      <c r="O6" s="114"/>
      <c r="P6" s="114"/>
      <c r="Q6" s="114"/>
      <c r="R6" s="114"/>
      <c r="S6" s="114"/>
    </row>
    <row r="7" spans="2:19" x14ac:dyDescent="0.3">
      <c r="B7" s="114"/>
      <c r="D7" s="115" t="s">
        <v>493</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494</v>
      </c>
      <c r="D46" s="115"/>
      <c r="E46" s="114"/>
      <c r="F46" s="114"/>
      <c r="G46" s="114"/>
      <c r="H46" s="114"/>
      <c r="I46" s="114"/>
      <c r="J46" s="114"/>
      <c r="K46" s="114"/>
      <c r="L46" s="114"/>
      <c r="M46" s="114"/>
      <c r="N46" s="114"/>
      <c r="O46" s="114"/>
      <c r="P46" s="114"/>
      <c r="Q46" s="114"/>
      <c r="R46" s="114"/>
      <c r="S46" s="114"/>
    </row>
    <row r="47" spans="2:19" x14ac:dyDescent="0.3">
      <c r="B47" s="114"/>
      <c r="D47" s="115" t="s">
        <v>495</v>
      </c>
      <c r="E47" s="114"/>
      <c r="F47" s="114"/>
      <c r="G47" s="114"/>
      <c r="H47" s="114"/>
      <c r="I47" s="114"/>
      <c r="J47" s="114"/>
      <c r="K47" s="114"/>
      <c r="L47" s="114"/>
      <c r="M47" s="114"/>
      <c r="N47" s="114"/>
      <c r="O47" s="114"/>
      <c r="P47" s="114"/>
      <c r="Q47" s="114"/>
      <c r="R47" s="114"/>
      <c r="S47" s="114"/>
    </row>
    <row r="48" spans="2:19" x14ac:dyDescent="0.3">
      <c r="B48" s="114"/>
      <c r="D48" s="115" t="s">
        <v>442</v>
      </c>
      <c r="E48" s="114"/>
      <c r="F48" s="114"/>
      <c r="G48" s="114"/>
      <c r="H48" s="114"/>
      <c r="I48" s="114"/>
      <c r="J48" s="114"/>
      <c r="K48" s="114"/>
      <c r="L48" s="114"/>
      <c r="M48" s="114"/>
      <c r="N48" s="114"/>
      <c r="O48" s="114"/>
      <c r="P48" s="114"/>
      <c r="Q48" s="114"/>
      <c r="R48" s="114"/>
      <c r="S48" s="114"/>
    </row>
    <row r="49" spans="2:19" x14ac:dyDescent="0.3">
      <c r="B49" s="114"/>
      <c r="D49" s="115" t="s">
        <v>496</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497</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498</v>
      </c>
      <c r="D82" s="114"/>
      <c r="E82" s="114"/>
      <c r="F82" s="114"/>
      <c r="G82" s="114"/>
      <c r="H82" s="114"/>
      <c r="I82" s="114"/>
      <c r="J82" s="114"/>
      <c r="K82" s="114"/>
      <c r="L82" s="114"/>
      <c r="M82" s="114"/>
      <c r="N82" s="114"/>
      <c r="O82" s="114"/>
      <c r="P82" s="114"/>
      <c r="Q82" s="114"/>
      <c r="R82" s="114"/>
    </row>
    <row r="83" spans="3:18" ht="13.5" customHeight="1" x14ac:dyDescent="0.3">
      <c r="D83" s="115" t="s">
        <v>499</v>
      </c>
      <c r="E83" s="114"/>
      <c r="F83" s="114"/>
      <c r="G83" s="114"/>
      <c r="H83" s="114"/>
      <c r="I83" s="114"/>
      <c r="J83" s="114"/>
      <c r="K83" s="114"/>
      <c r="L83" s="114"/>
      <c r="M83" s="114"/>
      <c r="N83" s="114"/>
      <c r="O83" s="114"/>
      <c r="P83" s="114"/>
      <c r="Q83" s="114"/>
      <c r="R83" s="114"/>
    </row>
    <row r="84" spans="3:18" ht="13.5" customHeight="1" x14ac:dyDescent="0.3">
      <c r="C84" s="114"/>
      <c r="D84" s="115" t="s">
        <v>500</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501</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502</v>
      </c>
    </row>
    <row r="119" spans="3:18" customFormat="1" ht="16.5" x14ac:dyDescent="0.3">
      <c r="C119" s="111"/>
      <c r="D119" s="125" t="s">
        <v>503</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504</v>
      </c>
      <c r="D140" s="114"/>
      <c r="E140" s="114"/>
      <c r="F140" s="114"/>
      <c r="G140" s="114"/>
      <c r="H140" s="114"/>
      <c r="I140" s="114"/>
      <c r="J140" s="114"/>
      <c r="K140" s="114"/>
      <c r="L140" s="114"/>
      <c r="M140" s="114"/>
      <c r="N140" s="114"/>
      <c r="O140" s="114"/>
      <c r="P140" s="114"/>
      <c r="Q140" s="114"/>
      <c r="R140" s="114"/>
    </row>
    <row r="141" spans="3:18" x14ac:dyDescent="0.3">
      <c r="D141" s="115" t="s">
        <v>505</v>
      </c>
      <c r="E141" s="114"/>
      <c r="F141" s="114"/>
      <c r="G141" s="114"/>
      <c r="H141" s="114"/>
      <c r="I141" s="114"/>
      <c r="J141" s="114"/>
      <c r="K141" s="114"/>
      <c r="L141" s="114"/>
      <c r="M141" s="114"/>
      <c r="N141" s="114"/>
      <c r="O141" s="114"/>
      <c r="P141" s="114"/>
      <c r="Q141" s="114"/>
      <c r="R141" s="114"/>
    </row>
    <row r="142" spans="3:18" x14ac:dyDescent="0.3">
      <c r="C142" s="114"/>
      <c r="D142" s="114" t="s">
        <v>506</v>
      </c>
      <c r="E142" s="114"/>
      <c r="F142" s="114"/>
      <c r="G142" s="114"/>
      <c r="H142" s="114"/>
      <c r="I142" s="114"/>
      <c r="J142" s="114"/>
      <c r="K142" s="114"/>
      <c r="L142" s="114"/>
      <c r="M142" s="114"/>
      <c r="N142" s="114"/>
      <c r="O142" s="114"/>
      <c r="P142" s="114"/>
      <c r="Q142" s="114"/>
      <c r="R142" s="114"/>
    </row>
    <row r="143" spans="3:18" x14ac:dyDescent="0.3">
      <c r="C143" s="114"/>
      <c r="D143" s="114" t="s">
        <v>507</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508</v>
      </c>
    </row>
    <row r="184" spans="2:18" ht="7.5" customHeight="1" x14ac:dyDescent="0.3">
      <c r="D184" s="114"/>
      <c r="E184" s="114"/>
      <c r="F184" s="114"/>
      <c r="G184" s="114"/>
      <c r="H184" s="114"/>
      <c r="I184" s="114"/>
      <c r="J184" s="114"/>
      <c r="K184" s="114"/>
    </row>
    <row r="185" spans="2:18" ht="16.5" x14ac:dyDescent="0.3">
      <c r="C185" s="113" t="s">
        <v>509</v>
      </c>
      <c r="D185" s="114"/>
      <c r="E185" s="114"/>
      <c r="F185" s="114"/>
      <c r="G185" s="114"/>
      <c r="H185" s="114"/>
      <c r="I185" s="114"/>
      <c r="J185" s="114"/>
      <c r="K185" s="114"/>
    </row>
    <row r="186" spans="2:18" x14ac:dyDescent="0.3">
      <c r="D186" s="114" t="s">
        <v>510</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511</v>
      </c>
      <c r="E188" s="157"/>
      <c r="F188" s="144" t="s">
        <v>512</v>
      </c>
      <c r="G188" s="145"/>
      <c r="H188" s="145"/>
      <c r="I188" s="145"/>
      <c r="J188" s="145"/>
      <c r="K188" s="146"/>
    </row>
    <row r="189" spans="2:18" ht="28.5" customHeight="1" x14ac:dyDescent="0.3">
      <c r="D189" s="156" t="s">
        <v>513</v>
      </c>
      <c r="E189" s="156"/>
      <c r="F189" s="141" t="s">
        <v>514</v>
      </c>
      <c r="G189" s="142"/>
      <c r="H189" s="142"/>
      <c r="I189" s="142"/>
      <c r="J189" s="142"/>
      <c r="K189" s="142"/>
    </row>
    <row r="190" spans="2:18" ht="31.5" customHeight="1" x14ac:dyDescent="0.3">
      <c r="D190" s="156" t="s">
        <v>515</v>
      </c>
      <c r="E190" s="156"/>
      <c r="F190" s="141" t="s">
        <v>516</v>
      </c>
      <c r="G190" s="142"/>
      <c r="H190" s="142"/>
      <c r="I190" s="142"/>
      <c r="J190" s="142"/>
      <c r="K190" s="142"/>
    </row>
    <row r="191" spans="2:18" ht="29.25" customHeight="1" x14ac:dyDescent="0.3">
      <c r="D191" s="156" t="s">
        <v>517</v>
      </c>
      <c r="E191" s="156"/>
      <c r="F191" s="141" t="s">
        <v>518</v>
      </c>
      <c r="G191" s="142"/>
      <c r="H191" s="142"/>
      <c r="I191" s="142"/>
      <c r="J191" s="142"/>
      <c r="K191" s="142"/>
    </row>
    <row r="192" spans="2:18" ht="27.75" customHeight="1" x14ac:dyDescent="0.3">
      <c r="D192" s="156" t="s">
        <v>519</v>
      </c>
      <c r="E192" s="156"/>
      <c r="F192" s="141" t="s">
        <v>520</v>
      </c>
      <c r="G192" s="142"/>
      <c r="H192" s="142"/>
      <c r="I192" s="142"/>
      <c r="J192" s="142"/>
      <c r="K192" s="142"/>
    </row>
    <row r="193" spans="3:14" ht="27.75" customHeight="1" x14ac:dyDescent="0.3">
      <c r="D193" s="156" t="s">
        <v>521</v>
      </c>
      <c r="E193" s="156"/>
      <c r="F193" s="141" t="s">
        <v>522</v>
      </c>
      <c r="G193" s="142"/>
      <c r="H193" s="142"/>
      <c r="I193" s="142"/>
      <c r="J193" s="142"/>
      <c r="K193" s="142"/>
    </row>
    <row r="194" spans="3:14" ht="30.75" customHeight="1" x14ac:dyDescent="0.3">
      <c r="D194" s="140" t="s">
        <v>523</v>
      </c>
      <c r="E194" s="140"/>
      <c r="F194" s="141" t="s">
        <v>524</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525</v>
      </c>
      <c r="D197" s="114"/>
      <c r="E197" s="114"/>
      <c r="F197" s="114"/>
      <c r="G197" s="114"/>
      <c r="H197" s="114"/>
      <c r="I197" s="114"/>
      <c r="J197" s="114"/>
      <c r="K197" s="114"/>
    </row>
    <row r="198" spans="3:14" x14ac:dyDescent="0.3">
      <c r="D198" s="114" t="s">
        <v>526</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527</v>
      </c>
      <c r="E200" s="143"/>
      <c r="F200" s="143"/>
      <c r="G200" s="144" t="s">
        <v>528</v>
      </c>
      <c r="H200" s="145"/>
      <c r="I200" s="145"/>
      <c r="J200" s="146"/>
      <c r="K200" s="143" t="s">
        <v>529</v>
      </c>
      <c r="L200" s="143"/>
      <c r="M200" s="143"/>
      <c r="N200" s="143"/>
    </row>
    <row r="201" spans="3:14" ht="16.5" x14ac:dyDescent="0.3">
      <c r="D201" s="136" t="s">
        <v>393</v>
      </c>
      <c r="E201" s="136"/>
      <c r="F201" s="136"/>
      <c r="G201" s="137" t="s">
        <v>394</v>
      </c>
      <c r="H201" s="138"/>
      <c r="I201" s="138"/>
      <c r="J201" s="139"/>
      <c r="K201" s="147" t="s">
        <v>530</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531</v>
      </c>
      <c r="L217" s="135"/>
      <c r="M217" s="135"/>
      <c r="N217" s="135"/>
    </row>
    <row r="218" spans="4:14" ht="16.5" x14ac:dyDescent="0.3">
      <c r="D218" s="131" t="s">
        <v>427</v>
      </c>
      <c r="E218" s="131"/>
      <c r="F218" s="131"/>
      <c r="G218" s="132" t="s">
        <v>428</v>
      </c>
      <c r="H218" s="133"/>
      <c r="I218" s="133"/>
      <c r="J218" s="134"/>
      <c r="K218" s="135" t="s">
        <v>532</v>
      </c>
      <c r="L218" s="135"/>
      <c r="M218" s="135"/>
      <c r="N218" s="135"/>
    </row>
    <row r="219" spans="4:14" ht="16.5" x14ac:dyDescent="0.3">
      <c r="D219" s="131" t="s">
        <v>429</v>
      </c>
      <c r="E219" s="131"/>
      <c r="F219" s="131"/>
      <c r="G219" s="132" t="s">
        <v>430</v>
      </c>
      <c r="H219" s="133"/>
      <c r="I219" s="133"/>
      <c r="J219" s="134"/>
      <c r="K219" s="135" t="s">
        <v>533</v>
      </c>
      <c r="L219" s="135"/>
      <c r="M219" s="135"/>
      <c r="N219" s="135"/>
    </row>
    <row r="220" spans="4:14" ht="16.5" x14ac:dyDescent="0.3">
      <c r="D220" s="131" t="s">
        <v>431</v>
      </c>
      <c r="E220" s="131"/>
      <c r="F220" s="131"/>
      <c r="G220" s="132" t="s">
        <v>432</v>
      </c>
      <c r="H220" s="133"/>
      <c r="I220" s="133"/>
      <c r="J220" s="134"/>
      <c r="K220" s="135" t="s">
        <v>534</v>
      </c>
      <c r="L220" s="135"/>
      <c r="M220" s="135"/>
      <c r="N220" s="135"/>
    </row>
    <row r="221" spans="4:14" ht="16.5" x14ac:dyDescent="0.3">
      <c r="D221" s="131" t="s">
        <v>433</v>
      </c>
      <c r="E221" s="131"/>
      <c r="F221" s="131"/>
      <c r="G221" s="132" t="s">
        <v>434</v>
      </c>
      <c r="H221" s="133"/>
      <c r="I221" s="133"/>
      <c r="J221" s="134"/>
      <c r="K221" s="135" t="s">
        <v>535</v>
      </c>
      <c r="L221" s="135"/>
      <c r="M221" s="135"/>
      <c r="N221" s="135"/>
    </row>
    <row r="222" spans="4:14" ht="16.5" x14ac:dyDescent="0.3">
      <c r="D222" s="131" t="s">
        <v>435</v>
      </c>
      <c r="E222" s="131"/>
      <c r="F222" s="131"/>
      <c r="G222" s="132" t="s">
        <v>436</v>
      </c>
      <c r="H222" s="133"/>
      <c r="I222" s="133"/>
      <c r="J222" s="134"/>
      <c r="K222" s="135" t="s">
        <v>536</v>
      </c>
      <c r="L222" s="135"/>
      <c r="M222" s="135"/>
      <c r="N222" s="135"/>
    </row>
    <row r="223" spans="4:14" ht="16.5" x14ac:dyDescent="0.3">
      <c r="D223" s="131" t="s">
        <v>437</v>
      </c>
      <c r="E223" s="131"/>
      <c r="F223" s="131"/>
      <c r="G223" s="132" t="s">
        <v>438</v>
      </c>
      <c r="H223" s="133"/>
      <c r="I223" s="133"/>
      <c r="J223" s="134"/>
      <c r="K223" s="135" t="s">
        <v>537</v>
      </c>
      <c r="L223" s="135"/>
      <c r="M223" s="135"/>
      <c r="N223" s="135"/>
    </row>
    <row r="224" spans="4:14" ht="16.5" x14ac:dyDescent="0.3">
      <c r="D224" s="126" t="s">
        <v>538</v>
      </c>
      <c r="E224" s="126"/>
      <c r="F224" s="126"/>
      <c r="G224" s="127" t="s">
        <v>539</v>
      </c>
      <c r="H224" s="128"/>
      <c r="I224" s="128"/>
      <c r="J224" s="129"/>
      <c r="K224" s="130" t="s">
        <v>540</v>
      </c>
      <c r="L224" s="130"/>
      <c r="M224" s="130"/>
      <c r="N224" s="130"/>
    </row>
    <row r="225" spans="3:18" ht="16.5" x14ac:dyDescent="0.3">
      <c r="D225" s="126" t="s">
        <v>541</v>
      </c>
      <c r="E225" s="126"/>
      <c r="F225" s="126"/>
      <c r="G225" s="127" t="s">
        <v>539</v>
      </c>
      <c r="H225" s="128"/>
      <c r="I225" s="128"/>
      <c r="J225" s="129"/>
      <c r="K225" s="130" t="s">
        <v>542</v>
      </c>
      <c r="L225" s="130"/>
      <c r="M225" s="130"/>
      <c r="N225" s="130"/>
    </row>
    <row r="226" spans="3:18" ht="16.5" x14ac:dyDescent="0.3">
      <c r="D226" s="126" t="s">
        <v>543</v>
      </c>
      <c r="E226" s="126"/>
      <c r="F226" s="126"/>
      <c r="G226" s="127" t="s">
        <v>539</v>
      </c>
      <c r="H226" s="128"/>
      <c r="I226" s="128"/>
      <c r="J226" s="129"/>
      <c r="K226" s="130" t="s">
        <v>544</v>
      </c>
      <c r="L226" s="130"/>
      <c r="M226" s="130"/>
      <c r="N226" s="130"/>
    </row>
    <row r="227" spans="3:18" ht="16.5" x14ac:dyDescent="0.3">
      <c r="D227" s="126" t="s">
        <v>545</v>
      </c>
      <c r="E227" s="126"/>
      <c r="F227" s="126"/>
      <c r="G227" s="127" t="s">
        <v>539</v>
      </c>
      <c r="H227" s="128"/>
      <c r="I227" s="128"/>
      <c r="J227" s="129"/>
      <c r="K227" s="130" t="s">
        <v>546</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tabSelected="1" zoomScaleNormal="10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276</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11</v>
      </c>
      <c r="C5" s="220" t="s">
        <v>483</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484</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485</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486</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488</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41960</v>
      </c>
      <c r="F12" s="179"/>
      <c r="H12" s="204" t="s">
        <v>268</v>
      </c>
      <c r="I12" s="202" t="s">
        <v>489</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41963</v>
      </c>
      <c r="F13" s="216"/>
      <c r="H13" s="205"/>
      <c r="I13" s="215" t="s">
        <v>479</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487</v>
      </c>
      <c r="F14" s="214"/>
      <c r="H14" s="99" t="s">
        <v>269</v>
      </c>
      <c r="I14" s="206" t="s">
        <v>480</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一金일백오십오만칠천육백원정</v>
      </c>
      <c r="F16" s="222"/>
      <c r="G16" s="222"/>
      <c r="H16" s="222"/>
      <c r="I16" s="165">
        <f>SUM(H18:J32)</f>
        <v>1557600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32</v>
      </c>
      <c r="C18" s="103">
        <f>IF(D18="","",COUNTA($D$18:E18))</f>
        <v>1</v>
      </c>
      <c r="D18" s="170" t="str">
        <f>IFERROR(INDEX(tbl제품[품목],MATCH(Main!B18,tbl제품[품목코드],0)),"")</f>
        <v>비주얼베이직 6.0 기능 완전 정복</v>
      </c>
      <c r="E18" s="171"/>
      <c r="F18" s="101">
        <v>10</v>
      </c>
      <c r="G18" s="104">
        <f>IFERROR(INDEX(tbl제품[단가],MATCH(Main!B18,tbl제품[품목코드],0)),"")</f>
        <v>18000</v>
      </c>
      <c r="H18" s="104">
        <f t="shared" ref="H18:H32" si="0">IFERROR(IF(F18="","",F18*G18),"")</f>
        <v>180000</v>
      </c>
      <c r="I18" s="159">
        <f t="shared" ref="I18:I32" si="1">IF(F18="","",H18*10%)</f>
        <v>18000</v>
      </c>
      <c r="J18" s="160"/>
      <c r="K18" s="102" t="s">
        <v>388</v>
      </c>
      <c r="L18" s="4"/>
      <c r="M18" s="4"/>
      <c r="N18" s="4"/>
      <c r="O18" s="4"/>
      <c r="P18" s="4"/>
      <c r="Q18" s="4"/>
      <c r="R18" s="4"/>
      <c r="S18" s="4"/>
      <c r="T18" s="4"/>
      <c r="U18" s="4"/>
      <c r="V18" s="4"/>
      <c r="W18" s="4"/>
      <c r="X18" s="4"/>
      <c r="Y18" s="4"/>
      <c r="Z18" s="3"/>
    </row>
    <row r="19" spans="1:26" ht="18" customHeight="1" x14ac:dyDescent="0.3">
      <c r="B19" s="123" t="s">
        <v>33</v>
      </c>
      <c r="C19" s="103">
        <f>IF(D19="","",COUNTA($D$18:E19))</f>
        <v>2</v>
      </c>
      <c r="D19" s="170" t="str">
        <f>IFERROR(INDEX(tbl제품[품목],MATCH(Main!B19,tbl제품[품목코드],0)),"")</f>
        <v>파워포인트 2007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t="s">
        <v>34</v>
      </c>
      <c r="C20" s="103">
        <f>IF(D20="","",COUNTA($D$18:E20))</f>
        <v>3</v>
      </c>
      <c r="D20" s="170" t="str">
        <f>IFERROR(INDEX(tbl제품[품목],MATCH(Main!B20,tbl제품[품목코드],0)),"")</f>
        <v>장미가족의 내맘대로 포토샵</v>
      </c>
      <c r="E20" s="171"/>
      <c r="F20" s="101">
        <v>10</v>
      </c>
      <c r="G20" s="104">
        <f>IFERROR(INDEX(tbl제품[단가],MATCH(Main!B20,tbl제품[품목코드],0)),"")</f>
        <v>25000</v>
      </c>
      <c r="H20" s="104">
        <f t="shared" si="2"/>
        <v>250000</v>
      </c>
      <c r="I20" s="159">
        <f t="shared" si="3"/>
        <v>25000</v>
      </c>
      <c r="J20" s="160"/>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70" t="str">
        <f>IFERROR(INDEX(tbl제품[품목],MATCH(Main!B21,tbl제품[품목코드],0)),"")</f>
        <v>컴퓨터 기능 완전 정복</v>
      </c>
      <c r="E21" s="171"/>
      <c r="F21" s="101">
        <v>20</v>
      </c>
      <c r="G21" s="104">
        <f>IFERROR(INDEX(tbl제품[단가],MATCH(Main!B21,tbl제품[품목코드],0)),"")</f>
        <v>18000</v>
      </c>
      <c r="H21" s="104">
        <f t="shared" si="2"/>
        <v>360000</v>
      </c>
      <c r="I21" s="159">
        <f t="shared" si="3"/>
        <v>36000</v>
      </c>
      <c r="J21" s="160"/>
      <c r="K21" s="102"/>
      <c r="L21" s="108"/>
      <c r="M21" s="108"/>
      <c r="N21" s="108"/>
      <c r="O21" s="108"/>
      <c r="P21" s="108"/>
      <c r="Q21" s="108"/>
      <c r="R21" s="108"/>
      <c r="S21" s="108"/>
      <c r="T21" s="108"/>
      <c r="U21" s="108"/>
      <c r="V21" s="108"/>
      <c r="W21" s="108"/>
      <c r="X21" s="108"/>
      <c r="Y21" s="108"/>
      <c r="Z21" s="3"/>
    </row>
    <row r="22" spans="1:26" ht="18" customHeight="1" x14ac:dyDescent="0.3">
      <c r="B22" s="123" t="s">
        <v>36</v>
      </c>
      <c r="C22" s="103">
        <f>IF(D22="","",COUNTA($D$18:E22))</f>
        <v>5</v>
      </c>
      <c r="D22" s="170" t="str">
        <f>IFERROR(INDEX(tbl제품[품목],MATCH(Main!B22,tbl제품[품목코드],0)),"")</f>
        <v>액세스 2013 기능 완전 정복</v>
      </c>
      <c r="E22" s="171"/>
      <c r="F22" s="101">
        <v>10</v>
      </c>
      <c r="G22" s="104">
        <f>IFERROR(INDEX(tbl제품[단가],MATCH(Main!B22,tbl제품[품목코드],0)),"")</f>
        <v>23000</v>
      </c>
      <c r="H22" s="104">
        <f t="shared" si="2"/>
        <v>230000</v>
      </c>
      <c r="I22" s="159">
        <f t="shared" si="3"/>
        <v>23000</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6" r:id="rId5" name="cmd시트보호">
          <controlPr defaultSize="0" autoLine="0" r:id="rId6">
            <anchor moveWithCells="1">
              <from>
                <xdr:col>12</xdr:col>
                <xdr:colOff>9525</xdr:colOff>
                <xdr:row>2</xdr:row>
                <xdr:rowOff>171450</xdr:rowOff>
              </from>
              <to>
                <xdr:col>14</xdr:col>
                <xdr:colOff>276225</xdr:colOff>
                <xdr:row>3</xdr:row>
                <xdr:rowOff>0</xdr:rowOff>
              </to>
            </anchor>
          </controlPr>
        </control>
      </mc:Choice>
      <mc:Fallback>
        <control shapeId="2056" r:id="rId5" name="cmd시트보호"/>
      </mc:Fallback>
    </mc:AlternateContent>
    <mc:AlternateContent xmlns:mc="http://schemas.openxmlformats.org/markup-compatibility/2006">
      <mc:Choice Requires="x14">
        <control shapeId="2055" r:id="rId7" name="cmd신규">
          <controlPr defaultSize="0" autoLine="0" r:id="rId8">
            <anchor moveWithCells="1">
              <from>
                <xdr:col>12</xdr:col>
                <xdr:colOff>0</xdr:colOff>
                <xdr:row>7</xdr:row>
                <xdr:rowOff>0</xdr:rowOff>
              </from>
              <to>
                <xdr:col>14</xdr:col>
                <xdr:colOff>19050</xdr:colOff>
                <xdr:row>8</xdr:row>
                <xdr:rowOff>76200</xdr:rowOff>
              </to>
            </anchor>
          </controlPr>
        </control>
      </mc:Choice>
      <mc:Fallback>
        <control shapeId="2055" r:id="rId7" name="cmd신규"/>
      </mc:Fallback>
    </mc:AlternateContent>
    <mc:AlternateContent xmlns:mc="http://schemas.openxmlformats.org/markup-compatibility/2006">
      <mc:Choice Requires="x14">
        <control shapeId="2054" r:id="rId9" name="cmd저장">
          <controlPr defaultSize="0" autoLine="0" r:id="rId10">
            <anchor moveWithCells="1">
              <from>
                <xdr:col>12</xdr:col>
                <xdr:colOff>0</xdr:colOff>
                <xdr:row>4</xdr:row>
                <xdr:rowOff>276225</xdr:rowOff>
              </from>
              <to>
                <xdr:col>14</xdr:col>
                <xdr:colOff>19050</xdr:colOff>
                <xdr:row>6</xdr:row>
                <xdr:rowOff>219075</xdr:rowOff>
              </to>
            </anchor>
          </controlPr>
        </control>
      </mc:Choice>
      <mc:Fallback>
        <control shapeId="2054" r:id="rId9" name="cmd저장"/>
      </mc:Fallback>
    </mc:AlternateContent>
    <mc:AlternateContent xmlns:mc="http://schemas.openxmlformats.org/markup-compatibility/2006">
      <mc:Choice Requires="x14">
        <control shapeId="2053" r:id="rId11" name="cmd삭제">
          <controlPr defaultSize="0" autoLine="0" r:id="rId12">
            <anchor moveWithCells="1">
              <from>
                <xdr:col>12</xdr:col>
                <xdr:colOff>0</xdr:colOff>
                <xdr:row>3</xdr:row>
                <xdr:rowOff>95250</xdr:rowOff>
              </from>
              <to>
                <xdr:col>14</xdr:col>
                <xdr:colOff>19050</xdr:colOff>
                <xdr:row>4</xdr:row>
                <xdr:rowOff>266700</xdr:rowOff>
              </to>
            </anchor>
          </controlPr>
        </control>
      </mc:Choice>
      <mc:Fallback>
        <control shapeId="2053" r:id="rId11" name="cmd삭제"/>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470</v>
      </c>
      <c r="C8" s="43">
        <v>15</v>
      </c>
      <c r="D8" s="42" t="s">
        <v>471</v>
      </c>
      <c r="E8" s="27" t="s">
        <v>472</v>
      </c>
      <c r="F8" s="27" t="s">
        <v>473</v>
      </c>
      <c r="G8" s="100" t="s">
        <v>474</v>
      </c>
      <c r="H8" s="49">
        <v>41961</v>
      </c>
      <c r="I8" s="49">
        <v>41969</v>
      </c>
      <c r="J8" s="43" t="s">
        <v>475</v>
      </c>
      <c r="K8" s="28">
        <v>2765400</v>
      </c>
      <c r="L8" s="28" t="s">
        <v>466</v>
      </c>
      <c r="M8" s="28" t="s">
        <v>468</v>
      </c>
      <c r="N8" s="28" t="s">
        <v>467</v>
      </c>
      <c r="O8" t="s">
        <v>469</v>
      </c>
      <c r="P8" s="27"/>
      <c r="Q8" s="14"/>
      <c r="R8" s="14"/>
    </row>
    <row r="9" spans="1:18" x14ac:dyDescent="0.3">
      <c r="B9" s="43" t="s">
        <v>392</v>
      </c>
      <c r="C9" s="43">
        <v>17</v>
      </c>
      <c r="D9" s="42" t="s">
        <v>22</v>
      </c>
      <c r="E9" s="27" t="s">
        <v>23</v>
      </c>
      <c r="F9" s="27" t="s">
        <v>444</v>
      </c>
      <c r="G9" s="100" t="s">
        <v>362</v>
      </c>
      <c r="H9" s="49">
        <v>41771</v>
      </c>
      <c r="I9" s="49">
        <v>41722</v>
      </c>
      <c r="J9" s="43" t="s">
        <v>445</v>
      </c>
      <c r="K9" s="28">
        <v>1233100</v>
      </c>
      <c r="L9" s="28" t="s">
        <v>446</v>
      </c>
      <c r="M9" s="28" t="s">
        <v>447</v>
      </c>
      <c r="N9" s="28" t="s">
        <v>448</v>
      </c>
      <c r="O9" s="28" t="s">
        <v>449</v>
      </c>
      <c r="P9" s="28"/>
    </row>
    <row r="10" spans="1:18" x14ac:dyDescent="0.3">
      <c r="B10" s="43" t="s">
        <v>456</v>
      </c>
      <c r="C10" s="43">
        <v>24</v>
      </c>
      <c r="D10" s="42" t="s">
        <v>457</v>
      </c>
      <c r="E10" s="27" t="s">
        <v>458</v>
      </c>
      <c r="F10" s="27" t="s">
        <v>459</v>
      </c>
      <c r="G10" s="100" t="s">
        <v>460</v>
      </c>
      <c r="H10" s="49">
        <v>41772</v>
      </c>
      <c r="I10" s="49">
        <v>41787</v>
      </c>
      <c r="J10" s="43" t="s">
        <v>461</v>
      </c>
      <c r="K10" s="28">
        <v>2789622</v>
      </c>
      <c r="L10" s="28" t="s">
        <v>462</v>
      </c>
      <c r="M10" s="28" t="s">
        <v>463</v>
      </c>
      <c r="N10" s="28" t="s">
        <v>464</v>
      </c>
      <c r="O10" s="28" t="s">
        <v>465</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450</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455</v>
      </c>
    </row>
    <row r="19" spans="2:8" x14ac:dyDescent="0.3">
      <c r="B19" s="43" t="s">
        <v>450</v>
      </c>
      <c r="C19" s="43">
        <v>2</v>
      </c>
      <c r="D19" s="27" t="s">
        <v>443</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450</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450</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450</v>
      </c>
      <c r="C22" s="43">
        <v>5</v>
      </c>
      <c r="D22" s="27" t="s">
        <v>452</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454</v>
      </c>
    </row>
    <row r="23" spans="2:8" x14ac:dyDescent="0.3">
      <c r="B23" s="43" t="s">
        <v>450</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450</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453</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441</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439</v>
      </c>
      <c r="D29" s="46" t="s">
        <v>316</v>
      </c>
      <c r="E29" s="44" t="s">
        <v>102</v>
      </c>
      <c r="F29" s="44" t="s">
        <v>233</v>
      </c>
      <c r="G29" s="44" t="s">
        <v>92</v>
      </c>
      <c r="H29" s="47" t="s">
        <v>340</v>
      </c>
      <c r="I29" s="47" t="s">
        <v>369</v>
      </c>
      <c r="J29" s="46" t="s">
        <v>231</v>
      </c>
      <c r="K29" s="44" t="s">
        <v>440</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477</v>
      </c>
      <c r="E6" s="43" t="s">
        <v>276</v>
      </c>
      <c r="F6" s="43">
        <v>11</v>
      </c>
      <c r="G6" s="42" t="s">
        <v>478</v>
      </c>
      <c r="H6" s="27" t="s">
        <v>19</v>
      </c>
      <c r="I6" s="27" t="s">
        <v>20</v>
      </c>
      <c r="J6" s="100" t="s">
        <v>278</v>
      </c>
      <c r="K6" s="49">
        <v>41960</v>
      </c>
      <c r="L6" s="49">
        <v>41963</v>
      </c>
      <c r="M6" s="43" t="s">
        <v>21</v>
      </c>
      <c r="N6" s="28">
        <v>1416000</v>
      </c>
      <c r="O6" s="28" t="s">
        <v>286</v>
      </c>
      <c r="P6" s="28" t="s">
        <v>287</v>
      </c>
      <c r="Q6" s="28" t="s">
        <v>289</v>
      </c>
      <c r="R6" t="s">
        <v>291</v>
      </c>
      <c r="S6" s="27"/>
      <c r="U6" s="77" t="s">
        <v>481</v>
      </c>
      <c r="W6" s="43">
        <v>1</v>
      </c>
      <c r="X6" s="27" t="s">
        <v>32</v>
      </c>
      <c r="Y6" s="42" t="s">
        <v>379</v>
      </c>
      <c r="Z6" s="27">
        <v>10</v>
      </c>
      <c r="AA6" s="50">
        <v>18000</v>
      </c>
      <c r="AB6" s="27" t="s">
        <v>264</v>
      </c>
      <c r="AD6" s="75" t="s">
        <v>476</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470</v>
      </c>
      <c r="F8" s="43">
        <v>15</v>
      </c>
      <c r="G8" s="42" t="s">
        <v>471</v>
      </c>
      <c r="H8" s="27" t="s">
        <v>472</v>
      </c>
      <c r="I8" s="27" t="s">
        <v>473</v>
      </c>
      <c r="J8" s="100" t="s">
        <v>474</v>
      </c>
      <c r="K8" s="49">
        <v>41961</v>
      </c>
      <c r="L8" s="49">
        <v>41969</v>
      </c>
      <c r="M8" s="43" t="s">
        <v>475</v>
      </c>
      <c r="N8" s="28">
        <v>2765400</v>
      </c>
      <c r="O8" s="28" t="s">
        <v>286</v>
      </c>
      <c r="P8" s="28" t="s">
        <v>287</v>
      </c>
      <c r="Q8" s="28" t="s">
        <v>467</v>
      </c>
      <c r="R8" t="s">
        <v>469</v>
      </c>
      <c r="S8" s="27"/>
      <c r="W8" s="43">
        <v>3</v>
      </c>
      <c r="X8" s="27" t="s">
        <v>34</v>
      </c>
      <c r="Y8" s="42" t="s">
        <v>482</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444</v>
      </c>
      <c r="J9" s="100" t="s">
        <v>362</v>
      </c>
      <c r="K9" s="49">
        <v>41771</v>
      </c>
      <c r="L9" s="49">
        <v>41722</v>
      </c>
      <c r="M9" s="43" t="s">
        <v>445</v>
      </c>
      <c r="N9" s="28">
        <v>1233100</v>
      </c>
      <c r="O9" s="28" t="s">
        <v>446</v>
      </c>
      <c r="P9" s="28" t="s">
        <v>447</v>
      </c>
      <c r="Q9" s="28" t="s">
        <v>448</v>
      </c>
      <c r="R9" s="28" t="s">
        <v>449</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451</v>
      </c>
      <c r="F10" s="43">
        <v>24</v>
      </c>
      <c r="G10" s="42" t="s">
        <v>457</v>
      </c>
      <c r="H10" s="27" t="s">
        <v>458</v>
      </c>
      <c r="I10" s="27" t="s">
        <v>459</v>
      </c>
      <c r="J10" s="100" t="s">
        <v>460</v>
      </c>
      <c r="K10" s="49">
        <v>41772</v>
      </c>
      <c r="L10" s="49">
        <v>41787</v>
      </c>
      <c r="M10" s="43" t="s">
        <v>461</v>
      </c>
      <c r="N10" s="28">
        <v>2789622</v>
      </c>
      <c r="O10" s="28" t="s">
        <v>462</v>
      </c>
      <c r="P10" s="28" t="s">
        <v>463</v>
      </c>
      <c r="Q10" s="28" t="s">
        <v>464</v>
      </c>
      <c r="R10" s="28" t="s">
        <v>465</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441</v>
      </c>
      <c r="AH28" s="55" t="s">
        <v>315</v>
      </c>
      <c r="AI28" s="53"/>
      <c r="AJ28" s="53"/>
      <c r="AK28" s="53" t="s">
        <v>230</v>
      </c>
      <c r="AL28" s="92" t="s">
        <v>344</v>
      </c>
      <c r="AM28" s="92" t="s">
        <v>368</v>
      </c>
    </row>
    <row r="29" spans="32:39" x14ac:dyDescent="0.3">
      <c r="AF29" s="52">
        <v>24</v>
      </c>
      <c r="AG29" s="53" t="s">
        <v>439</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2014-02-16T15:35:36Z</cp:lastPrinted>
  <dcterms:created xsi:type="dcterms:W3CDTF">2013-11-01T06:50:11Z</dcterms:created>
  <dcterms:modified xsi:type="dcterms:W3CDTF">2014-05-17T10:57:52Z</dcterms:modified>
  <cp:category>엑셀 매크로</cp:category>
</cp:coreProperties>
</file>