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mc:AlternateContent xmlns:mc="http://schemas.openxmlformats.org/markup-compatibility/2006">
    <mc:Choice Requires="x15">
      <x15ac:absPath xmlns:x15ac="http://schemas.microsoft.com/office/spreadsheetml/2010/11/ac" url="F:\01_매크로2013\부록CD_2차\예제파일\10장\"/>
    </mc:Choice>
  </mc:AlternateContent>
  <bookViews>
    <workbookView xWindow="0" yWindow="0" windowWidth="25200" windowHeight="10890" tabRatio="821" activeTab="1"/>
  </bookViews>
  <sheets>
    <sheet name="사용도움말" sheetId="11" r:id="rId1"/>
    <sheet name="Main" sheetId="9" r:id="rId2"/>
    <sheet name="견적서발급" sheetId="4" r:id="rId3"/>
    <sheet name="견적서세부내용" sheetId="5" r:id="rId4"/>
    <sheet name="제품목록" sheetId="6" r:id="rId5"/>
    <sheet name="거래처목록" sheetId="7" r:id="rId6"/>
    <sheet name="@작업시트" sheetId="1" r:id="rId7"/>
  </sheets>
  <externalReferences>
    <externalReference r:id="rId8"/>
  </externalReferences>
  <definedNames>
    <definedName name="_xlnm._FilterDatabase" localSheetId="5" hidden="1">거래처목록!$B$5:$M$31</definedName>
    <definedName name="_xlnm._FilterDatabase" localSheetId="2" hidden="1">견적서발급!$B$5:$P$10</definedName>
    <definedName name="_xlnm._FilterDatabase" localSheetId="3" hidden="1">견적서세부내용!$B$5:$H$30</definedName>
    <definedName name="_xlnm.Criteria" localSheetId="6">'@작업시트'!$AD$5:$AD$6</definedName>
    <definedName name="_xlnm.Extract" localSheetId="6">'@작업시트'!$AF$5:$AM$5</definedName>
    <definedName name="nmD_EMail">Main!$E$9</definedName>
    <definedName name="nmD_거래처명">Main!$C$5</definedName>
    <definedName name="nmD_거래처코드">Main!$B$5</definedName>
    <definedName name="nmD_견적세부시작셀">Main!$C$17</definedName>
    <definedName name="nmD_견적일자">Main!$E$12</definedName>
    <definedName name="nmD_공급가액">Main!$I$16</definedName>
    <definedName name="nmD_납품예정일">Main!$E$13</definedName>
    <definedName name="nmD_납품장소">Main!$E$14</definedName>
    <definedName name="nmD_담당자">Main!$E$7</definedName>
    <definedName name="nmD_문서번호" localSheetId="0">[1]Main!$K$2</definedName>
    <definedName name="nmD_문서번호">Main!$K$2</definedName>
    <definedName name="nmD_본사Email">Main!$I$14</definedName>
    <definedName name="nmD_본사담당자">Main!$I$11</definedName>
    <definedName name="nmD_본사연락처1">Main!$I$12</definedName>
    <definedName name="nmD_본사연락처2">Main!$I$13</definedName>
    <definedName name="nmD_비고">Main!$C$35</definedName>
    <definedName name="nmD_연락처">Main!$E$8</definedName>
    <definedName name="nmMax코드">'@작업시트'!$A$6</definedName>
    <definedName name="nm거래처_조건">'@작업시트'!$AD$5:$AD$6</definedName>
    <definedName name="nm거래처_출력">'@작업시트'!$AF$5:$AM$5</definedName>
    <definedName name="nm견적_조건">'@작업시트'!$C$5:$C$6</definedName>
    <definedName name="nm견적_출력">'@작업시트'!$E$5:$S$5</definedName>
    <definedName name="nm견적세부_조건">'@작업시트'!$U$5:$U$6</definedName>
    <definedName name="nm견적세부_출력">'@작업시트'!$W$5:$AB$5</definedName>
    <definedName name="_xlnm.Print_Area" localSheetId="1">Main!$C$2:$K$35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1" i="9" l="1"/>
  <c r="H31" i="9"/>
  <c r="G31" i="9"/>
  <c r="D31" i="9"/>
  <c r="C31" i="9" s="1"/>
  <c r="I30" i="9"/>
  <c r="H30" i="9"/>
  <c r="G30" i="9"/>
  <c r="D30" i="9"/>
  <c r="C30" i="9" s="1"/>
  <c r="I29" i="9"/>
  <c r="H29" i="9"/>
  <c r="G29" i="9"/>
  <c r="D29" i="9"/>
  <c r="C29" i="9"/>
  <c r="I28" i="9"/>
  <c r="H28" i="9"/>
  <c r="G28" i="9"/>
  <c r="D28" i="9"/>
  <c r="C28" i="9" s="1"/>
  <c r="I27" i="9"/>
  <c r="H27" i="9"/>
  <c r="G27" i="9"/>
  <c r="D27" i="9"/>
  <c r="C27" i="9" s="1"/>
  <c r="I26" i="9"/>
  <c r="H26" i="9"/>
  <c r="G26" i="9"/>
  <c r="D26" i="9"/>
  <c r="C26" i="9"/>
  <c r="I25" i="9"/>
  <c r="H25" i="9"/>
  <c r="G25" i="9"/>
  <c r="D25" i="9"/>
  <c r="C25" i="9" s="1"/>
  <c r="E30" i="5"/>
  <c r="G30" i="5"/>
  <c r="E29" i="5"/>
  <c r="G29" i="5"/>
  <c r="E28" i="5"/>
  <c r="G28" i="5"/>
  <c r="E27" i="5"/>
  <c r="G27" i="5"/>
  <c r="E26" i="5"/>
  <c r="G26" i="5"/>
  <c r="E25" i="5"/>
  <c r="G25" i="5"/>
  <c r="E24" i="5"/>
  <c r="G24" i="5"/>
  <c r="E23" i="5"/>
  <c r="G23" i="5"/>
  <c r="E22" i="5"/>
  <c r="G22" i="5"/>
  <c r="E21" i="5"/>
  <c r="G21" i="5"/>
  <c r="E20" i="5"/>
  <c r="G20" i="5"/>
  <c r="E19" i="5"/>
  <c r="G19" i="5"/>
  <c r="E18" i="5"/>
  <c r="G18" i="5"/>
  <c r="E17" i="5"/>
  <c r="G17" i="5"/>
  <c r="E16" i="5"/>
  <c r="G16" i="5"/>
  <c r="E15" i="5"/>
  <c r="G15" i="5"/>
  <c r="C1" i="9"/>
  <c r="G23" i="9"/>
  <c r="H23" i="9" s="1"/>
  <c r="I23" i="9" s="1"/>
  <c r="D23" i="9"/>
  <c r="G22" i="9"/>
  <c r="H22" i="9" s="1"/>
  <c r="I22" i="9" s="1"/>
  <c r="D22" i="9"/>
  <c r="G21" i="9"/>
  <c r="H21" i="9" s="1"/>
  <c r="I21" i="9" s="1"/>
  <c r="D21" i="9"/>
  <c r="G20" i="9"/>
  <c r="H20" i="9" s="1"/>
  <c r="I20" i="9" s="1"/>
  <c r="D20" i="9"/>
  <c r="G19" i="9"/>
  <c r="H19" i="9" s="1"/>
  <c r="I19" i="9" s="1"/>
  <c r="D19" i="9"/>
  <c r="G24" i="9"/>
  <c r="H24" i="9" s="1"/>
  <c r="I24" i="9" s="1"/>
  <c r="D24" i="9"/>
  <c r="A6" i="1" l="1" a="1"/>
  <c r="A6" i="1" s="1"/>
  <c r="E6" i="5"/>
  <c r="G6" i="5"/>
  <c r="E7" i="5"/>
  <c r="G7" i="5"/>
  <c r="E8" i="5"/>
  <c r="G8" i="5"/>
  <c r="E9" i="5"/>
  <c r="G9" i="5"/>
  <c r="E10" i="5"/>
  <c r="G10" i="5"/>
  <c r="I32" i="9" l="1"/>
  <c r="D18" i="9"/>
  <c r="C23" i="9" s="1"/>
  <c r="D32" i="9"/>
  <c r="C32" i="9" s="1"/>
  <c r="H32" i="9"/>
  <c r="G32" i="9"/>
  <c r="C19" i="9" l="1"/>
  <c r="C21" i="9"/>
  <c r="C22" i="9"/>
  <c r="C20" i="9"/>
  <c r="C24" i="9"/>
  <c r="G18" i="9"/>
  <c r="H18" i="9" s="1"/>
  <c r="I18" i="9" s="1"/>
  <c r="C18" i="9"/>
  <c r="G11" i="5"/>
  <c r="G12" i="5"/>
  <c r="G13" i="5"/>
  <c r="G14" i="5"/>
  <c r="E11" i="5"/>
  <c r="E12" i="5"/>
  <c r="E13" i="5"/>
  <c r="E14" i="5"/>
  <c r="D7" i="4"/>
  <c r="D6" i="4"/>
  <c r="I16" i="9" l="1"/>
  <c r="E16" i="9" s="1"/>
</calcChain>
</file>

<file path=xl/comments1.xml><?xml version="1.0" encoding="utf-8"?>
<comments xmlns="http://schemas.openxmlformats.org/spreadsheetml/2006/main">
  <authors>
    <author>DSLee</author>
  </authors>
  <commentList>
    <comment ref="A6" authorId="0" shapeId="0">
      <text>
        <r>
          <rPr>
            <b/>
            <sz val="9"/>
            <color indexed="81"/>
            <rFont val="Tahoma"/>
            <family val="2"/>
          </rPr>
          <t>DSLee:</t>
        </r>
        <r>
          <rPr>
            <sz val="9"/>
            <color indexed="81"/>
            <rFont val="Tahoma"/>
            <family val="2"/>
          </rPr>
          <t xml:space="preserve">
</t>
        </r>
        <r>
          <rPr>
            <sz val="9"/>
            <color indexed="81"/>
            <rFont val="돋움"/>
            <family val="3"/>
            <charset val="129"/>
          </rPr>
          <t>배열</t>
        </r>
        <r>
          <rPr>
            <sz val="9"/>
            <color indexed="81"/>
            <rFont val="Tahoma"/>
            <family val="2"/>
          </rPr>
          <t xml:space="preserve"> </t>
        </r>
        <r>
          <rPr>
            <sz val="9"/>
            <color indexed="81"/>
            <rFont val="돋움"/>
            <family val="3"/>
            <charset val="129"/>
          </rPr>
          <t>수식으로</t>
        </r>
        <r>
          <rPr>
            <sz val="9"/>
            <color indexed="81"/>
            <rFont val="Tahoma"/>
            <family val="2"/>
          </rPr>
          <t xml:space="preserve"> </t>
        </r>
        <r>
          <rPr>
            <sz val="9"/>
            <color indexed="81"/>
            <rFont val="돋움"/>
            <family val="3"/>
            <charset val="129"/>
          </rPr>
          <t>입력해야</t>
        </r>
        <r>
          <rPr>
            <sz val="9"/>
            <color indexed="81"/>
            <rFont val="Tahoma"/>
            <family val="2"/>
          </rPr>
          <t xml:space="preserve"> </t>
        </r>
        <r>
          <rPr>
            <sz val="9"/>
            <color indexed="81"/>
            <rFont val="돋움"/>
            <family val="3"/>
            <charset val="129"/>
          </rPr>
          <t>하기때문에</t>
        </r>
        <r>
          <rPr>
            <sz val="9"/>
            <color indexed="81"/>
            <rFont val="Tahoma"/>
            <family val="2"/>
          </rPr>
          <t xml:space="preserve"> </t>
        </r>
        <r>
          <rPr>
            <sz val="9"/>
            <color indexed="81"/>
            <rFont val="돋움"/>
            <family val="3"/>
            <charset val="129"/>
          </rPr>
          <t>만드시</t>
        </r>
        <r>
          <rPr>
            <sz val="9"/>
            <color indexed="81"/>
            <rFont val="Tahoma"/>
            <family val="2"/>
          </rPr>
          <t xml:space="preserve"> </t>
        </r>
        <r>
          <rPr>
            <b/>
            <sz val="10"/>
            <color indexed="10"/>
            <rFont val="Tahoma"/>
            <family val="2"/>
          </rPr>
          <t xml:space="preserve">Ctrl+Shift+Enter </t>
        </r>
        <r>
          <rPr>
            <sz val="9"/>
            <color indexed="81"/>
            <rFont val="돋움"/>
            <family val="3"/>
            <charset val="129"/>
          </rPr>
          <t>키로</t>
        </r>
        <r>
          <rPr>
            <sz val="9"/>
            <color indexed="81"/>
            <rFont val="Tahoma"/>
            <family val="2"/>
          </rPr>
          <t xml:space="preserve"> </t>
        </r>
        <r>
          <rPr>
            <sz val="9"/>
            <color indexed="81"/>
            <rFont val="돋움"/>
            <family val="3"/>
            <charset val="129"/>
          </rPr>
          <t>입력해야</t>
        </r>
        <r>
          <rPr>
            <sz val="9"/>
            <color indexed="81"/>
            <rFont val="Tahoma"/>
            <family val="2"/>
          </rPr>
          <t xml:space="preserve"> </t>
        </r>
        <r>
          <rPr>
            <sz val="9"/>
            <color indexed="81"/>
            <rFont val="돋움"/>
            <family val="3"/>
            <charset val="129"/>
          </rPr>
          <t>함</t>
        </r>
      </text>
    </comment>
  </commentList>
</comments>
</file>

<file path=xl/sharedStrings.xml><?xml version="1.0" encoding="utf-8"?>
<sst xmlns="http://schemas.openxmlformats.org/spreadsheetml/2006/main" count="910" uniqueCount="546">
  <si>
    <t>거래처명</t>
    <phoneticPr fontId="4" type="noConversion"/>
  </si>
  <si>
    <t>납품 장소</t>
    <phoneticPr fontId="4" type="noConversion"/>
  </si>
  <si>
    <t>사업자번호</t>
    <phoneticPr fontId="4" type="noConversion"/>
  </si>
  <si>
    <t>견적 일자</t>
    <phoneticPr fontId="4" type="noConversion"/>
  </si>
  <si>
    <t>공급가액</t>
    <phoneticPr fontId="4" type="noConversion"/>
  </si>
  <si>
    <t>세 액</t>
    <phoneticPr fontId="4" type="noConversion"/>
  </si>
  <si>
    <t>견   적   서</t>
    <phoneticPr fontId="4" type="noConversion"/>
  </si>
  <si>
    <t>귀하</t>
    <phoneticPr fontId="4" type="noConversion"/>
  </si>
  <si>
    <t>아래와 같이 견적합니다.</t>
    <phoneticPr fontId="4" type="noConversion"/>
  </si>
  <si>
    <t>납품 예정일</t>
    <phoneticPr fontId="4" type="noConversion"/>
  </si>
  <si>
    <t>담당자</t>
    <phoneticPr fontId="4" type="noConversion"/>
  </si>
  <si>
    <t>수  량</t>
    <phoneticPr fontId="4" type="noConversion"/>
  </si>
  <si>
    <t>단 가</t>
    <phoneticPr fontId="4" type="noConversion"/>
  </si>
  <si>
    <t>비고</t>
    <phoneticPr fontId="4" type="noConversion"/>
  </si>
  <si>
    <t>견적 발행 내역</t>
    <phoneticPr fontId="4" type="noConversion"/>
  </si>
  <si>
    <t>'견적 내용 입력' 시트에서 작성한 견적서 발급 대장입니다.</t>
    <phoneticPr fontId="4" type="noConversion"/>
  </si>
  <si>
    <t>거래처코드</t>
  </si>
  <si>
    <t>거래처명</t>
    <phoneticPr fontId="4" type="noConversion"/>
  </si>
  <si>
    <t>공급가액</t>
    <phoneticPr fontId="4" type="noConversion"/>
  </si>
  <si>
    <t>유병찬</t>
    <phoneticPr fontId="1" type="noConversion"/>
  </si>
  <si>
    <t>620-1485</t>
    <phoneticPr fontId="1" type="noConversion"/>
  </si>
  <si>
    <t>전산실</t>
    <phoneticPr fontId="1" type="noConversion"/>
  </si>
  <si>
    <t>현대약품공업㈜</t>
  </si>
  <si>
    <t>윤영우</t>
  </si>
  <si>
    <t>822-8630</t>
  </si>
  <si>
    <t>연수원</t>
  </si>
  <si>
    <t>견적서 세부 항목</t>
    <phoneticPr fontId="4" type="noConversion"/>
  </si>
  <si>
    <t>견적 내용 입력' 시트에서 작성한 견적서 세부 내용</t>
    <phoneticPr fontId="4" type="noConversion"/>
  </si>
  <si>
    <t>번호</t>
    <phoneticPr fontId="4" type="noConversion"/>
  </si>
  <si>
    <t>품목명</t>
    <phoneticPr fontId="4" type="noConversion"/>
  </si>
  <si>
    <t>수량</t>
    <phoneticPr fontId="4" type="noConversion"/>
  </si>
  <si>
    <t>단가</t>
    <phoneticPr fontId="4" type="noConversion"/>
  </si>
  <si>
    <t>BAS-01</t>
  </si>
  <si>
    <t>PPT-02</t>
  </si>
  <si>
    <t>PTS-01</t>
  </si>
  <si>
    <t>COM-01</t>
  </si>
  <si>
    <t>MDB-01</t>
  </si>
  <si>
    <t>XLS-03</t>
  </si>
  <si>
    <t>XLS-01</t>
  </si>
  <si>
    <t>XLS-02</t>
  </si>
  <si>
    <t>XLS-06</t>
  </si>
  <si>
    <t>▣ 자료 종류 :</t>
    <phoneticPr fontId="4" type="noConversion"/>
  </si>
  <si>
    <t>판매 품목</t>
    <phoneticPr fontId="4" type="noConversion"/>
  </si>
  <si>
    <t>견적서 등록시 상품의 종류와 가격등을 표시함</t>
    <phoneticPr fontId="4" type="noConversion"/>
  </si>
  <si>
    <t>번호</t>
    <phoneticPr fontId="4" type="noConversion"/>
  </si>
  <si>
    <t>품목코드</t>
    <phoneticPr fontId="4" type="noConversion"/>
  </si>
  <si>
    <t>품목</t>
    <phoneticPr fontId="4" type="noConversion"/>
  </si>
  <si>
    <t>규격</t>
    <phoneticPr fontId="4" type="noConversion"/>
  </si>
  <si>
    <t>저자</t>
    <phoneticPr fontId="4" type="noConversion"/>
  </si>
  <si>
    <t>단가</t>
    <phoneticPr fontId="4" type="noConversion"/>
  </si>
  <si>
    <t>비고</t>
    <phoneticPr fontId="4" type="noConversion"/>
  </si>
  <si>
    <t>A4</t>
    <phoneticPr fontId="4" type="noConversion"/>
  </si>
  <si>
    <t>김종학</t>
    <phoneticPr fontId="4" type="noConversion"/>
  </si>
  <si>
    <t>PPT-01</t>
    <phoneticPr fontId="4" type="noConversion"/>
  </si>
  <si>
    <t>이승일/윤주희</t>
    <phoneticPr fontId="4" type="noConversion"/>
  </si>
  <si>
    <t>MDB-01</t>
    <phoneticPr fontId="4" type="noConversion"/>
  </si>
  <si>
    <t>이종석</t>
    <phoneticPr fontId="4" type="noConversion"/>
  </si>
  <si>
    <t>B5</t>
    <phoneticPr fontId="4" type="noConversion"/>
  </si>
  <si>
    <t>이동숙</t>
    <phoneticPr fontId="4" type="noConversion"/>
  </si>
  <si>
    <t>XLS-07</t>
  </si>
  <si>
    <t>XLS 수식&amp;함수 활용 185</t>
  </si>
  <si>
    <t>DOC-07</t>
  </si>
  <si>
    <r>
      <t>A5</t>
    </r>
    <r>
      <rPr>
        <sz val="9"/>
        <rFont val="굴림"/>
        <family val="3"/>
        <charset val="129"/>
      </rPr>
      <t/>
    </r>
  </si>
  <si>
    <t>신유경</t>
    <phoneticPr fontId="4" type="noConversion"/>
  </si>
  <si>
    <t>XLS-04</t>
  </si>
  <si>
    <t>김종학/공병훈</t>
    <phoneticPr fontId="4" type="noConversion"/>
  </si>
  <si>
    <t>BAS-01</t>
    <phoneticPr fontId="16" type="noConversion"/>
  </si>
  <si>
    <t>XLS-05</t>
  </si>
  <si>
    <t>A4</t>
    <phoneticPr fontId="1" type="noConversion"/>
  </si>
  <si>
    <t>박미정</t>
    <phoneticPr fontId="1" type="noConversion"/>
  </si>
  <si>
    <t>WA4</t>
    <phoneticPr fontId="1" type="noConversion"/>
  </si>
  <si>
    <t>김종학</t>
    <phoneticPr fontId="1" type="noConversion"/>
  </si>
  <si>
    <t>PPT-02</t>
    <phoneticPr fontId="1" type="noConversion"/>
  </si>
  <si>
    <t>이승일/이종욱</t>
    <phoneticPr fontId="4" type="noConversion"/>
  </si>
  <si>
    <t>WIN-01</t>
    <phoneticPr fontId="1" type="noConversion"/>
  </si>
  <si>
    <t>고경희</t>
    <phoneticPr fontId="1" type="noConversion"/>
  </si>
  <si>
    <t>PTS-01</t>
    <phoneticPr fontId="1" type="noConversion"/>
  </si>
  <si>
    <t>장미가족의 내맘대로 포토샵</t>
    <phoneticPr fontId="1" type="noConversion"/>
  </si>
  <si>
    <t>이영주/이정민</t>
    <phoneticPr fontId="1" type="noConversion"/>
  </si>
  <si>
    <t>COM-01</t>
    <phoneticPr fontId="1" type="noConversion"/>
  </si>
  <si>
    <t>김부회/김복례</t>
    <phoneticPr fontId="1" type="noConversion"/>
  </si>
  <si>
    <t>거래처 관리 대장</t>
    <phoneticPr fontId="4" type="noConversion"/>
  </si>
  <si>
    <t>견적서 등록시 거래처코드만 사용하면 해당 자료를 조회할 수 있도록 함</t>
    <phoneticPr fontId="4" type="noConversion"/>
  </si>
  <si>
    <t>거래처코드</t>
    <phoneticPr fontId="4" type="noConversion"/>
  </si>
  <si>
    <t>거래처명</t>
    <phoneticPr fontId="4" type="noConversion"/>
  </si>
  <si>
    <t>대표자</t>
    <phoneticPr fontId="4" type="noConversion"/>
  </si>
  <si>
    <t>주소</t>
    <phoneticPr fontId="4" type="noConversion"/>
  </si>
  <si>
    <t>우편번호</t>
    <phoneticPr fontId="4" type="noConversion"/>
  </si>
  <si>
    <t>업태</t>
    <phoneticPr fontId="4" type="noConversion"/>
  </si>
  <si>
    <t>종목</t>
    <phoneticPr fontId="4" type="noConversion"/>
  </si>
  <si>
    <t>담당자</t>
    <phoneticPr fontId="4" type="noConversion"/>
  </si>
  <si>
    <t>키컴소프트뱅크</t>
    <phoneticPr fontId="4" type="noConversion"/>
  </si>
  <si>
    <t>이동숙</t>
    <phoneticPr fontId="4" type="noConversion"/>
  </si>
  <si>
    <t>서울 강동구 성내동 449-15 203호</t>
    <phoneticPr fontId="4" type="noConversion"/>
  </si>
  <si>
    <t>134-030</t>
    <phoneticPr fontId="4" type="noConversion"/>
  </si>
  <si>
    <t>도소매</t>
    <phoneticPr fontId="4" type="noConversion"/>
  </si>
  <si>
    <t>컴퓨터주변</t>
    <phoneticPr fontId="4" type="noConversion"/>
  </si>
  <si>
    <t>송기원</t>
    <phoneticPr fontId="4" type="noConversion"/>
  </si>
  <si>
    <t>듀오정보주식회사</t>
    <phoneticPr fontId="4" type="noConversion"/>
  </si>
  <si>
    <t>최영길</t>
    <phoneticPr fontId="4" type="noConversion"/>
  </si>
  <si>
    <t>서울 강남구 역삼동 678-35역삼빌딩6층</t>
    <phoneticPr fontId="4" type="noConversion"/>
  </si>
  <si>
    <t>135-080</t>
    <phoneticPr fontId="4" type="noConversion"/>
  </si>
  <si>
    <t>서비스</t>
    <phoneticPr fontId="4" type="noConversion"/>
  </si>
  <si>
    <t>서적출판업</t>
    <phoneticPr fontId="4" type="noConversion"/>
  </si>
  <si>
    <t>정의진</t>
    <phoneticPr fontId="4" type="noConversion"/>
  </si>
  <si>
    <t>㈜유니콘펀드</t>
    <phoneticPr fontId="4" type="noConversion"/>
  </si>
  <si>
    <t>이유신</t>
    <phoneticPr fontId="4" type="noConversion"/>
  </si>
  <si>
    <t>서울 강남구 역삼동 708-32</t>
    <phoneticPr fontId="4" type="noConversion"/>
  </si>
  <si>
    <t>서비스외</t>
    <phoneticPr fontId="4" type="noConversion"/>
  </si>
  <si>
    <t>컨설팅업외</t>
    <phoneticPr fontId="4" type="noConversion"/>
  </si>
  <si>
    <t>이근영</t>
    <phoneticPr fontId="4" type="noConversion"/>
  </si>
  <si>
    <t>㈜KSS해운</t>
    <phoneticPr fontId="4" type="noConversion"/>
  </si>
  <si>
    <t>표삼수</t>
    <phoneticPr fontId="4" type="noConversion"/>
  </si>
  <si>
    <t>서울 종로구 관훈동 198-42</t>
    <phoneticPr fontId="4" type="noConversion"/>
  </si>
  <si>
    <t>110-300</t>
    <phoneticPr fontId="4" type="noConversion"/>
  </si>
  <si>
    <t>써비스외</t>
    <phoneticPr fontId="4" type="noConversion"/>
  </si>
  <si>
    <t>해운대리외</t>
    <phoneticPr fontId="4" type="noConversion"/>
  </si>
  <si>
    <t>김유상</t>
    <phoneticPr fontId="4" type="noConversion"/>
  </si>
  <si>
    <t>동일산자㈜</t>
    <phoneticPr fontId="4" type="noConversion"/>
  </si>
  <si>
    <t>채인철</t>
    <phoneticPr fontId="4" type="noConversion"/>
  </si>
  <si>
    <t>경기 안산시 원시동 725-5</t>
    <phoneticPr fontId="4" type="noConversion"/>
  </si>
  <si>
    <t>425-090</t>
    <phoneticPr fontId="4" type="noConversion"/>
  </si>
  <si>
    <t>제조외</t>
    <phoneticPr fontId="4" type="noConversion"/>
  </si>
  <si>
    <t>임대외</t>
    <phoneticPr fontId="4" type="noConversion"/>
  </si>
  <si>
    <t>윤도범</t>
    <phoneticPr fontId="4" type="noConversion"/>
  </si>
  <si>
    <t>최성욱</t>
    <phoneticPr fontId="4" type="noConversion"/>
  </si>
  <si>
    <t>서울 마포구 상수동 262-1 리버힐빌딩</t>
    <phoneticPr fontId="4" type="noConversion"/>
  </si>
  <si>
    <t>121-160</t>
    <phoneticPr fontId="4" type="noConversion"/>
  </si>
  <si>
    <t>소프트웨어</t>
    <phoneticPr fontId="4" type="noConversion"/>
  </si>
  <si>
    <t>한솔씨에스엔㈜</t>
    <phoneticPr fontId="4" type="noConversion"/>
  </si>
  <si>
    <t>염대식</t>
    <phoneticPr fontId="4" type="noConversion"/>
  </si>
  <si>
    <t>서울 강남구 역삼동 736-1</t>
    <phoneticPr fontId="4" type="noConversion"/>
  </si>
  <si>
    <t>운송보관</t>
    <phoneticPr fontId="4" type="noConversion"/>
  </si>
  <si>
    <t>창고외</t>
    <phoneticPr fontId="4" type="noConversion"/>
  </si>
  <si>
    <t>성기학</t>
    <phoneticPr fontId="4" type="noConversion"/>
  </si>
  <si>
    <t>㈜세웅컨설팅</t>
    <phoneticPr fontId="4" type="noConversion"/>
  </si>
  <si>
    <t>차재능</t>
    <phoneticPr fontId="4" type="noConversion"/>
  </si>
  <si>
    <t>서울 중구 정동 11-3 풍전빌딩</t>
    <phoneticPr fontId="4" type="noConversion"/>
  </si>
  <si>
    <t>110-120</t>
    <phoneticPr fontId="4" type="noConversion"/>
  </si>
  <si>
    <t>경영컨설팅</t>
    <phoneticPr fontId="4" type="noConversion"/>
  </si>
  <si>
    <t>우석형</t>
    <phoneticPr fontId="4" type="noConversion"/>
  </si>
  <si>
    <t>신용협동조합중앙회</t>
    <phoneticPr fontId="4" type="noConversion"/>
  </si>
  <si>
    <t>서울 서초구 방배동 874-1</t>
    <phoneticPr fontId="4" type="noConversion"/>
  </si>
  <si>
    <t>137-060</t>
    <phoneticPr fontId="4" type="noConversion"/>
  </si>
  <si>
    <t>금융제조외</t>
    <phoneticPr fontId="4" type="noConversion"/>
  </si>
  <si>
    <t>금융출판외</t>
    <phoneticPr fontId="4" type="noConversion"/>
  </si>
  <si>
    <t>송영채</t>
    <phoneticPr fontId="4" type="noConversion"/>
  </si>
  <si>
    <t>한국오츠카제약㈜</t>
    <phoneticPr fontId="4" type="noConversion"/>
  </si>
  <si>
    <t>하윤도</t>
    <phoneticPr fontId="4" type="noConversion"/>
  </si>
  <si>
    <t>서울 강남구 역삼동 809</t>
    <phoneticPr fontId="4" type="noConversion"/>
  </si>
  <si>
    <t>제조도매</t>
    <phoneticPr fontId="4" type="noConversion"/>
  </si>
  <si>
    <t>양약외</t>
    <phoneticPr fontId="4" type="noConversion"/>
  </si>
  <si>
    <t>이균철</t>
    <phoneticPr fontId="4" type="noConversion"/>
  </si>
  <si>
    <t>동서석유화학㈜</t>
    <phoneticPr fontId="4" type="noConversion"/>
  </si>
  <si>
    <t>이한구</t>
    <phoneticPr fontId="4" type="noConversion"/>
  </si>
  <si>
    <t>울산 남구 부곡동 154</t>
    <phoneticPr fontId="4" type="noConversion"/>
  </si>
  <si>
    <t>680-110</t>
    <phoneticPr fontId="4" type="noConversion"/>
  </si>
  <si>
    <t>도매외</t>
    <phoneticPr fontId="4" type="noConversion"/>
  </si>
  <si>
    <t>무역업외</t>
    <phoneticPr fontId="4" type="noConversion"/>
  </si>
  <si>
    <t>유병찬</t>
    <phoneticPr fontId="4" type="noConversion"/>
  </si>
  <si>
    <t>㈜파워코리아21</t>
    <phoneticPr fontId="4" type="noConversion"/>
  </si>
  <si>
    <t>최완호</t>
    <phoneticPr fontId="4" type="noConversion"/>
  </si>
  <si>
    <t>서울 강남구 삼성동15-1 무역회관3105</t>
    <phoneticPr fontId="4" type="noConversion"/>
  </si>
  <si>
    <t>135-090</t>
    <phoneticPr fontId="4" type="noConversion"/>
  </si>
  <si>
    <t>시스템개발</t>
    <phoneticPr fontId="4" type="noConversion"/>
  </si>
  <si>
    <t>임충헌</t>
    <phoneticPr fontId="4" type="noConversion"/>
  </si>
  <si>
    <t>㈜아리수미디어</t>
    <phoneticPr fontId="4" type="noConversion"/>
  </si>
  <si>
    <t>박진우</t>
    <phoneticPr fontId="4" type="noConversion"/>
  </si>
  <si>
    <t>서울 서초구 서초동 1594-4</t>
    <phoneticPr fontId="4" type="noConversion"/>
  </si>
  <si>
    <t>137-070</t>
    <phoneticPr fontId="4" type="noConversion"/>
  </si>
  <si>
    <t>개발외</t>
    <phoneticPr fontId="4" type="noConversion"/>
  </si>
  <si>
    <t>이동규</t>
    <phoneticPr fontId="4" type="noConversion"/>
  </si>
  <si>
    <t>한국화장품㈜</t>
    <phoneticPr fontId="4" type="noConversion"/>
  </si>
  <si>
    <t>이기동</t>
    <phoneticPr fontId="4" type="noConversion"/>
  </si>
  <si>
    <t>서울 종로구 서린동 88</t>
    <phoneticPr fontId="4" type="noConversion"/>
  </si>
  <si>
    <t>110-726</t>
    <phoneticPr fontId="4" type="noConversion"/>
  </si>
  <si>
    <t>화장품외</t>
    <phoneticPr fontId="4" type="noConversion"/>
  </si>
  <si>
    <t>김시영</t>
    <phoneticPr fontId="4" type="noConversion"/>
  </si>
  <si>
    <t>한국건설경제협의회</t>
    <phoneticPr fontId="4" type="noConversion"/>
  </si>
  <si>
    <t>한봉근</t>
    <phoneticPr fontId="4" type="noConversion"/>
  </si>
  <si>
    <t>서울 중구 남대문로4가 상의빌딩 7층</t>
    <phoneticPr fontId="4" type="noConversion"/>
  </si>
  <si>
    <t>100-094</t>
    <phoneticPr fontId="4" type="noConversion"/>
  </si>
  <si>
    <t>비영리</t>
    <phoneticPr fontId="4" type="noConversion"/>
  </si>
  <si>
    <t>기타금융</t>
    <phoneticPr fontId="4" type="noConversion"/>
  </si>
  <si>
    <t xml:space="preserve">이종우 </t>
    <phoneticPr fontId="4" type="noConversion"/>
  </si>
  <si>
    <t>한국훼스토㈜</t>
    <phoneticPr fontId="4" type="noConversion"/>
  </si>
  <si>
    <t>서울 금천구 가산동 470-9</t>
    <phoneticPr fontId="4" type="noConversion"/>
  </si>
  <si>
    <t>153-023</t>
    <phoneticPr fontId="4" type="noConversion"/>
  </si>
  <si>
    <t>제조업외</t>
    <phoneticPr fontId="4" type="noConversion"/>
  </si>
  <si>
    <t>공구류외</t>
    <phoneticPr fontId="4" type="noConversion"/>
  </si>
  <si>
    <t>안재원</t>
    <phoneticPr fontId="4" type="noConversion"/>
  </si>
  <si>
    <t>현대약품공업㈜</t>
    <phoneticPr fontId="4" type="noConversion"/>
  </si>
  <si>
    <t>정유진</t>
    <phoneticPr fontId="4" type="noConversion"/>
  </si>
  <si>
    <t>경기 부천시 소사구 소사본동 213</t>
    <phoneticPr fontId="4" type="noConversion"/>
  </si>
  <si>
    <t>422-230</t>
    <phoneticPr fontId="4" type="noConversion"/>
  </si>
  <si>
    <t>제조</t>
    <phoneticPr fontId="4" type="noConversion"/>
  </si>
  <si>
    <t>윤영우</t>
    <phoneticPr fontId="4" type="noConversion"/>
  </si>
  <si>
    <t>엘지하다찌㈜</t>
    <phoneticPr fontId="4" type="noConversion"/>
  </si>
  <si>
    <t>프레드바</t>
    <phoneticPr fontId="4" type="noConversion"/>
  </si>
  <si>
    <t>서울 마포구 공덕동 275</t>
    <phoneticPr fontId="4" type="noConversion"/>
  </si>
  <si>
    <t>121-020</t>
    <phoneticPr fontId="4" type="noConversion"/>
  </si>
  <si>
    <t>제조도매외</t>
    <phoneticPr fontId="4" type="noConversion"/>
  </si>
  <si>
    <t>무역외</t>
    <phoneticPr fontId="4" type="noConversion"/>
  </si>
  <si>
    <t>이진범</t>
    <phoneticPr fontId="4" type="noConversion"/>
  </si>
  <si>
    <t>한양건장㈜</t>
    <phoneticPr fontId="4" type="noConversion"/>
  </si>
  <si>
    <t>민경훈</t>
    <phoneticPr fontId="4" type="noConversion"/>
  </si>
  <si>
    <t>서울 서초구 방배동 750-12학림빌딩201</t>
    <phoneticPr fontId="4" type="noConversion"/>
  </si>
  <si>
    <t>건설외</t>
    <phoneticPr fontId="4" type="noConversion"/>
  </si>
  <si>
    <t>실내장식외</t>
    <phoneticPr fontId="4" type="noConversion"/>
  </si>
  <si>
    <t>조운호</t>
    <phoneticPr fontId="4" type="noConversion"/>
  </si>
  <si>
    <t>두레시닝㈜</t>
    <phoneticPr fontId="4" type="noConversion"/>
  </si>
  <si>
    <t>폴에스한</t>
    <phoneticPr fontId="4" type="noConversion"/>
  </si>
  <si>
    <t>서울 중구 을지로2가 9-10</t>
    <phoneticPr fontId="4" type="noConversion"/>
  </si>
  <si>
    <t>100-192</t>
    <phoneticPr fontId="4" type="noConversion"/>
  </si>
  <si>
    <t>도소매외</t>
    <phoneticPr fontId="4" type="noConversion"/>
  </si>
  <si>
    <t>인쇄물외</t>
    <phoneticPr fontId="4" type="noConversion"/>
  </si>
  <si>
    <t>김홍식</t>
    <phoneticPr fontId="4" type="noConversion"/>
  </si>
  <si>
    <t>에스엠아이티</t>
    <phoneticPr fontId="4" type="noConversion"/>
  </si>
  <si>
    <t>토마스에</t>
    <phoneticPr fontId="4" type="noConversion"/>
  </si>
  <si>
    <t>서울 은평구 갈현동 455-9</t>
    <phoneticPr fontId="4" type="noConversion"/>
  </si>
  <si>
    <t>122-050</t>
    <phoneticPr fontId="4" type="noConversion"/>
  </si>
  <si>
    <t>출판외</t>
    <phoneticPr fontId="4" type="noConversion"/>
  </si>
  <si>
    <t>프라이즈택㈜</t>
    <phoneticPr fontId="4" type="noConversion"/>
  </si>
  <si>
    <t>최영돈</t>
    <phoneticPr fontId="4" type="noConversion"/>
  </si>
  <si>
    <t>서울 영등포구 여의도동 26번지 5</t>
    <phoneticPr fontId="4" type="noConversion"/>
  </si>
  <si>
    <t>150-879</t>
    <phoneticPr fontId="4" type="noConversion"/>
  </si>
  <si>
    <t>전자출판외</t>
    <phoneticPr fontId="4" type="noConversion"/>
  </si>
  <si>
    <t>이문수</t>
    <phoneticPr fontId="4" type="noConversion"/>
  </si>
  <si>
    <t>경기 수원시 팔달구 이의동 산94-6</t>
    <phoneticPr fontId="4" type="noConversion"/>
  </si>
  <si>
    <t>442-270</t>
    <phoneticPr fontId="4" type="noConversion"/>
  </si>
  <si>
    <t>정성한</t>
    <phoneticPr fontId="4" type="noConversion"/>
  </si>
  <si>
    <t>이영</t>
    <phoneticPr fontId="4" type="noConversion"/>
  </si>
  <si>
    <t>110-053</t>
    <phoneticPr fontId="4" type="noConversion"/>
  </si>
  <si>
    <t>교육</t>
    <phoneticPr fontId="4" type="noConversion"/>
  </si>
  <si>
    <t/>
  </si>
  <si>
    <t>이동 홈쇼핑</t>
    <phoneticPr fontId="4" type="noConversion"/>
  </si>
  <si>
    <t>서울 종로구 내자동 세양빌딩 3층</t>
    <phoneticPr fontId="4" type="noConversion"/>
  </si>
  <si>
    <t>110-720</t>
    <phoneticPr fontId="4" type="noConversion"/>
  </si>
  <si>
    <t>유통</t>
    <phoneticPr fontId="4" type="noConversion"/>
  </si>
  <si>
    <t>거래처코드</t>
    <phoneticPr fontId="1" type="noConversion"/>
  </si>
  <si>
    <t>전화번호</t>
  </si>
  <si>
    <t>▣ 용      도 :</t>
    <phoneticPr fontId="4" type="noConversion"/>
  </si>
  <si>
    <t>▣ 표   이름 :</t>
    <phoneticPr fontId="4" type="noConversion"/>
  </si>
  <si>
    <t>tbl거래처</t>
    <phoneticPr fontId="4" type="noConversion"/>
  </si>
  <si>
    <t>※ 작업 시트의  내용은 사용자  정의 화면의 목록 상자 출력과 연결되기때문에 임의로 수정하지 않도록 하세요.</t>
    <phoneticPr fontId="16" type="noConversion"/>
  </si>
  <si>
    <t>【거래처조건】</t>
    <phoneticPr fontId="16" type="noConversion"/>
  </si>
  <si>
    <t>【거래처조건에 맞는 자료 출력】</t>
    <phoneticPr fontId="16" type="noConversion"/>
  </si>
  <si>
    <t>제일 큰 번호</t>
    <phoneticPr fontId="4" type="noConversion"/>
  </si>
  <si>
    <t>tbl견적서발급</t>
    <phoneticPr fontId="4" type="noConversion"/>
  </si>
  <si>
    <t>품목코드</t>
    <phoneticPr fontId="1" type="noConversion"/>
  </si>
  <si>
    <t>tbl견적서세부</t>
    <phoneticPr fontId="4" type="noConversion"/>
  </si>
  <si>
    <t>tbl제품</t>
    <phoneticPr fontId="4" type="noConversion"/>
  </si>
  <si>
    <t>출력번호</t>
    <phoneticPr fontId="4" type="noConversion"/>
  </si>
  <si>
    <t>박은경</t>
  </si>
  <si>
    <t>홍라정</t>
  </si>
  <si>
    <t>이수정</t>
  </si>
  <si>
    <t>【견적조건】</t>
    <phoneticPr fontId="16" type="noConversion"/>
  </si>
  <si>
    <t>【견적조건에 맞는 자료 출력】</t>
    <phoneticPr fontId="16" type="noConversion"/>
  </si>
  <si>
    <t>【견적조건에 맞는 견적서 세부 자료 출력】</t>
    <phoneticPr fontId="16" type="noConversion"/>
  </si>
  <si>
    <t>납품장소</t>
    <phoneticPr fontId="1" type="noConversion"/>
  </si>
  <si>
    <t>견적일자</t>
    <phoneticPr fontId="1" type="noConversion"/>
  </si>
  <si>
    <t>비고</t>
    <phoneticPr fontId="1" type="noConversion"/>
  </si>
  <si>
    <t>품명</t>
    <phoneticPr fontId="1" type="noConversion"/>
  </si>
  <si>
    <t>픔목코드</t>
    <phoneticPr fontId="1" type="noConversion"/>
  </si>
  <si>
    <t>증정1</t>
    <phoneticPr fontId="1" type="noConversion"/>
  </si>
  <si>
    <t>증정2</t>
    <phoneticPr fontId="1" type="noConversion"/>
  </si>
  <si>
    <t>문서번호</t>
    <phoneticPr fontId="4" type="noConversion"/>
  </si>
  <si>
    <t>【견적 문서번호】</t>
    <phoneticPr fontId="16" type="noConversion"/>
  </si>
  <si>
    <t>연락처</t>
    <phoneticPr fontId="4" type="noConversion"/>
  </si>
  <si>
    <t>E-Mail</t>
    <phoneticPr fontId="4" type="noConversion"/>
  </si>
  <si>
    <t>도서출판 길벗</t>
    <phoneticPr fontId="1" type="noConversion"/>
  </si>
  <si>
    <t>서울시 마포구 서교동 월드컵로 10길 56</t>
    <phoneticPr fontId="1" type="noConversion"/>
  </si>
  <si>
    <t>대표이사   이  종  원</t>
    <phoneticPr fontId="1" type="noConversion"/>
  </si>
  <si>
    <t>사업자등록번호: 111-11-11111</t>
    <phoneticPr fontId="1" type="noConversion"/>
  </si>
  <si>
    <t>비고 :</t>
    <phoneticPr fontId="1" type="noConversion"/>
  </si>
  <si>
    <t>공급가액</t>
    <phoneticPr fontId="4" type="noConversion"/>
  </si>
  <si>
    <t>2014-001</t>
    <phoneticPr fontId="1" type="noConversion"/>
  </si>
  <si>
    <t>2014-002</t>
    <phoneticPr fontId="1" type="noConversion"/>
  </si>
  <si>
    <t>aaa@aaa.com</t>
    <phoneticPr fontId="1" type="noConversion"/>
  </si>
  <si>
    <t>bbb@bbb.com</t>
    <phoneticPr fontId="1" type="noConversion"/>
  </si>
  <si>
    <t>납품예정일</t>
    <phoneticPr fontId="1" type="noConversion"/>
  </si>
  <si>
    <t>홍길동</t>
    <phoneticPr fontId="1" type="noConversion"/>
  </si>
  <si>
    <t>본사담당자</t>
    <phoneticPr fontId="1" type="noConversion"/>
  </si>
  <si>
    <t>본사연락처2</t>
    <phoneticPr fontId="1" type="noConversion"/>
  </si>
  <si>
    <t>본사연락처1</t>
    <phoneticPr fontId="1" type="noConversion"/>
  </si>
  <si>
    <t>본사Email</t>
    <phoneticPr fontId="1" type="noConversion"/>
  </si>
  <si>
    <t>정유진</t>
    <phoneticPr fontId="1" type="noConversion"/>
  </si>
  <si>
    <t>02-111-2222</t>
    <phoneticPr fontId="1" type="noConversion"/>
  </si>
  <si>
    <t>02-111-2223</t>
    <phoneticPr fontId="1" type="noConversion"/>
  </si>
  <si>
    <t>010-111-1111</t>
    <phoneticPr fontId="1" type="noConversion"/>
  </si>
  <si>
    <t>010-111-1112</t>
    <phoneticPr fontId="1" type="noConversion"/>
  </si>
  <si>
    <t>aaa@gilbut.co.kr</t>
    <phoneticPr fontId="1" type="noConversion"/>
  </si>
  <si>
    <t>bbb@gilbut.co.kr</t>
    <phoneticPr fontId="1" type="noConversion"/>
  </si>
  <si>
    <t>193-84-00000</t>
  </si>
  <si>
    <t>182-28-00000</t>
  </si>
  <si>
    <t>132-29-00000</t>
  </si>
  <si>
    <t>142-34-00000</t>
  </si>
  <si>
    <t>118-04-00000</t>
  </si>
  <si>
    <t>162-00-00000</t>
  </si>
  <si>
    <t>135-41-00000</t>
  </si>
  <si>
    <t>106-36-00000</t>
  </si>
  <si>
    <t>115-02-00000</t>
  </si>
  <si>
    <t>146-14-00000</t>
  </si>
  <si>
    <t>174-02-00000</t>
  </si>
  <si>
    <t>110-96-00000</t>
  </si>
  <si>
    <t>141-49-00000</t>
  </si>
  <si>
    <t>136-20-00000</t>
  </si>
  <si>
    <t>157-06-00000</t>
  </si>
  <si>
    <t>159-02-00000</t>
  </si>
  <si>
    <t>198-00-00000</t>
  </si>
  <si>
    <t>131-33-00000</t>
  </si>
  <si>
    <t>188-86-00000</t>
  </si>
  <si>
    <t>153-64-00000</t>
  </si>
  <si>
    <t>106-81-00000</t>
  </si>
  <si>
    <t>185-35-00000</t>
  </si>
  <si>
    <t>152-03-00000</t>
  </si>
  <si>
    <t>123-13-00000</t>
    <phoneticPr fontId="4" type="noConversion"/>
  </si>
  <si>
    <t>123-14-00000</t>
    <phoneticPr fontId="4" type="noConversion"/>
  </si>
  <si>
    <t>02-328-0000</t>
  </si>
  <si>
    <t>02-349-0000</t>
  </si>
  <si>
    <t>02-288-0000</t>
  </si>
  <si>
    <t>02-306-0000</t>
  </si>
  <si>
    <t>02-377-0000</t>
  </si>
  <si>
    <t>02-387-0000</t>
  </si>
  <si>
    <t>02-436-0000</t>
  </si>
  <si>
    <t>02-547-0000</t>
  </si>
  <si>
    <t>02-565-0000</t>
  </si>
  <si>
    <t>02-650-0000</t>
  </si>
  <si>
    <t>02-687-0000</t>
  </si>
  <si>
    <t>02-745-0000</t>
  </si>
  <si>
    <t>02-753-0000</t>
  </si>
  <si>
    <t>02-779-0000</t>
  </si>
  <si>
    <t>02-842-0000</t>
  </si>
  <si>
    <t>02-869-0000</t>
  </si>
  <si>
    <t>02-878-0000</t>
  </si>
  <si>
    <t>02-886-0000</t>
  </si>
  <si>
    <t>02-894-0000</t>
  </si>
  <si>
    <t>심영섭</t>
    <phoneticPr fontId="4" type="noConversion"/>
  </si>
  <si>
    <t>조정래</t>
    <phoneticPr fontId="4" type="noConversion"/>
  </si>
  <si>
    <t>주식회사타이니</t>
    <phoneticPr fontId="4" type="noConversion"/>
  </si>
  <si>
    <t>02-1234-0000</t>
    <phoneticPr fontId="4" type="noConversion"/>
  </si>
  <si>
    <t>02-1111-0000</t>
    <phoneticPr fontId="4" type="noConversion"/>
  </si>
  <si>
    <t>052-620-0000</t>
    <phoneticPr fontId="4" type="noConversion"/>
  </si>
  <si>
    <t>031-822-0000</t>
    <phoneticPr fontId="4" type="noConversion"/>
  </si>
  <si>
    <t>031-914-0000</t>
    <phoneticPr fontId="4" type="noConversion"/>
  </si>
  <si>
    <t>031-345-0000</t>
    <phoneticPr fontId="4" type="noConversion"/>
  </si>
  <si>
    <t>akj@dum.com</t>
  </si>
  <si>
    <t>rrl@g@a23.co.kr</t>
  </si>
  <si>
    <t>cur@d@ggg.co.kr</t>
  </si>
  <si>
    <t>wqp@g@a23.co.kr</t>
  </si>
  <si>
    <t>thlea@a23.co.kr</t>
  </si>
  <si>
    <t>cen@d@nver.com</t>
  </si>
  <si>
    <t>xrhv@dum.com</t>
  </si>
  <si>
    <t>seh@a23.co.kr</t>
  </si>
  <si>
    <t>mda@c@ggg.co.kr</t>
  </si>
  <si>
    <t>wwm@c@ggg.co.kr</t>
  </si>
  <si>
    <t>jndr@dum.com</t>
  </si>
  <si>
    <t>ado@a23.co.kr</t>
  </si>
  <si>
    <t>jlz@nver.com</t>
  </si>
  <si>
    <t>tyt@@ggg.co.kr</t>
  </si>
  <si>
    <t>nibu@ggg.co.kr</t>
  </si>
  <si>
    <t>ohdj@@nver.com</t>
  </si>
  <si>
    <t>lmul@a23.co.kr</t>
  </si>
  <si>
    <t>ulam@a23.co.kr</t>
  </si>
  <si>
    <t>ren@@dum.com</t>
  </si>
  <si>
    <t>kfnw@@nver.com</t>
  </si>
  <si>
    <t>tefz@@dum.com</t>
  </si>
  <si>
    <t>nvi@@nver.com</t>
  </si>
  <si>
    <t>npb@n@nver.com</t>
  </si>
  <si>
    <t>peapx@nver.com</t>
  </si>
  <si>
    <t>fjmc@@ggg.co.kr</t>
  </si>
  <si>
    <t>김종학</t>
    <phoneticPr fontId="4" type="noConversion"/>
  </si>
  <si>
    <t>엑셀 2013 기능 완전 정복</t>
  </si>
  <si>
    <t>파워포인트 기능 완전 정복</t>
  </si>
  <si>
    <t>액세스 2013 기능 완전 정복</t>
  </si>
  <si>
    <t>엑셀 실무활용 기능 완전 정복</t>
  </si>
  <si>
    <t>엑셀 매크로&amp;VBA 기능 완전 정복</t>
  </si>
  <si>
    <t>워드 2013 기능 완전 정복</t>
  </si>
  <si>
    <t>엑셀 2013기능 완전 정복</t>
  </si>
  <si>
    <t>비주얼베이직 6.0 기능 완전 정복</t>
  </si>
  <si>
    <t>엑셀&amp;파워포인트 2013 기능 완전 정복</t>
  </si>
  <si>
    <t>엑셀 2007 기능 완전 정복</t>
  </si>
  <si>
    <t>파워포인트 2007 기능 완전 정복</t>
  </si>
  <si>
    <t>컴퓨터 기능 완전 정복</t>
  </si>
  <si>
    <t>EMail</t>
    <phoneticPr fontId="1" type="noConversion"/>
  </si>
  <si>
    <t>Email</t>
    <phoneticPr fontId="4" type="noConversion"/>
  </si>
  <si>
    <t>Email</t>
    <phoneticPr fontId="4" type="noConversion"/>
  </si>
  <si>
    <t>문서번호</t>
    <phoneticPr fontId="4" type="noConversion"/>
  </si>
  <si>
    <t>증정1</t>
  </si>
  <si>
    <t>상세 교육 안내도 요청</t>
    <phoneticPr fontId="1" type="noConversion"/>
  </si>
  <si>
    <t>온라인</t>
  </si>
  <si>
    <t>2014-003</t>
  </si>
  <si>
    <t>2014-004</t>
  </si>
  <si>
    <t>nmD_EMail</t>
  </si>
  <si>
    <t>=Main!$E$9</t>
  </si>
  <si>
    <t>nmD_거래처명</t>
  </si>
  <si>
    <t>=Main!$C$5</t>
  </si>
  <si>
    <t>nmD_거래처코드</t>
  </si>
  <si>
    <t>=Main!$B$5</t>
  </si>
  <si>
    <t>nmD_견적세부시작셀</t>
  </si>
  <si>
    <t>=Main!$C$17</t>
  </si>
  <si>
    <t>nmD_견적일자</t>
  </si>
  <si>
    <t>=Main!$E$12</t>
  </si>
  <si>
    <t>nmD_공급가액</t>
  </si>
  <si>
    <t>=Main!$I$16</t>
  </si>
  <si>
    <t>nmD_납품예정일</t>
  </si>
  <si>
    <t>=Main!$E$13</t>
  </si>
  <si>
    <t>nmD_납품장소</t>
  </si>
  <si>
    <t>=Main!$E$14</t>
  </si>
  <si>
    <t>nmD_담당자</t>
  </si>
  <si>
    <t>=Main!$E$7</t>
  </si>
  <si>
    <t>nmD_문서번호</t>
  </si>
  <si>
    <t>=Main!$K$2</t>
  </si>
  <si>
    <t>nmD_본사Email</t>
  </si>
  <si>
    <t>=Main!$I$14</t>
  </si>
  <si>
    <t>nmD_본사담당자</t>
  </si>
  <si>
    <t>=Main!$I$11</t>
  </si>
  <si>
    <t>nmD_본사연락처1</t>
  </si>
  <si>
    <t>=Main!$I$12</t>
  </si>
  <si>
    <t>nmD_본사연락처2</t>
  </si>
  <si>
    <t>=Main!$I$13</t>
  </si>
  <si>
    <t>nmD_비고</t>
  </si>
  <si>
    <t>=Main!$C$34</t>
  </si>
  <si>
    <t>nmD_연락처</t>
  </si>
  <si>
    <t>=Main!$E$8</t>
  </si>
  <si>
    <t>nmMax코드</t>
  </si>
  <si>
    <t>='@작업시트'!$A$6</t>
  </si>
  <si>
    <t>nm거래처_조건</t>
  </si>
  <si>
    <t>='@작업시트'!$AD$5:$AD$6</t>
  </si>
  <si>
    <t>nm거래처_출력</t>
  </si>
  <si>
    <t>='@작업시트'!$AF$5:$AM$5</t>
  </si>
  <si>
    <t>nm견적_조건</t>
  </si>
  <si>
    <t>='@작업시트'!$C$5:$C$6</t>
  </si>
  <si>
    <t>nm견적_출력</t>
  </si>
  <si>
    <t>='@작업시트'!$E$5:$S$5</t>
  </si>
  <si>
    <t>nm견적세부_조건</t>
  </si>
  <si>
    <t>='@작업시트'!$U$5:$U$6</t>
  </si>
  <si>
    <t>nm견적세부_출력</t>
  </si>
  <si>
    <t>='@작업시트'!$W$5:$AB$5</t>
  </si>
  <si>
    <t>■ 견적서 신규/수정</t>
    <phoneticPr fontId="1" type="noConversion"/>
  </si>
  <si>
    <t>1. 견적서 조회</t>
    <phoneticPr fontId="1" type="noConversion"/>
  </si>
  <si>
    <t>알트스프링</t>
    <phoneticPr fontId="4" type="noConversion"/>
  </si>
  <si>
    <t>서울 강남구 언주로 123</t>
    <phoneticPr fontId="4" type="noConversion"/>
  </si>
  <si>
    <t>수원전자</t>
    <phoneticPr fontId="4" type="noConversion"/>
  </si>
  <si>
    <t>- 견적서는 고유한 '문서번호'로 저장되고, 조회합니다.  '문서번호'는 직접 입력하지말고 오른쪽 옆의 단추를 클릭해 견적서 내용을 검색하여 표시합니다.</t>
    <phoneticPr fontId="1" type="noConversion"/>
  </si>
  <si>
    <t>2. 견적서 삭제</t>
    <phoneticPr fontId="1" type="noConversion"/>
  </si>
  <si>
    <t>- 현재 조회 중인 견적서 내용( 문서번호를 기준으로 함)을 삭제할 때는 오른쪽 상단의 &lt;삭제&gt;를 클릭합니다.</t>
    <phoneticPr fontId="1" type="noConversion"/>
  </si>
  <si>
    <t>- 삭제 작업 후에는 &lt;신규&gt;를 클릭한 것처럼 &lt;Main&gt; 시트의 내용이 지워지면서, 문서번호가 새로운 번호로 자동 지정됩니다.</t>
    <phoneticPr fontId="1" type="noConversion"/>
  </si>
  <si>
    <t>1. 견적서 신규</t>
    <phoneticPr fontId="1" type="noConversion"/>
  </si>
  <si>
    <t>PPT-01</t>
  </si>
  <si>
    <t xml:space="preserve">- '문서번호' 계산 원리 : 견적서의 고유 Key인 문서번호는 현재 연도와 순차번호를 적용해 8자리로 구성합니다. </t>
    <phoneticPr fontId="1" type="noConversion"/>
  </si>
  <si>
    <t>- 신규 작성할 '문서번호'는 &lt;@작업시트&gt;의 A6셀(범위명 : nmMax코드)에서 자동 계산됩니다.</t>
    <phoneticPr fontId="1" type="noConversion"/>
  </si>
  <si>
    <t xml:space="preserve">2. 견적서 신규 작업시 '문서번호' 부여 </t>
    <phoneticPr fontId="1" type="noConversion"/>
  </si>
  <si>
    <t>- 조회 중인 견적 내용은 자유롭게 수정이 가능합니다. 연한 녹색으로 채우기된 셀들의 내용을 수정하여 내용을 변경한 후</t>
    <phoneticPr fontId="1" type="noConversion"/>
  </si>
  <si>
    <t xml:space="preserve">  &lt;저장&gt;을 클릭하여 시트에 저장되도록 해야 합니다. &lt;저장&gt;을 클릭하지 않은 경우 &lt;Main&gt;시트에서만 수정된 상태로 </t>
    <phoneticPr fontId="1" type="noConversion"/>
  </si>
  <si>
    <t>031-822-0000</t>
  </si>
  <si>
    <t>천안 교육장</t>
  </si>
  <si>
    <t>김미려</t>
  </si>
  <si>
    <t>02-111-2225</t>
  </si>
  <si>
    <t>010-111-1234</t>
  </si>
  <si>
    <t>ddd@gilbut.co.kr</t>
  </si>
  <si>
    <t>2014-005</t>
  </si>
  <si>
    <t>WIN-01</t>
  </si>
  <si>
    <t>윈도우 8.1 기능 완전 정복</t>
    <phoneticPr fontId="1" type="noConversion"/>
  </si>
  <si>
    <t>강사교육요청</t>
  </si>
  <si>
    <t>문제요청</t>
  </si>
  <si>
    <t>2014-005</t>
    <phoneticPr fontId="1" type="noConversion"/>
  </si>
  <si>
    <t>알트스프링</t>
    <phoneticPr fontId="1" type="noConversion"/>
  </si>
  <si>
    <t>이동숙</t>
    <phoneticPr fontId="1" type="noConversion"/>
  </si>
  <si>
    <t>02-1234-0000</t>
    <phoneticPr fontId="1" type="noConversion"/>
  </si>
  <si>
    <t>peapx@nver.com</t>
    <phoneticPr fontId="1" type="noConversion"/>
  </si>
  <si>
    <t>직배</t>
    <phoneticPr fontId="1" type="noConversion"/>
  </si>
  <si>
    <t>김미려</t>
    <phoneticPr fontId="1" type="noConversion"/>
  </si>
  <si>
    <t>02-111-2225</t>
    <phoneticPr fontId="1" type="noConversion"/>
  </si>
  <si>
    <t>010-111-1234</t>
    <phoneticPr fontId="1" type="noConversion"/>
  </si>
  <si>
    <t>ddd@gilbut.co.kr</t>
    <phoneticPr fontId="1" type="noConversion"/>
  </si>
  <si>
    <t>정유진</t>
    <phoneticPr fontId="1" type="noConversion"/>
  </si>
  <si>
    <t>010-111-1111</t>
    <phoneticPr fontId="1" type="noConversion"/>
  </si>
  <si>
    <t>02-111-2222</t>
    <phoneticPr fontId="1" type="noConversion"/>
  </si>
  <si>
    <t>aaa@gilbut.co.kr</t>
    <phoneticPr fontId="1" type="noConversion"/>
  </si>
  <si>
    <t>2014-003</t>
    <phoneticPr fontId="1" type="noConversion"/>
  </si>
  <si>
    <t>한국건설경제협의회</t>
    <phoneticPr fontId="1" type="noConversion"/>
  </si>
  <si>
    <t xml:space="preserve">이종우 </t>
    <phoneticPr fontId="1" type="noConversion"/>
  </si>
  <si>
    <t>02-753-0000</t>
    <phoneticPr fontId="1" type="noConversion"/>
  </si>
  <si>
    <t>nibu@ggg.co.kr</t>
    <phoneticPr fontId="1" type="noConversion"/>
  </si>
  <si>
    <t>교육장</t>
    <phoneticPr fontId="1" type="noConversion"/>
  </si>
  <si>
    <t>동서석유화학㈜</t>
  </si>
  <si>
    <t>010-111-1111</t>
    <phoneticPr fontId="1" type="noConversion"/>
  </si>
  <si>
    <t>aaa@gilbut.co.kr</t>
    <phoneticPr fontId="1" type="noConversion"/>
  </si>
  <si>
    <t>2014-001</t>
    <phoneticPr fontId="1" type="noConversion"/>
  </si>
  <si>
    <t>장미가족의 내맘대로 포토샵</t>
  </si>
  <si>
    <t>동서석유화학㈜</t>
    <phoneticPr fontId="1" type="noConversion"/>
  </si>
  <si>
    <t>유병찬</t>
    <phoneticPr fontId="1" type="noConversion"/>
  </si>
  <si>
    <t>620-1485</t>
    <phoneticPr fontId="1" type="noConversion"/>
  </si>
  <si>
    <t>aaa@aaa.com</t>
    <phoneticPr fontId="1" type="noConversion"/>
  </si>
  <si>
    <t>전산실</t>
    <phoneticPr fontId="1" type="noConversion"/>
  </si>
  <si>
    <t>정유진</t>
    <phoneticPr fontId="1" type="noConversion"/>
  </si>
  <si>
    <t>02-111-2222</t>
    <phoneticPr fontId="1" type="noConversion"/>
  </si>
  <si>
    <t>**</t>
    <phoneticPr fontId="1" type="noConversion"/>
  </si>
  <si>
    <t>**</t>
    <phoneticPr fontId="1" type="noConversion"/>
  </si>
  <si>
    <t>※ 이 파일은 매크로를 포함한 파일로 매크로를 포함하여 연 경우에만 정상 작동됩니다.</t>
    <phoneticPr fontId="1" type="noConversion"/>
  </si>
  <si>
    <t>■ 견적서 조회/삭제</t>
    <phoneticPr fontId="1" type="noConversion"/>
  </si>
  <si>
    <t>- 삭제 확인 창이 나타나면 &lt;예&gt;를 눌러 삭제합니다. 삭제 작업은 '문서번호'를 이용하여 &lt;견적서발급&gt;, &lt;견적서세부내용&gt; 시트의 자료를 삭제하는 작업을 합니다.</t>
    <phoneticPr fontId="1" type="noConversion"/>
  </si>
  <si>
    <t>- 새로운 견적서를 작성할 때 &lt;신규&gt;를 클릭하면 &lt;Main&gt; 시트의 내용이 지워지고, 새 견적서 작성을 위한 '문서번호'가 표시됩니다.</t>
    <phoneticPr fontId="1" type="noConversion"/>
  </si>
  <si>
    <t>- 주의할 점은 기존 작업 중이던 내용이 자동 저장되지 않으므로 필요한 경우 &lt;저장&gt;을 클릭해 저장한 후 작업하세요.</t>
    <phoneticPr fontId="1" type="noConversion"/>
  </si>
  <si>
    <t>3. 견적서 수정</t>
    <phoneticPr fontId="1" type="noConversion"/>
  </si>
  <si>
    <t xml:space="preserve">  실제 데이터가 저장되는 &lt;견적서발급&gt;, &lt;견적서세부내용&gt; 시트에는 반영되지 않습니다.</t>
    <phoneticPr fontId="1" type="noConversion"/>
  </si>
  <si>
    <t>■ 파일 구조 이해</t>
    <phoneticPr fontId="1" type="noConversion"/>
  </si>
  <si>
    <t>1. 시트의 기능</t>
    <phoneticPr fontId="1" type="noConversion"/>
  </si>
  <si>
    <t>- 각 시트는 다음과 같은 기능을 하며, 시트별로 표가 정의되어 있거나, 중요한 셀 위치에  이름이 정의되어있습니다.</t>
    <phoneticPr fontId="1" type="noConversion"/>
  </si>
  <si>
    <t>시트명</t>
    <phoneticPr fontId="1" type="noConversion"/>
  </si>
  <si>
    <t>설  명</t>
    <phoneticPr fontId="1" type="noConversion"/>
  </si>
  <si>
    <t>Main</t>
    <phoneticPr fontId="1" type="noConversion"/>
  </si>
  <si>
    <t>- 견적서를 조회, 수정, 작성할 수 있는 양식 제공
- 시트가 보호된 상태로 연두색으로 표시된 부분에만 내용입력</t>
    <phoneticPr fontId="1" type="noConversion"/>
  </si>
  <si>
    <t>견적서발급</t>
    <phoneticPr fontId="1" type="noConversion"/>
  </si>
  <si>
    <r>
      <t xml:space="preserve">- 견적서 발급 내용이 기록되는 시트로 </t>
    </r>
    <r>
      <rPr>
        <sz val="10"/>
        <color rgb="FFFF0000"/>
        <rFont val="맑은 고딕"/>
        <family val="3"/>
        <charset val="129"/>
        <scheme val="minor"/>
      </rPr>
      <t>'Main' 시트에서 
   '문서번호'를 이용하여 조회</t>
    </r>
    <r>
      <rPr>
        <sz val="10"/>
        <color theme="1"/>
        <rFont val="맑은 고딕"/>
        <family val="2"/>
        <charset val="129"/>
        <scheme val="minor"/>
      </rPr>
      <t xml:space="preserve"> 및 수정, 삭제, 신규 등록 등이 가능</t>
    </r>
    <phoneticPr fontId="1" type="noConversion"/>
  </si>
  <si>
    <t>견적서세부내용</t>
    <phoneticPr fontId="1" type="noConversion"/>
  </si>
  <si>
    <r>
      <t>- 견적서 발급 세부 내용이 기록되는 시트로</t>
    </r>
    <r>
      <rPr>
        <sz val="10"/>
        <color rgb="FFFF0000"/>
        <rFont val="맑은 고딕"/>
        <family val="3"/>
        <charset val="129"/>
        <scheme val="minor"/>
      </rPr>
      <t xml:space="preserve"> 'Main' 시트에서 
   '문서번호'를 이용하여 조회 </t>
    </r>
    <r>
      <rPr>
        <sz val="10"/>
        <color theme="1"/>
        <rFont val="맑은 고딕"/>
        <family val="2"/>
        <charset val="129"/>
        <scheme val="minor"/>
      </rPr>
      <t>및 수정, 삭제, 신규 등록 등이 가능</t>
    </r>
    <phoneticPr fontId="1" type="noConversion"/>
  </si>
  <si>
    <t>제품목록</t>
    <phoneticPr fontId="1" type="noConversion"/>
  </si>
  <si>
    <r>
      <t xml:space="preserve">- 제품 정보가 등록된 시트로 견적서에서 사용할 </t>
    </r>
    <r>
      <rPr>
        <sz val="10"/>
        <color rgb="FFFF0000"/>
        <rFont val="맑은 고딕"/>
        <family val="3"/>
        <charset val="129"/>
        <scheme val="minor"/>
      </rPr>
      <t>제품 정보는 이 시트에
  미리 등록</t>
    </r>
    <r>
      <rPr>
        <sz val="10"/>
        <color theme="1"/>
        <rFont val="맑은 고딕"/>
        <family val="2"/>
        <charset val="129"/>
        <scheme val="minor"/>
      </rPr>
      <t>되어 있어야 함</t>
    </r>
    <phoneticPr fontId="1" type="noConversion"/>
  </si>
  <si>
    <t>거래처목록</t>
    <phoneticPr fontId="1" type="noConversion"/>
  </si>
  <si>
    <r>
      <t xml:space="preserve">- 거래처 정보가 등록된 시트로 견적서에서 사용할 </t>
    </r>
    <r>
      <rPr>
        <sz val="10"/>
        <color rgb="FFFF0000"/>
        <rFont val="맑은 고딕"/>
        <family val="3"/>
        <charset val="129"/>
        <scheme val="minor"/>
      </rPr>
      <t>거래처 정보는
  이 시트에  미리 등록</t>
    </r>
    <r>
      <rPr>
        <sz val="10"/>
        <color theme="1"/>
        <rFont val="맑은 고딕"/>
        <family val="2"/>
        <charset val="129"/>
        <scheme val="minor"/>
      </rPr>
      <t>되어 있어야 함</t>
    </r>
    <phoneticPr fontId="1" type="noConversion"/>
  </si>
  <si>
    <t>@작업시트</t>
    <phoneticPr fontId="1" type="noConversion"/>
  </si>
  <si>
    <t>- Main 시트의 거래처, 견적서 검색을 할 때 사용하는 작업 공간으로
   임의로 시트 안의 셀 위치를 변경하지 말 것</t>
    <phoneticPr fontId="1" type="noConversion"/>
  </si>
  <si>
    <t>2. 주요 표와 이름 설명</t>
    <phoneticPr fontId="1" type="noConversion"/>
  </si>
  <si>
    <t>- 'Main' 시트를 통해 견적서 내용을 자동으로 조회, 등록 등을 할 수 있도록 Main 시트와 관련 시트에 다음 이름이 지정되어 있습니다.</t>
    <phoneticPr fontId="1" type="noConversion"/>
  </si>
  <si>
    <t>이름(표 이름)</t>
    <phoneticPr fontId="1" type="noConversion"/>
  </si>
  <si>
    <t>참조 대상</t>
    <phoneticPr fontId="1" type="noConversion"/>
  </si>
  <si>
    <t>설명</t>
    <phoneticPr fontId="1" type="noConversion"/>
  </si>
  <si>
    <t>[Main] 시트의 셀에 지정한 이름으로 
자료 입/출력을 위해 사용</t>
    <phoneticPr fontId="1" type="noConversion"/>
  </si>
  <si>
    <t>신규 견적서를 등록할 때 사용하기 위해 '견적서발급' 시트의 
'문서번호' 중 현재 연도 번호 중에서 가장 큰 번호를 찾아 1을 더한 값을 8자리 형태로 표시</t>
    <phoneticPr fontId="1" type="noConversion"/>
  </si>
  <si>
    <t>거래처 검색시 사용할 조건 입력 범위</t>
    <phoneticPr fontId="1" type="noConversion"/>
  </si>
  <si>
    <t>거래처 검색시 사용할 출력 위치 범위</t>
    <phoneticPr fontId="1" type="noConversion"/>
  </si>
  <si>
    <t>견적서 검색시 사용할 조건 입력 범위</t>
    <phoneticPr fontId="1" type="noConversion"/>
  </si>
  <si>
    <t>견적서 검색시 사용할 출력 위치 범위</t>
    <phoneticPr fontId="1" type="noConversion"/>
  </si>
  <si>
    <t>견적서 검색시 세부 내용 출력을 위한 조건 입력 범위</t>
    <phoneticPr fontId="1" type="noConversion"/>
  </si>
  <si>
    <t>견적서 검색시 세부 내용 출력을 위한 출력 위치 범위</t>
    <phoneticPr fontId="1" type="noConversion"/>
  </si>
  <si>
    <t>tbl거래처</t>
    <phoneticPr fontId="1" type="noConversion"/>
  </si>
  <si>
    <t>표로 지정된 영역</t>
    <phoneticPr fontId="1" type="noConversion"/>
  </si>
  <si>
    <t>[거래처목록] 시트에 지정된 표</t>
    <phoneticPr fontId="1" type="noConversion"/>
  </si>
  <si>
    <t>tbl견적서발급</t>
    <phoneticPr fontId="1" type="noConversion"/>
  </si>
  <si>
    <t>[견적서발급] 시트에 지정된 표</t>
    <phoneticPr fontId="1" type="noConversion"/>
  </si>
  <si>
    <t>tbl견적서세부</t>
    <phoneticPr fontId="1" type="noConversion"/>
  </si>
  <si>
    <t>[견적서세부내용] 시트에 지정된 표</t>
    <phoneticPr fontId="1" type="noConversion"/>
  </si>
  <si>
    <t>tbl제품</t>
    <phoneticPr fontId="1" type="noConversion"/>
  </si>
  <si>
    <t>[제품목록] 시트에 지정된 표</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</si>
</sst>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76" formatCode="_(* #,##0_);_(* \(#,##0\);_(* &quot;-&quot;_);_(@_)"/>
    <numFmt numFmtId="177" formatCode="0_ "/>
    <numFmt numFmtId="178" formatCode="###\-##\-#####"/>
    <numFmt numFmtId="179" formatCode="yyyy&quot;   년&quot;\ \ \ \ \ m&quot;  월&quot;\ \ \ \ \ d&quot;  일&quot;"/>
    <numFmt numFmtId="180" formatCode="&quot;원정(\&quot;#,##0&quot;)&quot;"/>
    <numFmt numFmtId="181" formatCode="\(&quot;₩&quot;#,##0\)"/>
    <numFmt numFmtId="182" formatCode=";;;"/>
    <numFmt numFmtId="183" formatCode="#,##0_ ;;"/>
    <numFmt numFmtId="184" formatCode="#,##0_ ;[Red]\-#,##0\ "/>
    <numFmt numFmtId="185" formatCode="yyyy/mm/dd\(aaa\)"/>
  </numFmts>
  <fonts count="36" x14ac:knownFonts="1">
    <font>
      <sz val="11"/>
      <color theme="1"/>
      <name val="맑은 고딕"/>
      <family val="2"/>
      <charset val="129"/>
      <scheme val="minor"/>
    </font>
    <font>
      <sz val="8"/>
      <name val="맑은 고딕"/>
      <family val="2"/>
      <charset val="129"/>
      <scheme val="minor"/>
    </font>
    <font>
      <sz val="11"/>
      <color theme="1"/>
      <name val="맑은 고딕"/>
      <family val="2"/>
      <charset val="129"/>
      <scheme val="minor"/>
    </font>
    <font>
      <sz val="9"/>
      <name val="맑은 고딕"/>
      <family val="3"/>
      <charset val="129"/>
      <scheme val="minor"/>
    </font>
    <font>
      <sz val="8"/>
      <name val="돋움"/>
      <family val="3"/>
      <charset val="129"/>
    </font>
    <font>
      <b/>
      <sz val="10"/>
      <color indexed="9"/>
      <name val="맑은 고딕"/>
      <family val="3"/>
      <charset val="129"/>
      <scheme val="minor"/>
    </font>
    <font>
      <sz val="10"/>
      <name val="맑은 고딕"/>
      <family val="3"/>
      <charset val="129"/>
      <scheme val="minor"/>
    </font>
    <font>
      <b/>
      <sz val="11"/>
      <name val="맑은 고딕"/>
      <family val="3"/>
      <charset val="129"/>
      <scheme val="minor"/>
    </font>
    <font>
      <b/>
      <sz val="9"/>
      <name val="맑은 고딕"/>
      <family val="3"/>
      <charset val="129"/>
      <scheme val="minor"/>
    </font>
    <font>
      <u/>
      <sz val="10"/>
      <name val="맑은 고딕"/>
      <family val="3"/>
      <charset val="129"/>
      <scheme val="minor"/>
    </font>
    <font>
      <b/>
      <sz val="10"/>
      <name val="맑은 고딕"/>
      <family val="3"/>
      <charset val="129"/>
      <scheme val="minor"/>
    </font>
    <font>
      <b/>
      <sz val="28"/>
      <name val="맑은 고딕"/>
      <family val="3"/>
      <charset val="129"/>
      <scheme val="minor"/>
    </font>
    <font>
      <b/>
      <sz val="12"/>
      <name val="맑은 고딕"/>
      <family val="3"/>
      <charset val="129"/>
      <scheme val="minor"/>
    </font>
    <font>
      <sz val="12"/>
      <name val="맑은 고딕"/>
      <family val="3"/>
      <charset val="129"/>
      <scheme val="minor"/>
    </font>
    <font>
      <b/>
      <sz val="10"/>
      <color indexed="62"/>
      <name val="맑은 고딕"/>
      <family val="3"/>
      <charset val="129"/>
      <scheme val="minor"/>
    </font>
    <font>
      <sz val="9"/>
      <name val="굴림"/>
      <family val="3"/>
      <charset val="129"/>
    </font>
    <font>
      <sz val="8"/>
      <name val="굴림"/>
      <family val="3"/>
      <charset val="129"/>
    </font>
    <font>
      <sz val="10"/>
      <color rgb="FFC00000"/>
      <name val="맑은 고딕"/>
      <family val="2"/>
      <charset val="129"/>
      <scheme val="minor"/>
    </font>
    <font>
      <b/>
      <sz val="9"/>
      <color theme="0"/>
      <name val="맑은 고딕"/>
      <family val="3"/>
      <charset val="129"/>
      <scheme val="minor"/>
    </font>
    <font>
      <b/>
      <sz val="10"/>
      <color theme="0"/>
      <name val="맑은 고딕"/>
      <family val="3"/>
      <charset val="129"/>
      <scheme val="minor"/>
    </font>
    <font>
      <sz val="10"/>
      <color theme="1"/>
      <name val="맑은 고딕"/>
      <family val="2"/>
      <charset val="129"/>
      <scheme val="minor"/>
    </font>
    <font>
      <sz val="10"/>
      <color theme="1"/>
      <name val="맑은 고딕"/>
      <family val="3"/>
      <charset val="129"/>
      <scheme val="minor"/>
    </font>
    <font>
      <b/>
      <sz val="12"/>
      <color theme="1"/>
      <name val="맑은 고딕"/>
      <family val="3"/>
      <charset val="129"/>
      <scheme val="minor"/>
    </font>
    <font>
      <b/>
      <sz val="9"/>
      <color rgb="FF0070C0"/>
      <name val="맑은 고딕"/>
      <family val="3"/>
      <charset val="129"/>
      <scheme val="minor"/>
    </font>
    <font>
      <u/>
      <sz val="11"/>
      <color theme="10"/>
      <name val="맑은 고딕"/>
      <family val="2"/>
      <charset val="129"/>
      <scheme val="minor"/>
    </font>
    <font>
      <b/>
      <sz val="9"/>
      <color indexed="81"/>
      <name val="Tahoma"/>
      <family val="2"/>
    </font>
    <font>
      <sz val="9"/>
      <color indexed="81"/>
      <name val="Tahoma"/>
      <family val="2"/>
    </font>
    <font>
      <sz val="9"/>
      <color indexed="81"/>
      <name val="돋움"/>
      <family val="3"/>
      <charset val="129"/>
    </font>
    <font>
      <b/>
      <sz val="10"/>
      <color indexed="10"/>
      <name val="Tahoma"/>
      <family val="2"/>
    </font>
    <font>
      <b/>
      <sz val="11"/>
      <color rgb="FFFF0000"/>
      <name val="맑은 고딕"/>
      <family val="3"/>
      <charset val="129"/>
      <scheme val="minor"/>
    </font>
    <font>
      <b/>
      <sz val="14"/>
      <color theme="1"/>
      <name val="맑은 고딕"/>
      <family val="3"/>
      <charset val="129"/>
      <scheme val="minor"/>
    </font>
    <font>
      <b/>
      <sz val="11"/>
      <color theme="1"/>
      <name val="맑은 고딕"/>
      <family val="3"/>
      <charset val="129"/>
      <scheme val="minor"/>
    </font>
    <font>
      <b/>
      <sz val="10"/>
      <color theme="1"/>
      <name val="맑은 고딕"/>
      <family val="3"/>
      <charset val="129"/>
      <scheme val="minor"/>
    </font>
    <font>
      <sz val="10"/>
      <color rgb="FFFF0000"/>
      <name val="맑은 고딕"/>
      <family val="3"/>
      <charset val="129"/>
      <scheme val="minor"/>
    </font>
    <font>
      <sz val="11"/>
      <color rgb="FF0070C0"/>
      <name val="맑은 고딕"/>
      <family val="2"/>
      <charset val="129"/>
      <scheme val="minor"/>
    </font>
    <font>
      <sz val="11"/>
      <color rgb="FF0070C0"/>
      <name val="맑은 고딕"/>
      <family val="3"/>
      <charset val="129"/>
      <scheme val="minor"/>
    </font>
  </fonts>
  <fills count="14">
    <fill>
      <patternFill patternType="none"/>
    </fill>
    <fill>
      <patternFill patternType="gray125"/>
    </fill>
    <fill>
      <patternFill patternType="solid">
        <fgColor indexed="9"/>
        <bgColor indexed="64"/>
      </patternFill>
    </fill>
    <fill>
      <patternFill patternType="solid">
        <fgColor indexed="62"/>
        <bgColor indexed="64"/>
      </patternFill>
    </fill>
    <fill>
      <patternFill patternType="solid">
        <fgColor theme="8"/>
        <bgColor theme="8"/>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bgColor theme="5"/>
      </patternFill>
    </fill>
    <fill>
      <patternFill patternType="solid">
        <fgColor theme="0" tint="-0.499984740745262"/>
        <bgColor indexed="64"/>
      </patternFill>
    </fill>
    <fill>
      <patternFill patternType="solid">
        <fgColor theme="7"/>
        <bgColor theme="7"/>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bgColor indexed="64"/>
      </patternFill>
    </fill>
  </fills>
  <borders count="53">
    <border>
      <left/>
      <right/>
      <top/>
      <bottom/>
      <diagonal/>
    </border>
    <border>
      <left/>
      <right style="thin">
        <color indexed="9"/>
      </right>
      <top/>
      <bottom/>
      <diagonal/>
    </border>
    <border>
      <left style="thin">
        <color indexed="9"/>
      </left>
      <right style="thin">
        <color indexed="9"/>
      </right>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22"/>
      </left>
      <right style="thin">
        <color indexed="9"/>
      </right>
      <top style="medium">
        <color indexed="22"/>
      </top>
      <bottom/>
      <diagonal/>
    </border>
    <border>
      <left/>
      <right style="thin">
        <color indexed="9"/>
      </right>
      <top style="medium">
        <color indexed="22"/>
      </top>
      <bottom/>
      <diagonal/>
    </border>
    <border>
      <left style="thin">
        <color indexed="9"/>
      </left>
      <right style="thin">
        <color indexed="9"/>
      </right>
      <top style="medium">
        <color indexed="22"/>
      </top>
      <bottom/>
      <diagonal/>
    </border>
    <border>
      <left style="medium">
        <color indexed="22"/>
      </left>
      <right style="thin">
        <color indexed="9"/>
      </right>
      <top/>
      <bottom/>
      <diagonal/>
    </border>
    <border>
      <left/>
      <right style="thin">
        <color indexed="64"/>
      </right>
      <top style="medium">
        <color indexed="64"/>
      </top>
      <bottom style="thin">
        <color indexed="64"/>
      </bottom>
      <diagonal/>
    </border>
    <border>
      <left style="thin">
        <color theme="7" tint="0.39997558519241921"/>
      </left>
      <right/>
      <top style="thin">
        <color theme="7" tint="0.39997558519241921"/>
      </top>
      <bottom style="thin">
        <color theme="7" tint="0.39997558519241921"/>
      </bottom>
      <diagonal/>
    </border>
    <border>
      <left/>
      <right/>
      <top style="thin">
        <color theme="7" tint="0.39997558519241921"/>
      </top>
      <bottom style="thin">
        <color theme="7" tint="0.39997558519241921"/>
      </bottom>
      <diagonal/>
    </border>
    <border>
      <left/>
      <right/>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4">
    <xf numFmtId="0" fontId="0" fillId="0" borderId="0">
      <alignment vertical="center"/>
    </xf>
    <xf numFmtId="176" fontId="2" fillId="0" borderId="0" applyFont="0" applyFill="0" applyBorder="0" applyAlignment="0" applyProtection="0">
      <alignment vertical="center"/>
    </xf>
    <xf numFmtId="0" fontId="24" fillId="0" borderId="0" applyNumberFormat="0" applyFill="0" applyBorder="0" applyAlignment="0" applyProtection="0">
      <alignment vertical="center"/>
    </xf>
    <xf numFmtId="0" fontId="20" fillId="0" borderId="0">
      <alignment vertical="center"/>
    </xf>
  </cellStyleXfs>
  <cellXfs count="223">
    <xf numFmtId="0" fontId="0" fillId="0" borderId="0" xfId="0">
      <alignment vertical="center"/>
    </xf>
    <xf numFmtId="0" fontId="6" fillId="0" borderId="0" xfId="0" applyFont="1" applyFill="1" applyAlignment="1" applyProtection="1">
      <alignment vertical="center"/>
    </xf>
    <xf numFmtId="0" fontId="3" fillId="0" borderId="0" xfId="0" applyFont="1">
      <alignment vertical="center"/>
    </xf>
    <xf numFmtId="0" fontId="3" fillId="0" borderId="0" xfId="0" applyFont="1" applyBorder="1">
      <alignment vertical="center"/>
    </xf>
    <xf numFmtId="0" fontId="3" fillId="0" borderId="0" xfId="0" applyFont="1" applyBorder="1" applyAlignment="1">
      <alignment horizontal="center" vertical="center"/>
    </xf>
    <xf numFmtId="0" fontId="3" fillId="0" borderId="0" xfId="0" applyFont="1" applyBorder="1" applyAlignment="1">
      <alignment horizontal="center" vertical="center" wrapText="1"/>
    </xf>
    <xf numFmtId="0" fontId="3" fillId="0" borderId="0" xfId="0" applyFont="1" applyBorder="1" applyAlignment="1">
      <alignment horizontal="center" vertical="top" textRotation="255"/>
    </xf>
    <xf numFmtId="182" fontId="3" fillId="0" borderId="0" xfId="0" applyNumberFormat="1" applyFont="1">
      <alignment vertical="center"/>
    </xf>
    <xf numFmtId="0" fontId="8" fillId="0" borderId="0" xfId="0" applyFont="1" applyBorder="1">
      <alignment vertical="center"/>
    </xf>
    <xf numFmtId="14" fontId="3" fillId="0" borderId="0" xfId="0" applyNumberFormat="1" applyFont="1" applyBorder="1">
      <alignment vertical="center"/>
    </xf>
    <xf numFmtId="0" fontId="6" fillId="0" borderId="0" xfId="0" applyFont="1" applyAlignment="1">
      <alignment vertical="center"/>
    </xf>
    <xf numFmtId="0" fontId="14" fillId="0" borderId="0" xfId="0" applyFont="1" applyFill="1" applyAlignment="1">
      <alignment vertical="center"/>
    </xf>
    <xf numFmtId="14" fontId="6" fillId="0" borderId="0" xfId="0" applyNumberFormat="1" applyFont="1" applyAlignment="1">
      <alignment vertical="center"/>
    </xf>
    <xf numFmtId="176" fontId="6" fillId="0" borderId="0" xfId="1" applyFont="1" applyAlignment="1">
      <alignment vertical="center"/>
    </xf>
    <xf numFmtId="0" fontId="6" fillId="0" borderId="0" xfId="0" applyFont="1">
      <alignment vertical="center"/>
    </xf>
    <xf numFmtId="0" fontId="6" fillId="0" borderId="0" xfId="0" quotePrefix="1" applyFont="1" applyAlignment="1">
      <alignment vertical="center"/>
    </xf>
    <xf numFmtId="0" fontId="6" fillId="2" borderId="0" xfId="0" applyFont="1" applyFill="1" applyAlignment="1" applyProtection="1">
      <alignment vertical="center"/>
    </xf>
    <xf numFmtId="0" fontId="6" fillId="2" borderId="0" xfId="0" applyNumberFormat="1" applyFont="1" applyFill="1" applyAlignment="1" applyProtection="1">
      <alignment vertical="center"/>
    </xf>
    <xf numFmtId="14" fontId="6" fillId="2" borderId="0" xfId="0" applyNumberFormat="1" applyFont="1" applyFill="1" applyAlignment="1" applyProtection="1">
      <alignment vertical="center" wrapText="1"/>
    </xf>
    <xf numFmtId="0" fontId="6" fillId="2" borderId="0" xfId="0" applyFont="1" applyFill="1" applyAlignment="1" applyProtection="1">
      <alignment vertical="center" wrapText="1"/>
    </xf>
    <xf numFmtId="14" fontId="6" fillId="2" borderId="0" xfId="0" applyNumberFormat="1" applyFont="1" applyFill="1" applyAlignment="1" applyProtection="1">
      <alignment vertical="center"/>
    </xf>
    <xf numFmtId="49" fontId="6" fillId="2" borderId="0" xfId="0" applyNumberFormat="1" applyFont="1" applyFill="1" applyAlignment="1" applyProtection="1">
      <alignment vertical="center"/>
    </xf>
    <xf numFmtId="176" fontId="6" fillId="2" borderId="0" xfId="1" applyFont="1" applyFill="1" applyAlignment="1" applyProtection="1">
      <alignment vertical="center"/>
    </xf>
    <xf numFmtId="14" fontId="6" fillId="0" borderId="0" xfId="0" applyNumberFormat="1" applyFont="1">
      <alignment vertical="center"/>
    </xf>
    <xf numFmtId="176" fontId="6" fillId="0" borderId="0" xfId="1" applyFont="1">
      <alignment vertical="center"/>
    </xf>
    <xf numFmtId="0" fontId="14" fillId="0" borderId="0" xfId="0" applyFont="1" applyFill="1">
      <alignment vertical="center"/>
    </xf>
    <xf numFmtId="0" fontId="6" fillId="0" borderId="0" xfId="0" quotePrefix="1" applyFont="1">
      <alignment vertical="center"/>
    </xf>
    <xf numFmtId="0" fontId="6" fillId="0" borderId="0" xfId="0" applyFont="1" applyFill="1">
      <alignment vertical="center"/>
    </xf>
    <xf numFmtId="176" fontId="6" fillId="0" borderId="0" xfId="1" applyFont="1" applyFill="1">
      <alignment vertical="center"/>
    </xf>
    <xf numFmtId="0" fontId="6" fillId="0" borderId="0" xfId="0" applyFont="1" applyAlignment="1" applyProtection="1">
      <alignment vertical="center"/>
    </xf>
    <xf numFmtId="184" fontId="6" fillId="0" borderId="0" xfId="0" applyNumberFormat="1" applyFont="1" applyAlignment="1" applyProtection="1">
      <alignment vertical="center"/>
    </xf>
    <xf numFmtId="176" fontId="6" fillId="0" borderId="0" xfId="1" applyFont="1" applyAlignment="1" applyProtection="1">
      <alignment vertical="center"/>
    </xf>
    <xf numFmtId="0" fontId="6" fillId="0" borderId="0" xfId="0" applyFont="1" applyFill="1" applyAlignment="1">
      <alignment horizontal="distributed"/>
    </xf>
    <xf numFmtId="0" fontId="6" fillId="0" borderId="0" xfId="0" applyNumberFormat="1" applyFont="1" applyFill="1" applyAlignment="1" applyProtection="1">
      <alignment vertical="center"/>
    </xf>
    <xf numFmtId="14" fontId="6" fillId="0" borderId="0" xfId="0" applyNumberFormat="1" applyFont="1" applyFill="1" applyAlignment="1" applyProtection="1">
      <alignment vertical="center" wrapText="1"/>
    </xf>
    <xf numFmtId="0" fontId="6" fillId="0" borderId="0" xfId="0" applyFont="1" applyFill="1" applyAlignment="1" applyProtection="1">
      <alignment vertical="center" wrapText="1"/>
    </xf>
    <xf numFmtId="14" fontId="6" fillId="0" borderId="0" xfId="0" applyNumberFormat="1" applyFont="1" applyFill="1" applyAlignment="1" applyProtection="1">
      <alignment vertical="center"/>
    </xf>
    <xf numFmtId="178" fontId="6" fillId="0" borderId="0" xfId="0" applyNumberFormat="1" applyFont="1" applyFill="1" applyAlignment="1" applyProtection="1">
      <alignment vertical="center"/>
    </xf>
    <xf numFmtId="49" fontId="6" fillId="0" borderId="0" xfId="0" applyNumberFormat="1" applyFont="1" applyFill="1" applyAlignment="1" applyProtection="1">
      <alignment vertical="center"/>
    </xf>
    <xf numFmtId="0" fontId="3" fillId="0" borderId="0" xfId="0" applyNumberFormat="1" applyFont="1" applyBorder="1" applyAlignment="1">
      <alignment horizontal="center" vertical="center"/>
    </xf>
    <xf numFmtId="0" fontId="3" fillId="0" borderId="0" xfId="0" applyFont="1" applyBorder="1" applyAlignment="1">
      <alignment horizontal="center" vertical="center"/>
    </xf>
    <xf numFmtId="0" fontId="17" fillId="0" borderId="0" xfId="0" applyFont="1">
      <alignment vertical="center"/>
    </xf>
    <xf numFmtId="0" fontId="6" fillId="5" borderId="0" xfId="0" applyFont="1" applyFill="1">
      <alignment vertical="center"/>
    </xf>
    <xf numFmtId="0" fontId="6" fillId="0" borderId="0" xfId="0" applyFont="1" applyFill="1" applyAlignment="1">
      <alignment horizontal="center" vertical="center"/>
    </xf>
    <xf numFmtId="0" fontId="6" fillId="0" borderId="0" xfId="0" applyFont="1" applyFill="1" applyBorder="1" applyAlignment="1" applyProtection="1">
      <alignment vertical="center"/>
    </xf>
    <xf numFmtId="0" fontId="6" fillId="0" borderId="0" xfId="0" applyFont="1" applyFill="1" applyBorder="1" applyAlignment="1" applyProtection="1">
      <alignment horizontal="center" vertical="center"/>
    </xf>
    <xf numFmtId="177" fontId="6" fillId="0" borderId="0" xfId="0" applyNumberFormat="1" applyFont="1" applyFill="1" applyBorder="1" applyAlignment="1" applyProtection="1">
      <alignment horizontal="center" vertical="center"/>
    </xf>
    <xf numFmtId="177" fontId="6" fillId="0" borderId="0" xfId="0" applyNumberFormat="1" applyFont="1" applyFill="1" applyBorder="1" applyAlignment="1" applyProtection="1">
      <alignment vertical="center"/>
    </xf>
    <xf numFmtId="0" fontId="10" fillId="0" borderId="0" xfId="0" applyFont="1" applyFill="1" applyBorder="1" applyAlignment="1" applyProtection="1">
      <alignment horizontal="center" vertical="center"/>
    </xf>
    <xf numFmtId="14" fontId="6" fillId="0" borderId="0" xfId="0" applyNumberFormat="1" applyFont="1" applyFill="1" applyAlignment="1">
      <alignment horizontal="center" vertical="center"/>
    </xf>
    <xf numFmtId="176" fontId="6" fillId="5" borderId="0" xfId="1" applyFont="1" applyFill="1">
      <alignment vertical="center"/>
    </xf>
    <xf numFmtId="0" fontId="5" fillId="0" borderId="2" xfId="0" applyFont="1" applyFill="1" applyBorder="1" applyAlignment="1" applyProtection="1">
      <alignment horizontal="left" vertical="center"/>
    </xf>
    <xf numFmtId="0" fontId="10" fillId="0" borderId="0" xfId="0" applyFont="1" applyFill="1" applyBorder="1" applyAlignment="1">
      <alignment horizontal="center" vertical="center"/>
    </xf>
    <xf numFmtId="0" fontId="6" fillId="0" borderId="0" xfId="0" applyFont="1" applyFill="1" applyBorder="1" applyAlignment="1">
      <alignment vertical="center"/>
    </xf>
    <xf numFmtId="0" fontId="6" fillId="0" borderId="0" xfId="0" applyFont="1" applyFill="1" applyBorder="1" applyAlignment="1">
      <alignment horizontal="center" vertical="center"/>
    </xf>
    <xf numFmtId="177" fontId="6" fillId="0" borderId="0" xfId="0" applyNumberFormat="1" applyFont="1" applyFill="1" applyBorder="1" applyAlignment="1">
      <alignment horizontal="center" vertical="center"/>
    </xf>
    <xf numFmtId="0" fontId="10" fillId="0" borderId="0" xfId="0" applyFont="1" applyFill="1" applyBorder="1" applyAlignment="1" applyProtection="1">
      <alignment horizontal="left" vertical="center"/>
    </xf>
    <xf numFmtId="0" fontId="6" fillId="0" borderId="0" xfId="0" applyFont="1" applyFill="1" applyBorder="1" applyAlignment="1" applyProtection="1">
      <alignment horizontal="center" vertical="center"/>
      <protection locked="0"/>
    </xf>
    <xf numFmtId="0" fontId="6" fillId="0" borderId="0" xfId="0" applyFont="1" applyFill="1" applyBorder="1" applyAlignment="1" applyProtection="1">
      <alignment vertical="center"/>
      <protection locked="0"/>
    </xf>
    <xf numFmtId="176" fontId="6" fillId="0" borderId="0" xfId="1" applyFont="1" applyFill="1" applyBorder="1" applyAlignment="1" applyProtection="1">
      <alignment vertical="center"/>
      <protection locked="0"/>
    </xf>
    <xf numFmtId="0" fontId="10" fillId="0" borderId="0" xfId="0" applyFont="1" applyFill="1" applyBorder="1" applyAlignment="1" applyProtection="1">
      <alignment horizontal="left" vertical="center" wrapText="1"/>
    </xf>
    <xf numFmtId="49" fontId="10" fillId="0" borderId="0" xfId="0" applyNumberFormat="1" applyFont="1" applyFill="1" applyBorder="1" applyAlignment="1" applyProtection="1">
      <alignment horizontal="left" vertical="center" wrapText="1"/>
    </xf>
    <xf numFmtId="14" fontId="10" fillId="0" borderId="0" xfId="0" applyNumberFormat="1" applyFont="1" applyFill="1" applyBorder="1" applyAlignment="1" applyProtection="1">
      <alignment horizontal="left" vertical="center" wrapText="1"/>
    </xf>
    <xf numFmtId="178" fontId="10" fillId="0" borderId="0" xfId="0" applyNumberFormat="1" applyFont="1" applyFill="1" applyBorder="1" applyAlignment="1" applyProtection="1">
      <alignment horizontal="left" vertical="center" wrapText="1"/>
    </xf>
    <xf numFmtId="0" fontId="5" fillId="0" borderId="28" xfId="0" applyFont="1" applyFill="1" applyBorder="1" applyAlignment="1" applyProtection="1">
      <alignment horizontal="left" vertical="center" wrapText="1"/>
    </xf>
    <xf numFmtId="49" fontId="5" fillId="0" borderId="1" xfId="0" applyNumberFormat="1" applyFont="1" applyFill="1" applyBorder="1" applyAlignment="1" applyProtection="1">
      <alignment horizontal="left" vertical="center" wrapText="1"/>
    </xf>
    <xf numFmtId="49" fontId="5" fillId="0" borderId="2" xfId="0" applyNumberFormat="1" applyFont="1" applyFill="1" applyBorder="1" applyAlignment="1" applyProtection="1">
      <alignment horizontal="left" vertical="center" wrapText="1"/>
    </xf>
    <xf numFmtId="14" fontId="5" fillId="0" borderId="2" xfId="0" applyNumberFormat="1" applyFont="1" applyFill="1" applyBorder="1" applyAlignment="1" applyProtection="1">
      <alignment horizontal="left" vertical="center" wrapText="1"/>
    </xf>
    <xf numFmtId="176" fontId="5" fillId="0" borderId="2" xfId="1" applyFont="1" applyFill="1" applyBorder="1" applyAlignment="1" applyProtection="1">
      <alignment horizontal="left" vertical="center" wrapText="1"/>
    </xf>
    <xf numFmtId="0" fontId="5" fillId="4" borderId="25" xfId="0" applyFont="1" applyFill="1" applyBorder="1" applyAlignment="1">
      <alignment horizontal="left" vertical="center" wrapText="1"/>
    </xf>
    <xf numFmtId="49" fontId="5" fillId="4" borderId="26" xfId="0" applyNumberFormat="1" applyFont="1" applyFill="1" applyBorder="1" applyAlignment="1">
      <alignment horizontal="left" vertical="center" wrapText="1"/>
    </xf>
    <xf numFmtId="49" fontId="5" fillId="4" borderId="27" xfId="0" applyNumberFormat="1" applyFont="1" applyFill="1" applyBorder="1" applyAlignment="1">
      <alignment horizontal="left" vertical="center" wrapText="1"/>
    </xf>
    <xf numFmtId="14" fontId="5" fillId="4" borderId="27" xfId="0" applyNumberFormat="1" applyFont="1" applyFill="1" applyBorder="1" applyAlignment="1">
      <alignment horizontal="left" vertical="center" wrapText="1"/>
    </xf>
    <xf numFmtId="176" fontId="5" fillId="4" borderId="27" xfId="1" applyNumberFormat="1" applyFont="1" applyFill="1" applyBorder="1" applyAlignment="1">
      <alignment horizontal="left" vertical="center" wrapText="1"/>
    </xf>
    <xf numFmtId="49" fontId="5" fillId="3" borderId="7" xfId="0" applyNumberFormat="1" applyFont="1" applyFill="1" applyBorder="1" applyAlignment="1">
      <alignment horizontal="center" vertical="center" wrapText="1"/>
    </xf>
    <xf numFmtId="0" fontId="0" fillId="0" borderId="7" xfId="0" applyBorder="1">
      <alignment vertical="center"/>
    </xf>
    <xf numFmtId="49" fontId="5" fillId="4" borderId="7" xfId="0" applyNumberFormat="1" applyFont="1" applyFill="1" applyBorder="1" applyAlignment="1">
      <alignment horizontal="center" vertical="center" wrapText="1"/>
    </xf>
    <xf numFmtId="0" fontId="0" fillId="0" borderId="7" xfId="0" applyBorder="1" applyAlignment="1">
      <alignment horizontal="center" vertical="center"/>
    </xf>
    <xf numFmtId="0" fontId="5" fillId="7" borderId="7" xfId="0" applyFont="1" applyFill="1" applyBorder="1" applyAlignment="1">
      <alignment horizontal="center" vertical="center" wrapText="1"/>
    </xf>
    <xf numFmtId="49" fontId="5" fillId="0" borderId="2" xfId="0" applyNumberFormat="1" applyFont="1" applyFill="1" applyBorder="1" applyAlignment="1" applyProtection="1">
      <alignment horizontal="left" vertical="center"/>
    </xf>
    <xf numFmtId="176" fontId="5" fillId="0" borderId="2" xfId="1" applyFont="1" applyFill="1" applyBorder="1" applyAlignment="1" applyProtection="1">
      <alignment horizontal="left" vertical="center"/>
    </xf>
    <xf numFmtId="49" fontId="5" fillId="7" borderId="27" xfId="0" applyNumberFormat="1" applyFont="1" applyFill="1" applyBorder="1" applyAlignment="1">
      <alignment vertical="center"/>
    </xf>
    <xf numFmtId="0" fontId="5" fillId="7" borderId="27" xfId="0" applyFont="1" applyFill="1" applyBorder="1" applyAlignment="1">
      <alignment vertical="center"/>
    </xf>
    <xf numFmtId="176" fontId="5" fillId="7" borderId="27" xfId="1" applyNumberFormat="1" applyFont="1" applyFill="1" applyBorder="1" applyAlignment="1">
      <alignment vertical="center"/>
    </xf>
    <xf numFmtId="0" fontId="3" fillId="0" borderId="0" xfId="0" applyNumberFormat="1" applyFont="1">
      <alignment vertical="center"/>
    </xf>
    <xf numFmtId="0" fontId="18" fillId="8" borderId="7" xfId="0" applyNumberFormat="1" applyFont="1" applyFill="1" applyBorder="1" applyAlignment="1">
      <alignment horizontal="center" vertical="center"/>
    </xf>
    <xf numFmtId="0" fontId="3" fillId="0" borderId="7" xfId="0" applyNumberFormat="1" applyFont="1" applyBorder="1" applyAlignment="1">
      <alignment horizontal="center" vertical="center"/>
    </xf>
    <xf numFmtId="0" fontId="3" fillId="0" borderId="0" xfId="0" applyFont="1" applyBorder="1" applyAlignment="1">
      <alignment horizontal="center" vertical="center"/>
    </xf>
    <xf numFmtId="0" fontId="10" fillId="9" borderId="30" xfId="0" applyFont="1" applyFill="1" applyBorder="1" applyAlignment="1">
      <alignment horizontal="left" vertical="center" wrapText="1"/>
    </xf>
    <xf numFmtId="49" fontId="10" fillId="9" borderId="31" xfId="0" applyNumberFormat="1" applyFont="1" applyFill="1" applyBorder="1" applyAlignment="1">
      <alignment horizontal="left" vertical="center" wrapText="1"/>
    </xf>
    <xf numFmtId="14" fontId="10" fillId="9" borderId="31" xfId="0" applyNumberFormat="1" applyFont="1" applyFill="1" applyBorder="1" applyAlignment="1">
      <alignment horizontal="left" vertical="center" wrapText="1"/>
    </xf>
    <xf numFmtId="178" fontId="10" fillId="9" borderId="31" xfId="0" applyNumberFormat="1" applyFont="1" applyFill="1" applyBorder="1" applyAlignment="1">
      <alignment horizontal="left" vertical="center" wrapText="1"/>
    </xf>
    <xf numFmtId="177" fontId="6" fillId="0" borderId="0" xfId="0" applyNumberFormat="1" applyFont="1" applyFill="1" applyBorder="1" applyAlignment="1">
      <alignment vertical="center"/>
    </xf>
    <xf numFmtId="0" fontId="10" fillId="6" borderId="3" xfId="0" applyFont="1" applyFill="1" applyBorder="1" applyAlignment="1">
      <alignment horizontal="distributed" vertical="center" indent="1"/>
    </xf>
    <xf numFmtId="0" fontId="7" fillId="0" borderId="0" xfId="0" applyNumberFormat="1" applyFont="1" applyBorder="1" applyAlignment="1">
      <alignment vertical="center"/>
    </xf>
    <xf numFmtId="0" fontId="10" fillId="6" borderId="15" xfId="0" applyFont="1" applyFill="1" applyBorder="1" applyAlignment="1">
      <alignment horizontal="center" vertical="center"/>
    </xf>
    <xf numFmtId="0" fontId="20" fillId="0" borderId="0" xfId="0" applyFont="1">
      <alignment vertical="center"/>
    </xf>
    <xf numFmtId="0" fontId="21" fillId="0" borderId="0" xfId="0" applyFont="1" applyBorder="1">
      <alignment vertical="center"/>
    </xf>
    <xf numFmtId="0" fontId="20" fillId="0" borderId="0" xfId="0" applyFont="1" applyAlignment="1">
      <alignment horizontal="left" vertical="center"/>
    </xf>
    <xf numFmtId="0" fontId="10" fillId="6" borderId="11" xfId="0" applyFont="1" applyFill="1" applyBorder="1" applyAlignment="1">
      <alignment horizontal="center" vertical="center"/>
    </xf>
    <xf numFmtId="0" fontId="6" fillId="0" borderId="0" xfId="0" applyNumberFormat="1" applyFont="1" applyFill="1" applyAlignment="1">
      <alignment horizontal="center" vertical="center"/>
    </xf>
    <xf numFmtId="183" fontId="3" fillId="10" borderId="7" xfId="0" applyNumberFormat="1" applyFont="1" applyFill="1" applyBorder="1" applyAlignment="1" applyProtection="1">
      <alignment horizontal="center" vertical="center"/>
      <protection locked="0"/>
    </xf>
    <xf numFmtId="0" fontId="3" fillId="10" borderId="10" xfId="0" applyFont="1" applyFill="1" applyBorder="1" applyAlignment="1" applyProtection="1">
      <alignment horizontal="center" vertical="center"/>
      <protection locked="0"/>
    </xf>
    <xf numFmtId="3" fontId="3" fillId="0" borderId="6" xfId="0" applyNumberFormat="1" applyFont="1" applyFill="1" applyBorder="1" applyAlignment="1">
      <alignment horizontal="center" vertical="center"/>
    </xf>
    <xf numFmtId="3" fontId="3" fillId="0" borderId="7" xfId="0" applyNumberFormat="1" applyFont="1" applyFill="1" applyBorder="1" applyAlignment="1">
      <alignment horizontal="right" vertical="center"/>
    </xf>
    <xf numFmtId="0" fontId="10" fillId="11" borderId="0" xfId="0" applyFont="1" applyFill="1" applyBorder="1" applyAlignment="1" applyProtection="1">
      <alignment horizontal="center"/>
    </xf>
    <xf numFmtId="0" fontId="10" fillId="6" borderId="3" xfId="0" applyFont="1" applyFill="1" applyBorder="1" applyAlignment="1">
      <alignment horizontal="center" vertical="center"/>
    </xf>
    <xf numFmtId="0" fontId="10" fillId="6" borderId="14" xfId="0" applyFont="1" applyFill="1" applyBorder="1" applyAlignment="1">
      <alignment horizontal="center" vertical="center"/>
    </xf>
    <xf numFmtId="0" fontId="3" fillId="0" borderId="0" xfId="0" applyFont="1" applyBorder="1" applyAlignment="1">
      <alignment horizontal="center" vertical="center"/>
    </xf>
    <xf numFmtId="0" fontId="20" fillId="5" borderId="0" xfId="3" applyFill="1">
      <alignment vertical="center"/>
    </xf>
    <xf numFmtId="0" fontId="29" fillId="0" borderId="0" xfId="3" applyFont="1">
      <alignment vertical="center"/>
    </xf>
    <xf numFmtId="0" fontId="20" fillId="0" borderId="0" xfId="3">
      <alignment vertical="center"/>
    </xf>
    <xf numFmtId="0" fontId="30" fillId="0" borderId="0" xfId="3" applyFont="1">
      <alignment vertical="center"/>
    </xf>
    <xf numFmtId="0" fontId="31" fillId="0" borderId="0" xfId="3" applyFont="1">
      <alignment vertical="center"/>
    </xf>
    <xf numFmtId="49" fontId="20" fillId="0" borderId="0" xfId="3" applyNumberFormat="1">
      <alignment vertical="center"/>
    </xf>
    <xf numFmtId="49" fontId="20" fillId="0" borderId="0" xfId="3" quotePrefix="1" applyNumberFormat="1">
      <alignment vertical="center"/>
    </xf>
    <xf numFmtId="49" fontId="31" fillId="0" borderId="0" xfId="3" applyNumberFormat="1" applyFont="1">
      <alignment vertical="center"/>
    </xf>
    <xf numFmtId="49" fontId="20" fillId="0" borderId="0" xfId="3" applyNumberFormat="1" applyAlignment="1">
      <alignment horizontal="left" vertical="center" indent="1"/>
    </xf>
    <xf numFmtId="3" fontId="3" fillId="0" borderId="11" xfId="0" applyNumberFormat="1" applyFont="1" applyFill="1" applyBorder="1" applyAlignment="1">
      <alignment horizontal="center" vertical="center"/>
    </xf>
    <xf numFmtId="183" fontId="3" fillId="10" borderId="12" xfId="0" applyNumberFormat="1" applyFont="1" applyFill="1" applyBorder="1" applyAlignment="1" applyProtection="1">
      <alignment horizontal="center" vertical="center"/>
      <protection locked="0"/>
    </xf>
    <xf numFmtId="3" fontId="3" fillId="0" borderId="12" xfId="0" applyNumberFormat="1" applyFont="1" applyFill="1" applyBorder="1" applyAlignment="1">
      <alignment horizontal="right" vertical="center"/>
    </xf>
    <xf numFmtId="0" fontId="3" fillId="10" borderId="13" xfId="0" applyFont="1" applyFill="1" applyBorder="1" applyAlignment="1" applyProtection="1">
      <alignment horizontal="center" vertical="center"/>
      <protection locked="0"/>
    </xf>
    <xf numFmtId="0" fontId="19" fillId="8" borderId="50" xfId="0" applyNumberFormat="1" applyFont="1" applyFill="1" applyBorder="1" applyAlignment="1">
      <alignment horizontal="center" vertical="center"/>
    </xf>
    <xf numFmtId="0" fontId="3" fillId="10" borderId="51" xfId="0" applyNumberFormat="1" applyFont="1" applyFill="1" applyBorder="1" applyProtection="1">
      <alignment vertical="center"/>
      <protection locked="0"/>
    </xf>
    <xf numFmtId="0" fontId="3" fillId="10" borderId="52" xfId="0" applyNumberFormat="1" applyFont="1" applyFill="1" applyBorder="1" applyProtection="1">
      <alignment vertical="center"/>
      <protection locked="0"/>
    </xf>
    <xf numFmtId="0" fontId="0" fillId="0" borderId="0" xfId="0" quotePrefix="1">
      <alignment vertical="center"/>
    </xf>
    <xf numFmtId="0" fontId="31" fillId="13" borderId="7" xfId="0" applyFont="1" applyFill="1" applyBorder="1">
      <alignment vertical="center"/>
    </xf>
    <xf numFmtId="0" fontId="0" fillId="13" borderId="8" xfId="0" applyFill="1" applyBorder="1" applyAlignment="1">
      <alignment vertical="center"/>
    </xf>
    <xf numFmtId="0" fontId="0" fillId="13" borderId="9" xfId="0" applyFill="1" applyBorder="1" applyAlignment="1">
      <alignment vertical="center"/>
    </xf>
    <xf numFmtId="0" fontId="0" fillId="13" borderId="23" xfId="0" applyFill="1" applyBorder="1" applyAlignment="1">
      <alignment vertical="center"/>
    </xf>
    <xf numFmtId="0" fontId="0" fillId="13" borderId="7" xfId="0" applyFill="1" applyBorder="1" applyAlignment="1">
      <alignment horizontal="left" vertical="center" wrapText="1"/>
    </xf>
    <xf numFmtId="0" fontId="34" fillId="0" borderId="7" xfId="0" applyFont="1" applyBorder="1">
      <alignment vertical="center"/>
    </xf>
    <xf numFmtId="0" fontId="35" fillId="0" borderId="8" xfId="0" applyFont="1" applyBorder="1" applyAlignment="1">
      <alignment vertical="center"/>
    </xf>
    <xf numFmtId="0" fontId="35" fillId="0" borderId="9" xfId="0" applyFont="1" applyBorder="1" applyAlignment="1">
      <alignment vertical="center"/>
    </xf>
    <xf numFmtId="0" fontId="35" fillId="0" borderId="23" xfId="0" applyFont="1" applyBorder="1" applyAlignment="1">
      <alignment vertical="center"/>
    </xf>
    <xf numFmtId="0" fontId="35" fillId="0" borderId="7" xfId="0" applyFont="1" applyBorder="1" applyAlignment="1">
      <alignment horizontal="left" vertical="center" wrapText="1"/>
    </xf>
    <xf numFmtId="0" fontId="0" fillId="0" borderId="7" xfId="0" applyBorder="1">
      <alignment vertical="center"/>
    </xf>
    <xf numFmtId="0" fontId="0" fillId="0" borderId="8" xfId="0" applyBorder="1" applyAlignment="1">
      <alignment vertical="center"/>
    </xf>
    <xf numFmtId="0" fontId="0" fillId="0" borderId="9" xfId="0" applyBorder="1" applyAlignment="1">
      <alignment vertical="center"/>
    </xf>
    <xf numFmtId="0" fontId="0" fillId="0" borderId="23" xfId="0" applyBorder="1" applyAlignment="1">
      <alignment vertical="center"/>
    </xf>
    <xf numFmtId="49" fontId="20" fillId="0" borderId="7" xfId="3" quotePrefix="1" applyNumberFormat="1" applyBorder="1">
      <alignment vertical="center"/>
    </xf>
    <xf numFmtId="49" fontId="20" fillId="0" borderId="7" xfId="3" quotePrefix="1" applyNumberFormat="1" applyBorder="1" applyAlignment="1">
      <alignment horizontal="left" vertical="top" wrapText="1"/>
    </xf>
    <xf numFmtId="49" fontId="20" fillId="0" borderId="7" xfId="3" applyNumberFormat="1" applyBorder="1" applyAlignment="1">
      <alignment horizontal="left" vertical="top" wrapText="1"/>
    </xf>
    <xf numFmtId="49" fontId="32" fillId="11" borderId="7" xfId="3" applyNumberFormat="1" applyFont="1" applyFill="1" applyBorder="1" applyAlignment="1">
      <alignment horizontal="center" vertical="center"/>
    </xf>
    <xf numFmtId="49" fontId="32" fillId="11" borderId="8" xfId="3" applyNumberFormat="1" applyFont="1" applyFill="1" applyBorder="1" applyAlignment="1">
      <alignment horizontal="center" vertical="center"/>
    </xf>
    <xf numFmtId="49" fontId="32" fillId="11" borderId="9" xfId="3" applyNumberFormat="1" applyFont="1" applyFill="1" applyBorder="1" applyAlignment="1">
      <alignment horizontal="center" vertical="center"/>
    </xf>
    <xf numFmtId="49" fontId="32" fillId="11" borderId="23" xfId="3" applyNumberFormat="1" applyFont="1" applyFill="1" applyBorder="1" applyAlignment="1">
      <alignment horizontal="center" vertical="center"/>
    </xf>
    <xf numFmtId="0" fontId="0" fillId="0" borderId="43" xfId="0" applyBorder="1" applyAlignment="1">
      <alignment horizontal="center" vertical="center" wrapText="1"/>
    </xf>
    <xf numFmtId="0" fontId="0" fillId="0" borderId="44" xfId="0" applyBorder="1" applyAlignment="1">
      <alignment horizontal="center" vertical="center" wrapText="1"/>
    </xf>
    <xf numFmtId="0" fontId="0" fillId="0" borderId="45" xfId="0" applyBorder="1" applyAlignment="1">
      <alignment horizontal="center" vertical="center" wrapText="1"/>
    </xf>
    <xf numFmtId="0" fontId="0" fillId="0" borderId="42" xfId="0" applyBorder="1" applyAlignment="1">
      <alignment horizontal="center" vertical="center" wrapText="1"/>
    </xf>
    <xf numFmtId="0" fontId="0" fillId="0" borderId="0"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0" fillId="0" borderId="32" xfId="0" applyBorder="1" applyAlignment="1">
      <alignment horizontal="center" vertical="center" wrapText="1"/>
    </xf>
    <xf numFmtId="0" fontId="0" fillId="0" borderId="48" xfId="0" applyBorder="1" applyAlignment="1">
      <alignment horizontal="center" vertical="center" wrapText="1"/>
    </xf>
    <xf numFmtId="49" fontId="20" fillId="0" borderId="7" xfId="3" applyNumberFormat="1" applyBorder="1">
      <alignment vertical="center"/>
    </xf>
    <xf numFmtId="49" fontId="32" fillId="11" borderId="7" xfId="3" applyNumberFormat="1" applyFont="1" applyFill="1" applyBorder="1">
      <alignment vertical="center"/>
    </xf>
    <xf numFmtId="0" fontId="8" fillId="0" borderId="0" xfId="0" applyFont="1" applyBorder="1" applyAlignment="1">
      <alignment horizontal="center" vertical="center" wrapText="1"/>
    </xf>
    <xf numFmtId="3" fontId="3" fillId="0" borderId="8" xfId="0" applyNumberFormat="1" applyFont="1" applyFill="1" applyBorder="1" applyAlignment="1">
      <alignment horizontal="right" vertical="center"/>
    </xf>
    <xf numFmtId="3" fontId="3" fillId="0" borderId="23" xfId="0" applyNumberFormat="1" applyFont="1" applyFill="1" applyBorder="1" applyAlignment="1">
      <alignment horizontal="right" vertical="center"/>
    </xf>
    <xf numFmtId="3" fontId="3" fillId="0" borderId="16" xfId="0" applyNumberFormat="1" applyFont="1" applyFill="1" applyBorder="1" applyAlignment="1">
      <alignment horizontal="right" vertical="center"/>
    </xf>
    <xf numFmtId="3" fontId="3" fillId="0" borderId="24" xfId="0" applyNumberFormat="1" applyFont="1" applyFill="1" applyBorder="1" applyAlignment="1">
      <alignment horizontal="right" vertical="center"/>
    </xf>
    <xf numFmtId="0" fontId="10" fillId="0" borderId="18" xfId="0" applyFont="1" applyBorder="1" applyAlignment="1">
      <alignment horizontal="center" vertical="distributed" wrapText="1"/>
    </xf>
    <xf numFmtId="0" fontId="10" fillId="0" borderId="19" xfId="0" applyFont="1" applyBorder="1" applyAlignment="1">
      <alignment horizontal="center" vertical="distributed" wrapText="1"/>
    </xf>
    <xf numFmtId="181" fontId="13" fillId="0" borderId="21" xfId="0" applyNumberFormat="1" applyFont="1" applyBorder="1" applyAlignment="1">
      <alignment horizontal="left" vertical="center" wrapText="1"/>
    </xf>
    <xf numFmtId="181" fontId="13" fillId="0" borderId="22" xfId="0" applyNumberFormat="1" applyFont="1" applyBorder="1" applyAlignment="1">
      <alignment horizontal="left" vertical="center" wrapText="1"/>
    </xf>
    <xf numFmtId="0" fontId="10" fillId="6" borderId="4" xfId="0" applyFont="1" applyFill="1" applyBorder="1" applyAlignment="1">
      <alignment horizontal="center" vertical="center"/>
    </xf>
    <xf numFmtId="0" fontId="10" fillId="6" borderId="29" xfId="0" applyFont="1" applyFill="1" applyBorder="1" applyAlignment="1">
      <alignment horizontal="center" vertical="center"/>
    </xf>
    <xf numFmtId="0" fontId="10" fillId="6" borderId="5" xfId="0" applyFont="1" applyFill="1" applyBorder="1" applyAlignment="1">
      <alignment horizontal="center" vertical="center"/>
    </xf>
    <xf numFmtId="0" fontId="3" fillId="0" borderId="9" xfId="0" applyNumberFormat="1" applyFont="1" applyFill="1" applyBorder="1" applyAlignment="1">
      <alignment horizontal="center" vertical="center"/>
    </xf>
    <xf numFmtId="0" fontId="3" fillId="0" borderId="23" xfId="0" applyNumberFormat="1" applyFont="1" applyFill="1" applyBorder="1" applyAlignment="1">
      <alignment horizontal="center" vertical="center"/>
    </xf>
    <xf numFmtId="0" fontId="9" fillId="0" borderId="0" xfId="0" applyFont="1" applyBorder="1" applyAlignment="1">
      <alignment horizontal="center"/>
    </xf>
    <xf numFmtId="0" fontId="11" fillId="0" borderId="0" xfId="0" applyFont="1" applyAlignment="1">
      <alignment horizontal="center"/>
    </xf>
    <xf numFmtId="0" fontId="3" fillId="0" borderId="0" xfId="0" applyFont="1" applyBorder="1" applyAlignment="1">
      <alignment horizontal="center" vertical="center"/>
    </xf>
    <xf numFmtId="0" fontId="22" fillId="0" borderId="0" xfId="0" applyFont="1" applyAlignment="1">
      <alignment horizontal="left" vertical="center"/>
    </xf>
    <xf numFmtId="0" fontId="10" fillId="6" borderId="3" xfId="0" applyFont="1" applyFill="1" applyBorder="1" applyAlignment="1">
      <alignment horizontal="center" vertical="center"/>
    </xf>
    <xf numFmtId="0" fontId="10" fillId="6" borderId="14" xfId="0" applyFont="1" applyFill="1" applyBorder="1" applyAlignment="1">
      <alignment horizontal="center" vertical="center"/>
    </xf>
    <xf numFmtId="185" fontId="6" fillId="10" borderId="14" xfId="0" applyNumberFormat="1" applyFont="1" applyFill="1" applyBorder="1" applyAlignment="1" applyProtection="1">
      <alignment horizontal="center" vertical="center"/>
      <protection locked="0"/>
    </xf>
    <xf numFmtId="185" fontId="6" fillId="10" borderId="15" xfId="0" applyNumberFormat="1" applyFont="1" applyFill="1" applyBorder="1" applyAlignment="1" applyProtection="1">
      <alignment horizontal="center" vertical="center"/>
      <protection locked="0"/>
    </xf>
    <xf numFmtId="0" fontId="10" fillId="6" borderId="34" xfId="0" applyFont="1" applyFill="1" applyBorder="1" applyAlignment="1">
      <alignment horizontal="distributed" vertical="center" indent="1"/>
    </xf>
    <xf numFmtId="0" fontId="10" fillId="6" borderId="29" xfId="0" applyFont="1" applyFill="1" applyBorder="1" applyAlignment="1">
      <alignment horizontal="distributed" vertical="center" indent="1"/>
    </xf>
    <xf numFmtId="179" fontId="6" fillId="10" borderId="4" xfId="0" applyNumberFormat="1" applyFont="1" applyFill="1" applyBorder="1" applyAlignment="1" applyProtection="1">
      <alignment horizontal="center" vertical="center"/>
      <protection locked="0"/>
    </xf>
    <xf numFmtId="179" fontId="6" fillId="10" borderId="36" xfId="0" applyNumberFormat="1" applyFont="1" applyFill="1" applyBorder="1" applyAlignment="1" applyProtection="1">
      <alignment horizontal="center" vertical="center"/>
      <protection locked="0"/>
    </xf>
    <xf numFmtId="0" fontId="21" fillId="0" borderId="0" xfId="0" applyFont="1" applyBorder="1" applyAlignment="1">
      <alignment horizontal="left" vertical="center"/>
    </xf>
    <xf numFmtId="0" fontId="21" fillId="0" borderId="0" xfId="0" applyNumberFormat="1" applyFont="1" applyBorder="1" applyAlignment="1">
      <alignment horizontal="left" vertical="center"/>
    </xf>
    <xf numFmtId="0" fontId="21" fillId="0" borderId="0" xfId="0" applyFont="1">
      <alignment vertical="center"/>
    </xf>
    <xf numFmtId="0" fontId="6" fillId="10" borderId="14" xfId="0" applyNumberFormat="1" applyFont="1" applyFill="1" applyBorder="1" applyAlignment="1" applyProtection="1">
      <alignment horizontal="center" vertical="center"/>
      <protection locked="0"/>
    </xf>
    <xf numFmtId="0" fontId="6" fillId="10" borderId="15" xfId="0" applyNumberFormat="1" applyFont="1" applyFill="1" applyBorder="1" applyAlignment="1" applyProtection="1">
      <alignment horizontal="center" vertical="center"/>
      <protection locked="0"/>
    </xf>
    <xf numFmtId="0" fontId="23" fillId="0" borderId="0" xfId="0" applyNumberFormat="1" applyFont="1" applyBorder="1" applyAlignment="1">
      <alignment horizontal="center" vertical="center"/>
    </xf>
    <xf numFmtId="0" fontId="10" fillId="6" borderId="35" xfId="0" applyFont="1" applyFill="1" applyBorder="1" applyAlignment="1">
      <alignment horizontal="distributed" vertical="center" indent="1"/>
    </xf>
    <xf numFmtId="0" fontId="10" fillId="6" borderId="23" xfId="0" applyFont="1" applyFill="1" applyBorder="1" applyAlignment="1">
      <alignment horizontal="distributed" vertical="center" indent="1"/>
    </xf>
    <xf numFmtId="0" fontId="21" fillId="0" borderId="0" xfId="0" applyFont="1" applyAlignment="1">
      <alignment horizontal="left" vertical="center"/>
    </xf>
    <xf numFmtId="0" fontId="10" fillId="6" borderId="33" xfId="0" applyFont="1" applyFill="1" applyBorder="1" applyAlignment="1">
      <alignment horizontal="distributed" vertical="center" indent="1"/>
    </xf>
    <xf numFmtId="0" fontId="10" fillId="6" borderId="24" xfId="0" applyFont="1" applyFill="1" applyBorder="1" applyAlignment="1">
      <alignment horizontal="distributed" vertical="center" indent="1"/>
    </xf>
    <xf numFmtId="0" fontId="6" fillId="10" borderId="8" xfId="0" applyNumberFormat="1" applyFont="1" applyFill="1" applyBorder="1" applyAlignment="1" applyProtection="1">
      <alignment horizontal="center" vertical="top"/>
      <protection locked="0"/>
    </xf>
    <xf numFmtId="0" fontId="6" fillId="10" borderId="37" xfId="0" applyNumberFormat="1" applyFont="1" applyFill="1" applyBorder="1" applyAlignment="1" applyProtection="1">
      <alignment horizontal="center" vertical="top"/>
      <protection locked="0"/>
    </xf>
    <xf numFmtId="0" fontId="6" fillId="10" borderId="16" xfId="0" applyNumberFormat="1" applyFont="1" applyFill="1" applyBorder="1" applyAlignment="1" applyProtection="1">
      <alignment horizontal="center" vertical="top"/>
      <protection locked="0"/>
    </xf>
    <xf numFmtId="0" fontId="6" fillId="10" borderId="17" xfId="0" applyNumberFormat="1" applyFont="1" applyFill="1" applyBorder="1" applyAlignment="1" applyProtection="1">
      <alignment horizontal="center" vertical="top"/>
      <protection locked="0"/>
    </xf>
    <xf numFmtId="0" fontId="3" fillId="10" borderId="18" xfId="0" applyFont="1" applyFill="1" applyBorder="1" applyAlignment="1" applyProtection="1">
      <alignment horizontal="left" vertical="top" wrapText="1" indent="1"/>
      <protection locked="0"/>
    </xf>
    <xf numFmtId="0" fontId="3" fillId="10" borderId="21" xfId="0" applyFont="1" applyFill="1" applyBorder="1" applyAlignment="1" applyProtection="1">
      <alignment horizontal="left" vertical="top" wrapText="1" indent="1"/>
      <protection locked="0"/>
    </xf>
    <xf numFmtId="0" fontId="3" fillId="10" borderId="22" xfId="0" applyFont="1" applyFill="1" applyBorder="1" applyAlignment="1" applyProtection="1">
      <alignment horizontal="left" vertical="top" wrapText="1" indent="1"/>
      <protection locked="0"/>
    </xf>
    <xf numFmtId="0" fontId="6" fillId="10" borderId="7" xfId="0" applyNumberFormat="1" applyFont="1" applyFill="1" applyBorder="1" applyAlignment="1" applyProtection="1">
      <alignment horizontal="center" vertical="center"/>
      <protection locked="0"/>
    </xf>
    <xf numFmtId="0" fontId="6" fillId="10" borderId="10" xfId="0" applyNumberFormat="1" applyFont="1" applyFill="1" applyBorder="1" applyAlignment="1" applyProtection="1">
      <alignment horizontal="center" vertical="center"/>
      <protection locked="0"/>
    </xf>
    <xf numFmtId="0" fontId="10" fillId="6" borderId="38" xfId="0" applyFont="1" applyFill="1" applyBorder="1" applyAlignment="1">
      <alignment horizontal="distributed" vertical="center" indent="1"/>
    </xf>
    <xf numFmtId="0" fontId="10" fillId="6" borderId="39" xfId="0" applyFont="1" applyFill="1" applyBorder="1" applyAlignment="1">
      <alignment horizontal="distributed" vertical="center" indent="1"/>
    </xf>
    <xf numFmtId="0" fontId="24" fillId="10" borderId="40" xfId="2" applyFill="1" applyBorder="1" applyAlignment="1" applyProtection="1">
      <alignment horizontal="center" vertical="center"/>
      <protection locked="0"/>
    </xf>
    <xf numFmtId="0" fontId="0" fillId="10" borderId="40" xfId="0" applyFill="1" applyBorder="1" applyAlignment="1" applyProtection="1">
      <alignment horizontal="center" vertical="center"/>
      <protection locked="0"/>
    </xf>
    <xf numFmtId="0" fontId="0" fillId="10" borderId="41" xfId="0" applyFill="1" applyBorder="1" applyAlignment="1" applyProtection="1">
      <alignment horizontal="center" vertical="center"/>
      <protection locked="0"/>
    </xf>
    <xf numFmtId="0" fontId="3" fillId="0" borderId="49" xfId="0" applyNumberFormat="1" applyFont="1" applyFill="1" applyBorder="1" applyAlignment="1">
      <alignment horizontal="center" vertical="center"/>
    </xf>
    <xf numFmtId="0" fontId="3" fillId="0" borderId="24" xfId="0" applyNumberFormat="1" applyFont="1" applyFill="1" applyBorder="1" applyAlignment="1">
      <alignment horizontal="center" vertical="center"/>
    </xf>
    <xf numFmtId="0" fontId="10" fillId="6" borderId="11" xfId="0" applyFont="1" applyFill="1" applyBorder="1" applyAlignment="1">
      <alignment horizontal="center" vertical="center"/>
    </xf>
    <xf numFmtId="0" fontId="10" fillId="6" borderId="12" xfId="0" applyFont="1" applyFill="1" applyBorder="1" applyAlignment="1">
      <alignment horizontal="center" vertical="center"/>
    </xf>
    <xf numFmtId="0" fontId="6" fillId="10" borderId="12" xfId="0" applyNumberFormat="1" applyFont="1" applyFill="1" applyBorder="1" applyAlignment="1" applyProtection="1">
      <alignment horizontal="center" vertical="center"/>
      <protection locked="0"/>
    </xf>
    <xf numFmtId="0" fontId="6" fillId="10" borderId="13" xfId="0" applyNumberFormat="1" applyFont="1" applyFill="1" applyBorder="1" applyAlignment="1" applyProtection="1">
      <alignment horizontal="center" vertical="center"/>
      <protection locked="0"/>
    </xf>
    <xf numFmtId="185" fontId="6" fillId="10" borderId="7" xfId="0" applyNumberFormat="1" applyFont="1" applyFill="1" applyBorder="1" applyAlignment="1" applyProtection="1">
      <alignment horizontal="center" vertical="center"/>
      <protection locked="0"/>
    </xf>
    <xf numFmtId="185" fontId="6" fillId="10" borderId="10" xfId="0" applyNumberFormat="1" applyFont="1" applyFill="1" applyBorder="1" applyAlignment="1" applyProtection="1">
      <alignment horizontal="center" vertical="center"/>
      <protection locked="0"/>
    </xf>
    <xf numFmtId="0" fontId="10" fillId="6" borderId="6" xfId="0" applyFont="1" applyFill="1" applyBorder="1" applyAlignment="1">
      <alignment horizontal="center" vertical="center"/>
    </xf>
    <xf numFmtId="0" fontId="10" fillId="6" borderId="7" xfId="0" applyFont="1" applyFill="1" applyBorder="1" applyAlignment="1">
      <alignment horizontal="center" vertical="center"/>
    </xf>
    <xf numFmtId="0" fontId="10" fillId="12" borderId="0" xfId="0" applyFont="1" applyFill="1" applyAlignment="1">
      <alignment horizontal="left" vertical="center"/>
    </xf>
    <xf numFmtId="0" fontId="12" fillId="0" borderId="32" xfId="0" applyNumberFormat="1" applyFont="1" applyFill="1" applyBorder="1" applyAlignment="1">
      <alignment horizontal="center" vertical="center" wrapText="1"/>
    </xf>
    <xf numFmtId="180" fontId="12" fillId="0" borderId="20" xfId="0" applyNumberFormat="1" applyFont="1" applyBorder="1" applyAlignment="1" applyProtection="1">
      <alignment horizontal="center" vertical="center" wrapText="1"/>
    </xf>
    <xf numFmtId="180" fontId="12" fillId="0" borderId="21" xfId="0" applyNumberFormat="1" applyFont="1" applyBorder="1" applyAlignment="1" applyProtection="1">
      <alignment horizontal="center" vertical="center" wrapText="1"/>
    </xf>
  </cellXfs>
  <cellStyles count="4">
    <cellStyle name="쉼표 [0]" xfId="1" builtinId="6"/>
    <cellStyle name="표준" xfId="0" builtinId="0"/>
    <cellStyle name="표준 2" xfId="3"/>
    <cellStyle name="하이퍼링크" xfId="2" builtinId="8"/>
  </cellStyles>
  <dxfs count="54">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left" vertical="center" textRotation="0" wrapText="1" indent="0" justifyLastLine="0" shrinkToFit="0" readingOrder="0"/>
      <protection locked="1" hidden="0"/>
    </dxf>
    <dxf>
      <border>
        <left style="thin">
          <color indexed="22"/>
        </left>
        <right style="thin">
          <color indexed="22"/>
        </right>
        <top style="thin">
          <color indexed="22"/>
        </top>
        <bottom style="thin">
          <color indexed="22"/>
        </bottom>
      </border>
    </dxf>
    <dxf>
      <border>
        <left style="thin">
          <color indexed="22"/>
        </left>
        <right style="thin">
          <color indexed="22"/>
        </right>
        <top style="thin">
          <color indexed="22"/>
        </top>
        <bottom style="thin">
          <color indexed="22"/>
        </bottom>
      </border>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protection locked="0" hidden="0"/>
    </dxf>
    <dxf>
      <font>
        <strike val="0"/>
        <outline val="0"/>
        <shadow val="0"/>
        <u val="none"/>
        <vertAlign val="baseline"/>
        <color auto="1"/>
      </font>
      <fill>
        <patternFill patternType="none">
          <fgColor indexed="64"/>
          <bgColor auto="1"/>
        </patternFill>
      </fill>
    </dxf>
    <dxf>
      <font>
        <b/>
        <i val="0"/>
        <strike val="0"/>
        <condense val="0"/>
        <extend val="0"/>
        <outline val="0"/>
        <shadow val="0"/>
        <u val="none"/>
        <vertAlign val="baseline"/>
        <sz val="10"/>
        <color auto="1"/>
        <name val="맑은 고딕"/>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9"/>
        </left>
        <right style="thin">
          <color indexed="9"/>
        </right>
        <top/>
        <bottom/>
      </border>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border outline="0">
        <top style="medium">
          <color indexed="22"/>
        </top>
      </border>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i val="0"/>
        <strike val="0"/>
        <condense val="0"/>
        <extend val="0"/>
        <outline val="0"/>
        <shadow val="0"/>
        <u val="none"/>
        <vertAlign val="baseline"/>
        <sz val="10"/>
        <color indexed="9"/>
        <name val="맑은 고딕"/>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9"/>
        </left>
        <right style="thin">
          <color indexed="9"/>
        </right>
        <top/>
        <bottom/>
      </border>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19" formatCode="yyyy/mm/dd"/>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19" formatCode="yyyy/mm/dd"/>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border outline="0">
        <top style="medium">
          <color indexed="22"/>
        </top>
      </border>
    </dxf>
    <dxf>
      <fill>
        <patternFill patternType="none">
          <fgColor indexed="64"/>
          <bgColor auto="1"/>
        </patternFill>
      </fill>
    </dxf>
    <dxf>
      <fill>
        <patternFill patternType="none">
          <fgColor indexed="64"/>
          <bgColor auto="1"/>
        </patternFill>
      </fill>
      <alignment horizontal="left" vertical="center" textRotation="0" wrapText="1" indent="0" justifyLastLine="0" shrinkToFit="0"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49324;&#50857;&#46020;&#50880;&#47568;!A80"/><Relationship Id="rId5" Type="http://schemas.openxmlformats.org/officeDocument/2006/relationships/hyperlink" Target="#&#49324;&#50857;&#46020;&#50880;&#47568;!A3"/><Relationship Id="rId4" Type="http://schemas.openxmlformats.org/officeDocument/2006/relationships/hyperlink" Target="#&#49324;&#50857;&#46020;&#50880;&#47568;!A183"/></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2</xdr:col>
      <xdr:colOff>142873</xdr:colOff>
      <xdr:row>143</xdr:row>
      <xdr:rowOff>142876</xdr:rowOff>
    </xdr:from>
    <xdr:to>
      <xdr:col>13</xdr:col>
      <xdr:colOff>1008115</xdr:colOff>
      <xdr:row>180</xdr:row>
      <xdr:rowOff>130968</xdr:rowOff>
    </xdr:to>
    <xdr:pic>
      <xdr:nvPicPr>
        <xdr:cNvPr id="2" name="그림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3" y="26146126"/>
          <a:ext cx="9028167" cy="6331742"/>
        </a:xfrm>
        <a:prstGeom prst="rect">
          <a:avLst/>
        </a:prstGeom>
      </xdr:spPr>
    </xdr:pic>
    <xdr:clientData/>
  </xdr:twoCellAnchor>
  <xdr:twoCellAnchor editAs="oneCell">
    <xdr:from>
      <xdr:col>2</xdr:col>
      <xdr:colOff>95250</xdr:colOff>
      <xdr:row>84</xdr:row>
      <xdr:rowOff>83345</xdr:rowOff>
    </xdr:from>
    <xdr:to>
      <xdr:col>12</xdr:col>
      <xdr:colOff>250031</xdr:colOff>
      <xdr:row>114</xdr:row>
      <xdr:rowOff>53453</xdr:rowOff>
    </xdr:to>
    <xdr:pic>
      <xdr:nvPicPr>
        <xdr:cNvPr id="3" name="그림 2"/>
        <xdr:cNvPicPr>
          <a:picLocks noChangeAspect="1"/>
        </xdr:cNvPicPr>
      </xdr:nvPicPr>
      <xdr:blipFill>
        <a:blip xmlns:r="http://schemas.openxmlformats.org/officeDocument/2006/relationships" r:embed="rId2"/>
        <a:stretch>
          <a:fillRect/>
        </a:stretch>
      </xdr:blipFill>
      <xdr:spPr>
        <a:xfrm>
          <a:off x="590550" y="15132845"/>
          <a:ext cx="7279481" cy="5113608"/>
        </a:xfrm>
        <a:prstGeom prst="rect">
          <a:avLst/>
        </a:prstGeom>
      </xdr:spPr>
    </xdr:pic>
    <xdr:clientData/>
  </xdr:twoCellAnchor>
  <xdr:twoCellAnchor editAs="oneCell">
    <xdr:from>
      <xdr:col>2</xdr:col>
      <xdr:colOff>83344</xdr:colOff>
      <xdr:row>49</xdr:row>
      <xdr:rowOff>95249</xdr:rowOff>
    </xdr:from>
    <xdr:to>
      <xdr:col>12</xdr:col>
      <xdr:colOff>273843</xdr:colOff>
      <xdr:row>75</xdr:row>
      <xdr:rowOff>108537</xdr:rowOff>
    </xdr:to>
    <xdr:pic>
      <xdr:nvPicPr>
        <xdr:cNvPr id="4" name="그림 3"/>
        <xdr:cNvPicPr>
          <a:picLocks noChangeAspect="1"/>
        </xdr:cNvPicPr>
      </xdr:nvPicPr>
      <xdr:blipFill>
        <a:blip xmlns:r="http://schemas.openxmlformats.org/officeDocument/2006/relationships" r:embed="rId3"/>
        <a:stretch>
          <a:fillRect/>
        </a:stretch>
      </xdr:blipFill>
      <xdr:spPr>
        <a:xfrm>
          <a:off x="578644" y="8963024"/>
          <a:ext cx="7315199" cy="4470988"/>
        </a:xfrm>
        <a:prstGeom prst="rect">
          <a:avLst/>
        </a:prstGeom>
      </xdr:spPr>
    </xdr:pic>
    <xdr:clientData/>
  </xdr:twoCellAnchor>
  <xdr:twoCellAnchor>
    <xdr:from>
      <xdr:col>7</xdr:col>
      <xdr:colOff>10875</xdr:colOff>
      <xdr:row>0</xdr:row>
      <xdr:rowOff>57150</xdr:rowOff>
    </xdr:from>
    <xdr:to>
      <xdr:col>9</xdr:col>
      <xdr:colOff>77549</xdr:colOff>
      <xdr:row>0</xdr:row>
      <xdr:rowOff>342900</xdr:rowOff>
    </xdr:to>
    <xdr:sp macro="" textlink="">
      <xdr:nvSpPr>
        <xdr:cNvPr id="5" name="직사각형 4">
          <a:hlinkClick xmlns:r="http://schemas.openxmlformats.org/officeDocument/2006/relationships" r:id="rId4" tooltip="파일 구조 이해"/>
        </xdr:cNvPr>
        <xdr:cNvSpPr/>
      </xdr:nvSpPr>
      <xdr:spPr>
        <a:xfrm>
          <a:off x="3497025" y="57150"/>
          <a:ext cx="1438274" cy="2857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t>파일 구조 이해</a:t>
          </a:r>
        </a:p>
      </xdr:txBody>
    </xdr:sp>
    <xdr:clientData/>
  </xdr:twoCellAnchor>
  <xdr:twoCellAnchor>
    <xdr:from>
      <xdr:col>0</xdr:col>
      <xdr:colOff>239486</xdr:colOff>
      <xdr:row>0</xdr:row>
      <xdr:rowOff>57150</xdr:rowOff>
    </xdr:from>
    <xdr:to>
      <xdr:col>4</xdr:col>
      <xdr:colOff>327932</xdr:colOff>
      <xdr:row>0</xdr:row>
      <xdr:rowOff>342900</xdr:rowOff>
    </xdr:to>
    <xdr:sp macro="" textlink="">
      <xdr:nvSpPr>
        <xdr:cNvPr id="6" name="직사각형 5">
          <a:hlinkClick xmlns:r="http://schemas.openxmlformats.org/officeDocument/2006/relationships" r:id="rId5" tooltip="견적서 조회/삭제"/>
        </xdr:cNvPr>
        <xdr:cNvSpPr/>
      </xdr:nvSpPr>
      <xdr:spPr>
        <a:xfrm>
          <a:off x="239486" y="57150"/>
          <a:ext cx="1517196" cy="28575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b="1"/>
            <a:t>견적서 조회</a:t>
          </a:r>
          <a:r>
            <a:rPr lang="en-US" altLang="ko-KR" sz="1100" b="1"/>
            <a:t>/</a:t>
          </a:r>
          <a:r>
            <a:rPr lang="ko-KR" altLang="en-US" sz="1100" b="1"/>
            <a:t>삭제 </a:t>
          </a:r>
        </a:p>
      </xdr:txBody>
    </xdr:sp>
    <xdr:clientData/>
  </xdr:twoCellAnchor>
  <xdr:twoCellAnchor>
    <xdr:from>
      <xdr:col>4</xdr:col>
      <xdr:colOff>394607</xdr:colOff>
      <xdr:row>0</xdr:row>
      <xdr:rowOff>57150</xdr:rowOff>
    </xdr:from>
    <xdr:to>
      <xdr:col>6</xdr:col>
      <xdr:colOff>608240</xdr:colOff>
      <xdr:row>0</xdr:row>
      <xdr:rowOff>342900</xdr:rowOff>
    </xdr:to>
    <xdr:sp macro="" textlink="">
      <xdr:nvSpPr>
        <xdr:cNvPr id="7" name="직사각형 6">
          <a:hlinkClick xmlns:r="http://schemas.openxmlformats.org/officeDocument/2006/relationships" r:id="rId6" tooltip="견적서 신규/수정"/>
        </xdr:cNvPr>
        <xdr:cNvSpPr/>
      </xdr:nvSpPr>
      <xdr:spPr>
        <a:xfrm>
          <a:off x="1823357" y="57150"/>
          <a:ext cx="1585233" cy="28575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ko-KR" altLang="en-US" sz="1100" b="1"/>
            <a:t>견적서 신규</a:t>
          </a:r>
          <a:r>
            <a:rPr lang="en-US" altLang="ko-KR" sz="1100" b="1"/>
            <a:t>/</a:t>
          </a:r>
          <a:r>
            <a:rPr lang="ko-KR" altLang="en-US" sz="1100" b="1"/>
            <a:t>수정</a:t>
          </a:r>
        </a:p>
      </xdr:txBody>
    </xdr:sp>
    <xdr:clientData/>
  </xdr:twoCellAnchor>
  <xdr:twoCellAnchor editAs="oneCell">
    <xdr:from>
      <xdr:col>2</xdr:col>
      <xdr:colOff>0</xdr:colOff>
      <xdr:row>8</xdr:row>
      <xdr:rowOff>0</xdr:rowOff>
    </xdr:from>
    <xdr:to>
      <xdr:col>12</xdr:col>
      <xdr:colOff>332210</xdr:colOff>
      <xdr:row>43</xdr:row>
      <xdr:rowOff>56370</xdr:rowOff>
    </xdr:to>
    <xdr:pic>
      <xdr:nvPicPr>
        <xdr:cNvPr id="8" name="그림 7"/>
        <xdr:cNvPicPr>
          <a:picLocks noChangeAspect="1"/>
        </xdr:cNvPicPr>
      </xdr:nvPicPr>
      <xdr:blipFill>
        <a:blip xmlns:r="http://schemas.openxmlformats.org/officeDocument/2006/relationships" r:embed="rId7"/>
        <a:stretch>
          <a:fillRect/>
        </a:stretch>
      </xdr:blipFill>
      <xdr:spPr>
        <a:xfrm>
          <a:off x="495300" y="1800225"/>
          <a:ext cx="7456910" cy="6057120"/>
        </a:xfrm>
        <a:prstGeom prst="rect">
          <a:avLst/>
        </a:prstGeom>
      </xdr:spPr>
    </xdr:pic>
    <xdr:clientData/>
  </xdr:twoCellAnchor>
  <xdr:twoCellAnchor>
    <xdr:from>
      <xdr:col>11</xdr:col>
      <xdr:colOff>73638</xdr:colOff>
      <xdr:row>9</xdr:row>
      <xdr:rowOff>54428</xdr:rowOff>
    </xdr:from>
    <xdr:to>
      <xdr:col>11</xdr:col>
      <xdr:colOff>468245</xdr:colOff>
      <xdr:row>11</xdr:row>
      <xdr:rowOff>163283</xdr:rowOff>
    </xdr:to>
    <xdr:sp macro="" textlink="">
      <xdr:nvSpPr>
        <xdr:cNvPr id="9" name="타원 8"/>
        <xdr:cNvSpPr/>
      </xdr:nvSpPr>
      <xdr:spPr>
        <a:xfrm>
          <a:off x="6655413" y="2026103"/>
          <a:ext cx="394607" cy="451755"/>
        </a:xfrm>
        <a:prstGeom prst="ellipse">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666750</xdr:colOff>
      <xdr:row>9</xdr:row>
      <xdr:rowOff>112937</xdr:rowOff>
    </xdr:from>
    <xdr:to>
      <xdr:col>16</xdr:col>
      <xdr:colOff>60032</xdr:colOff>
      <xdr:row>11</xdr:row>
      <xdr:rowOff>112936</xdr:rowOff>
    </xdr:to>
    <xdr:sp macro="" textlink="">
      <xdr:nvSpPr>
        <xdr:cNvPr id="10" name="직사각형 9"/>
        <xdr:cNvSpPr/>
      </xdr:nvSpPr>
      <xdr:spPr>
        <a:xfrm>
          <a:off x="8286750" y="2084612"/>
          <a:ext cx="2841332" cy="342899"/>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견적서 조회를 위한 매크로 단추를 클릭</a:t>
          </a:r>
          <a:r>
            <a:rPr lang="en-US" altLang="ko-KR" sz="1100" baseline="0">
              <a:solidFill>
                <a:sysClr val="windowText" lastClr="000000"/>
              </a:solidFill>
            </a:rPr>
            <a:t> </a:t>
          </a:r>
          <a:endParaRPr lang="ko-KR" altLang="en-US" sz="1100">
            <a:solidFill>
              <a:sysClr val="windowText" lastClr="000000"/>
            </a:solidFill>
          </a:endParaRPr>
        </a:p>
      </xdr:txBody>
    </xdr:sp>
    <xdr:clientData/>
  </xdr:twoCellAnchor>
  <xdr:twoCellAnchor>
    <xdr:from>
      <xdr:col>11</xdr:col>
      <xdr:colOff>468245</xdr:colOff>
      <xdr:row>10</xdr:row>
      <xdr:rowOff>108855</xdr:rowOff>
    </xdr:from>
    <xdr:to>
      <xdr:col>12</xdr:col>
      <xdr:colOff>666750</xdr:colOff>
      <xdr:row>10</xdr:row>
      <xdr:rowOff>112936</xdr:rowOff>
    </xdr:to>
    <xdr:cxnSp macro="">
      <xdr:nvCxnSpPr>
        <xdr:cNvPr id="11" name="직선 연결선 10"/>
        <xdr:cNvCxnSpPr>
          <a:stCxn id="9" idx="6"/>
          <a:endCxn id="10" idx="1"/>
        </xdr:cNvCxnSpPr>
      </xdr:nvCxnSpPr>
      <xdr:spPr>
        <a:xfrm>
          <a:off x="7050020" y="2251980"/>
          <a:ext cx="1236730" cy="408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433028</xdr:colOff>
      <xdr:row>22</xdr:row>
      <xdr:rowOff>136071</xdr:rowOff>
    </xdr:from>
    <xdr:to>
      <xdr:col>11</xdr:col>
      <xdr:colOff>713174</xdr:colOff>
      <xdr:row>24</xdr:row>
      <xdr:rowOff>112057</xdr:rowOff>
    </xdr:to>
    <xdr:sp macro="" textlink="">
      <xdr:nvSpPr>
        <xdr:cNvPr id="12" name="직사각형 11"/>
        <xdr:cNvSpPr/>
      </xdr:nvSpPr>
      <xdr:spPr>
        <a:xfrm>
          <a:off x="3233378" y="4336596"/>
          <a:ext cx="4061571" cy="318886"/>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763596</xdr:colOff>
      <xdr:row>21</xdr:row>
      <xdr:rowOff>129742</xdr:rowOff>
    </xdr:from>
    <xdr:to>
      <xdr:col>17</xdr:col>
      <xdr:colOff>376997</xdr:colOff>
      <xdr:row>25</xdr:row>
      <xdr:rowOff>78441</xdr:rowOff>
    </xdr:to>
    <xdr:sp macro="" textlink="">
      <xdr:nvSpPr>
        <xdr:cNvPr id="13" name="직사각형 12"/>
        <xdr:cNvSpPr/>
      </xdr:nvSpPr>
      <xdr:spPr>
        <a:xfrm>
          <a:off x="8383596" y="4158817"/>
          <a:ext cx="3747251" cy="634499"/>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a:t>
          </a:r>
          <a:r>
            <a:rPr lang="ko-KR" altLang="en-US" sz="1100">
              <a:solidFill>
                <a:sysClr val="windowText" lastClr="000000"/>
              </a:solidFill>
            </a:rPr>
            <a:t>조회할 견적 내용을 더블클릭</a:t>
          </a:r>
          <a:endParaRPr lang="en-US" altLang="ko-KR" sz="1100">
            <a:solidFill>
              <a:sysClr val="windowText" lastClr="000000"/>
            </a:solidFill>
          </a:endParaRPr>
        </a:p>
        <a:p>
          <a:pPr algn="l"/>
          <a:r>
            <a:rPr lang="en-US" altLang="ko-KR" sz="1100" baseline="0">
              <a:solidFill>
                <a:sysClr val="windowText" lastClr="000000"/>
              </a:solidFill>
            </a:rPr>
            <a:t>3) </a:t>
          </a:r>
          <a:r>
            <a:rPr lang="ko-KR" altLang="en-US" sz="1100" baseline="0">
              <a:solidFill>
                <a:sysClr val="windowText" lastClr="000000"/>
              </a:solidFill>
            </a:rPr>
            <a:t>조회 완료 후 더 이상 검색이 필요없으면  창을 닫음</a:t>
          </a:r>
          <a:r>
            <a:rPr lang="en-US" altLang="ko-KR" sz="1100" baseline="0">
              <a:solidFill>
                <a:sysClr val="windowText" lastClr="000000"/>
              </a:solidFill>
            </a:rPr>
            <a:t> </a:t>
          </a:r>
        </a:p>
        <a:p>
          <a:pPr algn="l"/>
          <a:endParaRPr lang="ko-KR" altLang="en-US" sz="1100">
            <a:solidFill>
              <a:sysClr val="windowText" lastClr="000000"/>
            </a:solidFill>
          </a:endParaRPr>
        </a:p>
      </xdr:txBody>
    </xdr:sp>
    <xdr:clientData/>
  </xdr:twoCellAnchor>
  <xdr:twoCellAnchor>
    <xdr:from>
      <xdr:col>11</xdr:col>
      <xdr:colOff>746792</xdr:colOff>
      <xdr:row>23</xdr:row>
      <xdr:rowOff>104091</xdr:rowOff>
    </xdr:from>
    <xdr:to>
      <xdr:col>12</xdr:col>
      <xdr:colOff>763596</xdr:colOff>
      <xdr:row>23</xdr:row>
      <xdr:rowOff>124064</xdr:rowOff>
    </xdr:to>
    <xdr:cxnSp macro="">
      <xdr:nvCxnSpPr>
        <xdr:cNvPr id="14" name="직선 연결선 13"/>
        <xdr:cNvCxnSpPr>
          <a:endCxn id="13" idx="1"/>
        </xdr:cNvCxnSpPr>
      </xdr:nvCxnSpPr>
      <xdr:spPr>
        <a:xfrm flipV="1">
          <a:off x="7328567" y="4476066"/>
          <a:ext cx="1055029" cy="19973"/>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127564</xdr:colOff>
      <xdr:row>55</xdr:row>
      <xdr:rowOff>123144</xdr:rowOff>
    </xdr:from>
    <xdr:to>
      <xdr:col>11</xdr:col>
      <xdr:colOff>847941</xdr:colOff>
      <xdr:row>57</xdr:row>
      <xdr:rowOff>121461</xdr:rowOff>
    </xdr:to>
    <xdr:sp macro="" textlink="">
      <xdr:nvSpPr>
        <xdr:cNvPr id="15" name="직사각형 14"/>
        <xdr:cNvSpPr/>
      </xdr:nvSpPr>
      <xdr:spPr>
        <a:xfrm flipV="1">
          <a:off x="6709339" y="10019619"/>
          <a:ext cx="720377" cy="341217"/>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446926</xdr:colOff>
      <xdr:row>55</xdr:row>
      <xdr:rowOff>150355</xdr:rowOff>
    </xdr:from>
    <xdr:to>
      <xdr:col>16</xdr:col>
      <xdr:colOff>500063</xdr:colOff>
      <xdr:row>59</xdr:row>
      <xdr:rowOff>107156</xdr:rowOff>
    </xdr:to>
    <xdr:sp macro="" textlink="">
      <xdr:nvSpPr>
        <xdr:cNvPr id="16" name="직사각형 15"/>
        <xdr:cNvSpPr/>
      </xdr:nvSpPr>
      <xdr:spPr>
        <a:xfrm>
          <a:off x="8066926" y="10046830"/>
          <a:ext cx="3501187" cy="642601"/>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조회 중인 견적서 내용을 삭제할 때는  </a:t>
          </a:r>
          <a:r>
            <a:rPr lang="en-US" altLang="ko-KR" sz="1100">
              <a:solidFill>
                <a:sysClr val="windowText" lastClr="000000"/>
              </a:solidFill>
            </a:rPr>
            <a:t>&lt;</a:t>
          </a:r>
          <a:r>
            <a:rPr lang="ko-KR" altLang="en-US" sz="1100">
              <a:solidFill>
                <a:sysClr val="windowText" lastClr="000000"/>
              </a:solidFill>
            </a:rPr>
            <a:t>삭제</a:t>
          </a:r>
          <a:r>
            <a:rPr lang="en-US" altLang="ko-KR" sz="1100">
              <a:solidFill>
                <a:sysClr val="windowText" lastClr="000000"/>
              </a:solidFill>
            </a:rPr>
            <a:t>&gt; </a:t>
          </a:r>
          <a:r>
            <a:rPr lang="ko-KR" altLang="en-US" sz="1100">
              <a:solidFill>
                <a:sysClr val="windowText" lastClr="000000"/>
              </a:solidFill>
            </a:rPr>
            <a:t>를 클릭</a:t>
          </a:r>
        </a:p>
      </xdr:txBody>
    </xdr:sp>
    <xdr:clientData/>
  </xdr:twoCellAnchor>
  <xdr:twoCellAnchor>
    <xdr:from>
      <xdr:col>11</xdr:col>
      <xdr:colOff>847941</xdr:colOff>
      <xdr:row>56</xdr:row>
      <xdr:rowOff>122302</xdr:rowOff>
    </xdr:from>
    <xdr:to>
      <xdr:col>12</xdr:col>
      <xdr:colOff>446926</xdr:colOff>
      <xdr:row>57</xdr:row>
      <xdr:rowOff>128756</xdr:rowOff>
    </xdr:to>
    <xdr:cxnSp macro="">
      <xdr:nvCxnSpPr>
        <xdr:cNvPr id="17" name="직선 연결선 16"/>
        <xdr:cNvCxnSpPr>
          <a:stCxn id="15" idx="3"/>
          <a:endCxn id="16" idx="1"/>
        </xdr:cNvCxnSpPr>
      </xdr:nvCxnSpPr>
      <xdr:spPr>
        <a:xfrm>
          <a:off x="7429716" y="10190227"/>
          <a:ext cx="637210" cy="177904"/>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578298</xdr:colOff>
      <xdr:row>68</xdr:row>
      <xdr:rowOff>77215</xdr:rowOff>
    </xdr:from>
    <xdr:to>
      <xdr:col>10</xdr:col>
      <xdr:colOff>91745</xdr:colOff>
      <xdr:row>70</xdr:row>
      <xdr:rowOff>66008</xdr:rowOff>
    </xdr:to>
    <xdr:sp macro="" textlink="">
      <xdr:nvSpPr>
        <xdr:cNvPr id="18" name="직사각형 17"/>
        <xdr:cNvSpPr/>
      </xdr:nvSpPr>
      <xdr:spPr>
        <a:xfrm flipV="1">
          <a:off x="4750248" y="12202540"/>
          <a:ext cx="885047" cy="331693"/>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518860</xdr:colOff>
      <xdr:row>67</xdr:row>
      <xdr:rowOff>71437</xdr:rowOff>
    </xdr:from>
    <xdr:to>
      <xdr:col>16</xdr:col>
      <xdr:colOff>416720</xdr:colOff>
      <xdr:row>71</xdr:row>
      <xdr:rowOff>83344</xdr:rowOff>
    </xdr:to>
    <xdr:sp macro="" textlink="">
      <xdr:nvSpPr>
        <xdr:cNvPr id="19" name="직사각형 18"/>
        <xdr:cNvSpPr/>
      </xdr:nvSpPr>
      <xdr:spPr>
        <a:xfrm>
          <a:off x="8138860" y="12025312"/>
          <a:ext cx="3345910" cy="697707"/>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&lt;</a:t>
          </a:r>
          <a:r>
            <a:rPr lang="ko-KR" altLang="en-US" sz="1100">
              <a:solidFill>
                <a:sysClr val="windowText" lastClr="000000"/>
              </a:solidFill>
            </a:rPr>
            <a:t>예</a:t>
          </a:r>
          <a:r>
            <a:rPr lang="en-US" altLang="ko-KR" sz="1100">
              <a:solidFill>
                <a:sysClr val="windowText" lastClr="000000"/>
              </a:solidFill>
            </a:rPr>
            <a:t>&gt;</a:t>
          </a:r>
          <a:r>
            <a:rPr lang="ko-KR" altLang="en-US" sz="1100">
              <a:solidFill>
                <a:sysClr val="windowText" lastClr="000000"/>
              </a:solidFill>
            </a:rPr>
            <a:t>를 클릭하면 </a:t>
          </a:r>
          <a:r>
            <a:rPr lang="en-US" altLang="ko-KR" sz="1100">
              <a:solidFill>
                <a:sysClr val="windowText" lastClr="000000"/>
              </a:solidFill>
            </a:rPr>
            <a:t>'</a:t>
          </a:r>
          <a:r>
            <a:rPr lang="ko-KR" altLang="en-US" sz="1100">
              <a:solidFill>
                <a:sysClr val="windowText" lastClr="000000"/>
              </a:solidFill>
            </a:rPr>
            <a:t>견적서발급</a:t>
          </a:r>
          <a:r>
            <a:rPr lang="en-US" altLang="ko-KR" sz="1100">
              <a:solidFill>
                <a:sysClr val="windowText" lastClr="000000"/>
              </a:solidFill>
            </a:rPr>
            <a:t>', '</a:t>
          </a:r>
          <a:r>
            <a:rPr lang="ko-KR" altLang="en-US" sz="1100">
              <a:solidFill>
                <a:sysClr val="windowText" lastClr="000000"/>
              </a:solidFill>
            </a:rPr>
            <a:t>견적서세부내용</a:t>
          </a:r>
          <a:r>
            <a:rPr lang="en-US" altLang="ko-KR" sz="1100">
              <a:solidFill>
                <a:sysClr val="windowText" lastClr="000000"/>
              </a:solidFill>
            </a:rPr>
            <a:t>' </a:t>
          </a:r>
          <a:r>
            <a:rPr lang="ko-KR" altLang="en-US" sz="1100">
              <a:solidFill>
                <a:sysClr val="windowText" lastClr="000000"/>
              </a:solidFill>
            </a:rPr>
            <a:t>시트의 정보가 자동 삭제됨</a:t>
          </a:r>
        </a:p>
      </xdr:txBody>
    </xdr:sp>
    <xdr:clientData/>
  </xdr:twoCellAnchor>
  <xdr:twoCellAnchor>
    <xdr:from>
      <xdr:col>10</xdr:col>
      <xdr:colOff>91745</xdr:colOff>
      <xdr:row>69</xdr:row>
      <xdr:rowOff>71612</xdr:rowOff>
    </xdr:from>
    <xdr:to>
      <xdr:col>12</xdr:col>
      <xdr:colOff>518860</xdr:colOff>
      <xdr:row>69</xdr:row>
      <xdr:rowOff>77391</xdr:rowOff>
    </xdr:to>
    <xdr:cxnSp macro="">
      <xdr:nvCxnSpPr>
        <xdr:cNvPr id="20" name="직선 연결선 19"/>
        <xdr:cNvCxnSpPr>
          <a:stCxn id="18" idx="3"/>
          <a:endCxn id="19" idx="1"/>
        </xdr:cNvCxnSpPr>
      </xdr:nvCxnSpPr>
      <xdr:spPr>
        <a:xfrm>
          <a:off x="5635295" y="12368387"/>
          <a:ext cx="2503565" cy="5779"/>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119</xdr:row>
      <xdr:rowOff>11905</xdr:rowOff>
    </xdr:from>
    <xdr:to>
      <xdr:col>13</xdr:col>
      <xdr:colOff>13952</xdr:colOff>
      <xdr:row>136</xdr:row>
      <xdr:rowOff>170654</xdr:rowOff>
    </xdr:to>
    <xdr:pic>
      <xdr:nvPicPr>
        <xdr:cNvPr id="21" name="그림 20"/>
        <xdr:cNvPicPr>
          <a:picLocks noChangeAspect="1"/>
        </xdr:cNvPicPr>
      </xdr:nvPicPr>
      <xdr:blipFill>
        <a:blip xmlns:r="http://schemas.openxmlformats.org/officeDocument/2006/relationships" r:embed="rId8"/>
        <a:stretch>
          <a:fillRect/>
        </a:stretch>
      </xdr:blipFill>
      <xdr:spPr>
        <a:xfrm>
          <a:off x="495300" y="21176455"/>
          <a:ext cx="8176877" cy="3721099"/>
        </a:xfrm>
        <a:prstGeom prst="rect">
          <a:avLst/>
        </a:prstGeom>
      </xdr:spPr>
    </xdr:pic>
    <xdr:clientData/>
  </xdr:twoCellAnchor>
  <xdr:twoCellAnchor>
    <xdr:from>
      <xdr:col>11</xdr:col>
      <xdr:colOff>130973</xdr:colOff>
      <xdr:row>94</xdr:row>
      <xdr:rowOff>23812</xdr:rowOff>
    </xdr:from>
    <xdr:to>
      <xdr:col>11</xdr:col>
      <xdr:colOff>851350</xdr:colOff>
      <xdr:row>96</xdr:row>
      <xdr:rowOff>22129</xdr:rowOff>
    </xdr:to>
    <xdr:sp macro="" textlink="">
      <xdr:nvSpPr>
        <xdr:cNvPr id="22" name="직사각형 21"/>
        <xdr:cNvSpPr/>
      </xdr:nvSpPr>
      <xdr:spPr>
        <a:xfrm flipV="1">
          <a:off x="6712748" y="16787812"/>
          <a:ext cx="720377" cy="341217"/>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450335</xdr:colOff>
      <xdr:row>94</xdr:row>
      <xdr:rowOff>51024</xdr:rowOff>
    </xdr:from>
    <xdr:to>
      <xdr:col>17</xdr:col>
      <xdr:colOff>63736</xdr:colOff>
      <xdr:row>96</xdr:row>
      <xdr:rowOff>75760</xdr:rowOff>
    </xdr:to>
    <xdr:sp macro="" textlink="">
      <xdr:nvSpPr>
        <xdr:cNvPr id="23" name="직사각형 22"/>
        <xdr:cNvSpPr/>
      </xdr:nvSpPr>
      <xdr:spPr>
        <a:xfrm>
          <a:off x="8070335" y="16815024"/>
          <a:ext cx="3747251" cy="367636"/>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새 견적서를 작성할 때는  </a:t>
          </a:r>
          <a:r>
            <a:rPr lang="en-US" altLang="ko-KR" sz="1100">
              <a:solidFill>
                <a:sysClr val="windowText" lastClr="000000"/>
              </a:solidFill>
            </a:rPr>
            <a:t>&lt;</a:t>
          </a:r>
          <a:r>
            <a:rPr lang="ko-KR" altLang="en-US" sz="1100">
              <a:solidFill>
                <a:sysClr val="windowText" lastClr="000000"/>
              </a:solidFill>
            </a:rPr>
            <a:t>신규</a:t>
          </a:r>
          <a:r>
            <a:rPr lang="en-US" altLang="ko-KR" sz="1100">
              <a:solidFill>
                <a:sysClr val="windowText" lastClr="000000"/>
              </a:solidFill>
            </a:rPr>
            <a:t>&gt; </a:t>
          </a:r>
          <a:r>
            <a:rPr lang="ko-KR" altLang="en-US" sz="1100">
              <a:solidFill>
                <a:sysClr val="windowText" lastClr="000000"/>
              </a:solidFill>
            </a:rPr>
            <a:t>를 클릭</a:t>
          </a:r>
        </a:p>
      </xdr:txBody>
    </xdr:sp>
    <xdr:clientData/>
  </xdr:twoCellAnchor>
  <xdr:twoCellAnchor>
    <xdr:from>
      <xdr:col>11</xdr:col>
      <xdr:colOff>851350</xdr:colOff>
      <xdr:row>95</xdr:row>
      <xdr:rowOff>27733</xdr:rowOff>
    </xdr:from>
    <xdr:to>
      <xdr:col>12</xdr:col>
      <xdr:colOff>450335</xdr:colOff>
      <xdr:row>95</xdr:row>
      <xdr:rowOff>67793</xdr:rowOff>
    </xdr:to>
    <xdr:cxnSp macro="">
      <xdr:nvCxnSpPr>
        <xdr:cNvPr id="24" name="직선 연결선 23"/>
        <xdr:cNvCxnSpPr>
          <a:stCxn id="22" idx="3"/>
          <a:endCxn id="23" idx="1"/>
        </xdr:cNvCxnSpPr>
      </xdr:nvCxnSpPr>
      <xdr:spPr>
        <a:xfrm>
          <a:off x="7433125" y="16963183"/>
          <a:ext cx="637210" cy="40060"/>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47624</xdr:colOff>
      <xdr:row>124</xdr:row>
      <xdr:rowOff>154781</xdr:rowOff>
    </xdr:from>
    <xdr:to>
      <xdr:col>4</xdr:col>
      <xdr:colOff>392906</xdr:colOff>
      <xdr:row>128</xdr:row>
      <xdr:rowOff>71437</xdr:rowOff>
    </xdr:to>
    <xdr:sp macro="" textlink="">
      <xdr:nvSpPr>
        <xdr:cNvPr id="25" name="직사각형 24"/>
        <xdr:cNvSpPr/>
      </xdr:nvSpPr>
      <xdr:spPr>
        <a:xfrm flipV="1">
          <a:off x="542924" y="22367081"/>
          <a:ext cx="1278732" cy="754856"/>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3</xdr:col>
      <xdr:colOff>142875</xdr:colOff>
      <xdr:row>171</xdr:row>
      <xdr:rowOff>47626</xdr:rowOff>
    </xdr:from>
    <xdr:to>
      <xdr:col>5</xdr:col>
      <xdr:colOff>166688</xdr:colOff>
      <xdr:row>179</xdr:row>
      <xdr:rowOff>166686</xdr:rowOff>
    </xdr:to>
    <xdr:sp macro="" textlink="">
      <xdr:nvSpPr>
        <xdr:cNvPr id="26" name="직사각형 25"/>
        <xdr:cNvSpPr/>
      </xdr:nvSpPr>
      <xdr:spPr>
        <a:xfrm flipV="1">
          <a:off x="885825" y="30851476"/>
          <a:ext cx="1395413" cy="1490660"/>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785817</xdr:colOff>
      <xdr:row>151</xdr:row>
      <xdr:rowOff>119062</xdr:rowOff>
    </xdr:from>
    <xdr:to>
      <xdr:col>13</xdr:col>
      <xdr:colOff>470350</xdr:colOff>
      <xdr:row>153</xdr:row>
      <xdr:rowOff>117379</xdr:rowOff>
    </xdr:to>
    <xdr:sp macro="" textlink="">
      <xdr:nvSpPr>
        <xdr:cNvPr id="27" name="직사각형 26"/>
        <xdr:cNvSpPr/>
      </xdr:nvSpPr>
      <xdr:spPr>
        <a:xfrm flipV="1">
          <a:off x="8405817" y="27493912"/>
          <a:ext cx="722758" cy="341217"/>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13</xdr:col>
      <xdr:colOff>761999</xdr:colOff>
      <xdr:row>151</xdr:row>
      <xdr:rowOff>146273</xdr:rowOff>
    </xdr:from>
    <xdr:to>
      <xdr:col>18</xdr:col>
      <xdr:colOff>47625</xdr:colOff>
      <xdr:row>154</xdr:row>
      <xdr:rowOff>4321</xdr:rowOff>
    </xdr:to>
    <xdr:sp macro="" textlink="">
      <xdr:nvSpPr>
        <xdr:cNvPr id="28" name="직사각형 27"/>
        <xdr:cNvSpPr/>
      </xdr:nvSpPr>
      <xdr:spPr>
        <a:xfrm>
          <a:off x="9420224" y="27521123"/>
          <a:ext cx="3067051" cy="372398"/>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a:t>
          </a:r>
          <a:r>
            <a:rPr lang="ko-KR" altLang="en-US" sz="1100" baseline="0">
              <a:solidFill>
                <a:sysClr val="windowText" lastClr="000000"/>
              </a:solidFill>
            </a:rPr>
            <a:t> 수정 사항을 저장하기 위해 </a:t>
          </a:r>
          <a:r>
            <a:rPr lang="en-US" altLang="ko-KR" sz="1100" baseline="0">
              <a:solidFill>
                <a:sysClr val="windowText" lastClr="000000"/>
              </a:solidFill>
            </a:rPr>
            <a:t>&lt;</a:t>
          </a:r>
          <a:r>
            <a:rPr lang="ko-KR" altLang="en-US" sz="1100" baseline="0">
              <a:solidFill>
                <a:sysClr val="windowText" lastClr="000000"/>
              </a:solidFill>
            </a:rPr>
            <a:t>저장</a:t>
          </a:r>
          <a:r>
            <a:rPr lang="en-US" altLang="ko-KR" sz="1100" baseline="0">
              <a:solidFill>
                <a:sysClr val="windowText" lastClr="000000"/>
              </a:solidFill>
            </a:rPr>
            <a:t>&gt;</a:t>
          </a:r>
          <a:r>
            <a:rPr lang="ko-KR" altLang="en-US" sz="1100" baseline="0">
              <a:solidFill>
                <a:sysClr val="windowText" lastClr="000000"/>
              </a:solidFill>
            </a:rPr>
            <a:t>을 클릭</a:t>
          </a:r>
          <a:endParaRPr lang="ko-KR" altLang="en-US" sz="1100">
            <a:solidFill>
              <a:sysClr val="windowText" lastClr="000000"/>
            </a:solidFill>
          </a:endParaRPr>
        </a:p>
      </xdr:txBody>
    </xdr:sp>
    <xdr:clientData/>
  </xdr:twoCellAnchor>
  <xdr:twoCellAnchor>
    <xdr:from>
      <xdr:col>13</xdr:col>
      <xdr:colOff>470350</xdr:colOff>
      <xdr:row>152</xdr:row>
      <xdr:rowOff>118220</xdr:rowOff>
    </xdr:from>
    <xdr:to>
      <xdr:col>13</xdr:col>
      <xdr:colOff>761999</xdr:colOff>
      <xdr:row>152</xdr:row>
      <xdr:rowOff>158641</xdr:rowOff>
    </xdr:to>
    <xdr:cxnSp macro="">
      <xdr:nvCxnSpPr>
        <xdr:cNvPr id="29" name="직선 연결선 28"/>
        <xdr:cNvCxnSpPr>
          <a:stCxn id="27" idx="3"/>
          <a:endCxn id="28" idx="1"/>
        </xdr:cNvCxnSpPr>
      </xdr:nvCxnSpPr>
      <xdr:spPr>
        <a:xfrm>
          <a:off x="9128575" y="27664520"/>
          <a:ext cx="291649" cy="4042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547688</xdr:colOff>
      <xdr:row>174</xdr:row>
      <xdr:rowOff>120079</xdr:rowOff>
    </xdr:from>
    <xdr:to>
      <xdr:col>18</xdr:col>
      <xdr:colOff>178594</xdr:colOff>
      <xdr:row>177</xdr:row>
      <xdr:rowOff>1</xdr:rowOff>
    </xdr:to>
    <xdr:sp macro="" textlink="">
      <xdr:nvSpPr>
        <xdr:cNvPr id="30" name="직사각형 29"/>
        <xdr:cNvSpPr/>
      </xdr:nvSpPr>
      <xdr:spPr>
        <a:xfrm>
          <a:off x="8167688" y="31438279"/>
          <a:ext cx="4450556" cy="394272"/>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baseline="0">
              <a:solidFill>
                <a:sysClr val="windowText" lastClr="000000"/>
              </a:solidFill>
            </a:rPr>
            <a:t> 필요한 사항들을 수정</a:t>
          </a:r>
          <a:r>
            <a:rPr lang="en-US" altLang="ko-KR" sz="1100" baseline="0">
              <a:solidFill>
                <a:sysClr val="windowText" lastClr="000000"/>
              </a:solidFill>
            </a:rPr>
            <a:t>(</a:t>
          </a:r>
          <a:r>
            <a:rPr lang="ko-KR" altLang="en-US" sz="1100" baseline="0">
              <a:solidFill>
                <a:sysClr val="windowText" lastClr="000000"/>
              </a:solidFill>
            </a:rPr>
            <a:t>단</a:t>
          </a:r>
          <a:r>
            <a:rPr lang="en-US" altLang="ko-KR" sz="1100" baseline="0">
              <a:solidFill>
                <a:sysClr val="windowText" lastClr="000000"/>
              </a:solidFill>
            </a:rPr>
            <a:t>, </a:t>
          </a:r>
          <a:r>
            <a:rPr lang="ko-KR" altLang="en-US" sz="1100" baseline="0">
              <a:solidFill>
                <a:sysClr val="windowText" lastClr="000000"/>
              </a:solidFill>
            </a:rPr>
            <a:t>연한 녹색으로 지정된 부분만 수정 가능</a:t>
          </a:r>
          <a:r>
            <a:rPr lang="en-US" altLang="ko-KR" sz="1100" baseline="0">
              <a:solidFill>
                <a:sysClr val="windowText" lastClr="000000"/>
              </a:solidFill>
            </a:rPr>
            <a:t>)</a:t>
          </a:r>
          <a:endParaRPr lang="ko-KR" altLang="en-US" sz="1100">
            <a:solidFill>
              <a:sysClr val="windowText" lastClr="000000"/>
            </a:solidFill>
          </a:endParaRPr>
        </a:p>
      </xdr:txBody>
    </xdr:sp>
    <xdr:clientData/>
  </xdr:twoCellAnchor>
  <xdr:twoCellAnchor>
    <xdr:from>
      <xdr:col>5</xdr:col>
      <xdr:colOff>190500</xdr:colOff>
      <xdr:row>175</xdr:row>
      <xdr:rowOff>143384</xdr:rowOff>
    </xdr:from>
    <xdr:to>
      <xdr:col>12</xdr:col>
      <xdr:colOff>547688</xdr:colOff>
      <xdr:row>175</xdr:row>
      <xdr:rowOff>154782</xdr:rowOff>
    </xdr:to>
    <xdr:cxnSp macro="">
      <xdr:nvCxnSpPr>
        <xdr:cNvPr id="31" name="직선 연결선 30"/>
        <xdr:cNvCxnSpPr>
          <a:endCxn id="30" idx="1"/>
        </xdr:cNvCxnSpPr>
      </xdr:nvCxnSpPr>
      <xdr:spPr>
        <a:xfrm flipV="1">
          <a:off x="2305050" y="31633034"/>
          <a:ext cx="5862638" cy="11398"/>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657225</xdr:colOff>
      <xdr:row>3</xdr:row>
      <xdr:rowOff>115433</xdr:rowOff>
    </xdr:from>
    <xdr:to>
      <xdr:col>2</xdr:col>
      <xdr:colOff>333375</xdr:colOff>
      <xdr:row>5</xdr:row>
      <xdr:rowOff>10658</xdr:rowOff>
    </xdr:to>
    <xdr:pic macro="[0]!sb거래처찾기">
      <xdr:nvPicPr>
        <xdr:cNvPr id="7" name="그림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934583"/>
          <a:ext cx="333375" cy="333375"/>
        </a:xfrm>
        <a:prstGeom prst="rect">
          <a:avLst/>
        </a:prstGeom>
      </xdr:spPr>
    </xdr:pic>
    <xdr:clientData fPrintsWithSheet="0"/>
  </xdr:twoCellAnchor>
  <xdr:twoCellAnchor editAs="oneCell">
    <xdr:from>
      <xdr:col>10</xdr:col>
      <xdr:colOff>676275</xdr:colOff>
      <xdr:row>0</xdr:row>
      <xdr:rowOff>123825</xdr:rowOff>
    </xdr:from>
    <xdr:to>
      <xdr:col>12</xdr:col>
      <xdr:colOff>254000</xdr:colOff>
      <xdr:row>2</xdr:row>
      <xdr:rowOff>76200</xdr:rowOff>
    </xdr:to>
    <xdr:pic macro="[0]!sb견적찾기">
      <xdr:nvPicPr>
        <xdr:cNvPr id="8" name="그림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123825"/>
          <a:ext cx="333375" cy="333375"/>
        </a:xfrm>
        <a:prstGeom prst="rect">
          <a:avLst/>
        </a:prstGeom>
      </xdr:spPr>
    </xdr:pic>
    <xdr:clientData fPrintsWithSheet="0"/>
  </xdr:twoCellAnchor>
  <xdr:twoCellAnchor>
    <xdr:from>
      <xdr:col>12</xdr:col>
      <xdr:colOff>0</xdr:colOff>
      <xdr:row>32</xdr:row>
      <xdr:rowOff>0</xdr:rowOff>
    </xdr:from>
    <xdr:to>
      <xdr:col>24</xdr:col>
      <xdr:colOff>0</xdr:colOff>
      <xdr:row>35</xdr:row>
      <xdr:rowOff>0</xdr:rowOff>
    </xdr:to>
    <xdr:sp macro="" textlink="">
      <xdr:nvSpPr>
        <xdr:cNvPr id="2" name="직사각형 1"/>
        <xdr:cNvSpPr/>
      </xdr:nvSpPr>
      <xdr:spPr>
        <a:xfrm>
          <a:off x="7362825" y="6915150"/>
          <a:ext cx="3886200" cy="110490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171450" indent="-171450" algn="l">
            <a:buClr>
              <a:srgbClr val="FF0000"/>
            </a:buClr>
            <a:buFont typeface="Wingdings" panose="05000000000000000000" pitchFamily="2" charset="2"/>
            <a:buChar char="l"/>
          </a:pPr>
          <a:r>
            <a:rPr lang="ko-KR" altLang="en-US" sz="1100"/>
            <a:t>품목코드는 기본 </a:t>
          </a:r>
          <a:r>
            <a:rPr lang="en-US" altLang="ko-KR" sz="1100"/>
            <a:t>15</a:t>
          </a:r>
          <a:r>
            <a:rPr lang="ko-KR" altLang="en-US" sz="1100"/>
            <a:t>행이 작성됩니다</a:t>
          </a:r>
          <a:r>
            <a:rPr lang="en-US" altLang="ko-KR" sz="1100"/>
            <a:t>. </a:t>
          </a:r>
        </a:p>
        <a:p>
          <a:pPr marL="171450" indent="-171450" algn="l">
            <a:buClr>
              <a:srgbClr val="FF0000"/>
            </a:buClr>
            <a:buFont typeface="Wingdings" panose="05000000000000000000" pitchFamily="2" charset="2"/>
            <a:buChar char="l"/>
          </a:pPr>
          <a:r>
            <a:rPr lang="ko-KR" altLang="en-US" sz="1100"/>
            <a:t>더 필요한 경우 </a:t>
          </a:r>
          <a:r>
            <a:rPr lang="en-US" altLang="ko-KR" sz="1100"/>
            <a:t>&lt;</a:t>
          </a:r>
          <a:r>
            <a:rPr lang="ko-KR" altLang="en-US" sz="1100"/>
            <a:t>시트보호 해제</a:t>
          </a:r>
          <a:r>
            <a:rPr lang="en-US" altLang="ko-KR" sz="1100"/>
            <a:t>&gt;</a:t>
          </a:r>
          <a:r>
            <a:rPr lang="ko-KR" altLang="en-US" sz="1100"/>
            <a:t>를 클릭하여 시트보호를 해제한 상태에서 행을 삽입하고</a:t>
          </a:r>
          <a:r>
            <a:rPr lang="en-US" altLang="ko-KR" sz="1100"/>
            <a:t>,</a:t>
          </a:r>
          <a:r>
            <a:rPr lang="en-US" altLang="ko-KR" sz="1100" baseline="0"/>
            <a:t> </a:t>
          </a:r>
          <a:r>
            <a:rPr lang="ko-KR" altLang="en-US" sz="1100" baseline="0"/>
            <a:t>서식과 수식을 복사해서 사용하세요</a:t>
          </a:r>
          <a:r>
            <a:rPr lang="en-US" altLang="ko-KR" sz="1100" baseline="0"/>
            <a:t>.</a:t>
          </a:r>
          <a:endParaRPr lang="ko-KR" altLang="en-US" sz="1100"/>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0-01%20&#44204;&#51201;&#49436;&#44288;&#47532;(&#50756;&#4945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용도움말"/>
      <sheetName val="Main"/>
      <sheetName val="견적서발급"/>
      <sheetName val="견적서세부내용"/>
      <sheetName val="제품목록"/>
      <sheetName val="거래처목록"/>
      <sheetName val="@작업시트"/>
    </sheetNames>
    <sheetDataSet>
      <sheetData sheetId="0"/>
      <sheetData sheetId="1">
        <row r="2">
          <cell r="K2" t="str">
            <v>2014-007</v>
          </cell>
        </row>
      </sheetData>
      <sheetData sheetId="2"/>
      <sheetData sheetId="3"/>
      <sheetData sheetId="4"/>
      <sheetData sheetId="5"/>
      <sheetData sheetId="6"/>
    </sheetDataSet>
  </externalBook>
</externalLink>
</file>

<file path=xl/tables/table1.xml><?xml version="1.0" encoding="utf-8"?>
<table xmlns="http://schemas.openxmlformats.org/spreadsheetml/2006/main" id="2" name="tbl견적서발급" displayName="tbl견적서발급" ref="B5:P10" totalsRowShown="0" headerRowDxfId="52" dataDxfId="51" tableBorderDxfId="50">
  <tableColumns count="15">
    <tableColumn id="1" name="문서번호" dataDxfId="49"/>
    <tableColumn id="2" name="거래처코드" dataDxfId="48"/>
    <tableColumn id="3" name="거래처명" dataDxfId="47">
      <calculatedColumnFormula>IFERROR(INDEX(tbl거래처[거래처명],MATCH(견적서발급!C6,tbl거래처[거래처코드],0)),"")</calculatedColumnFormula>
    </tableColumn>
    <tableColumn id="4" name="담당자" dataDxfId="46"/>
    <tableColumn id="5" name="연락처" dataDxfId="45"/>
    <tableColumn id="10" name="EMail" dataDxfId="44"/>
    <tableColumn id="9" name="견적일자" dataDxfId="43"/>
    <tableColumn id="6" name="납품예정일" dataDxfId="42"/>
    <tableColumn id="7" name="납품장소" dataDxfId="41"/>
    <tableColumn id="13" name="공급가액" dataDxfId="40" dataCellStyle="쉼표 [0]"/>
    <tableColumn id="8" name="본사담당자" dataDxfId="39" dataCellStyle="쉼표 [0]"/>
    <tableColumn id="12" name="본사연락처1" dataDxfId="38" dataCellStyle="쉼표 [0]"/>
    <tableColumn id="14" name="본사연락처2" dataDxfId="37" dataCellStyle="쉼표 [0]"/>
    <tableColumn id="15" name="본사Email" dataDxfId="36" dataCellStyle="쉼표 [0]"/>
    <tableColumn id="11" name="비고" dataDxfId="35" dataCellStyle="쉼표 [0]"/>
  </tableColumns>
  <tableStyleInfo name="TableStyleLight13" showFirstColumn="0" showLastColumn="0" showRowStripes="1" showColumnStripes="0"/>
</table>
</file>

<file path=xl/tables/table2.xml><?xml version="1.0" encoding="utf-8"?>
<table xmlns="http://schemas.openxmlformats.org/spreadsheetml/2006/main" id="3" name="tbl견적서세부" displayName="tbl견적서세부" ref="B5:H30" totalsRowShown="0" headerRowDxfId="34" dataDxfId="33" tableBorderDxfId="32">
  <tableColumns count="7">
    <tableColumn id="1" name="문서번호" dataDxfId="31"/>
    <tableColumn id="2" name="출력번호" dataDxfId="30"/>
    <tableColumn id="3" name="품목코드" dataDxfId="29"/>
    <tableColumn id="4" name="품목명" dataDxfId="28">
      <calculatedColumnFormula>IFERROR(INDEX(tbl제품[품목],MATCH(tbl견적서세부[[#This Row],[품목코드]],tbl제품[품목코드],0)),"")</calculatedColumnFormula>
    </tableColumn>
    <tableColumn id="5" name="수량" dataDxfId="27"/>
    <tableColumn id="6" name="단가" dataDxfId="26" dataCellStyle="쉼표 [0]">
      <calculatedColumnFormula>IFERROR(INDEX(tbl제품[단가],MATCH(tbl견적서세부[[#This Row],[품목코드]],tbl제품[품목코드],0)),"")</calculatedColumnFormula>
    </tableColumn>
    <tableColumn id="7" name="비고" dataDxfId="25"/>
  </tableColumns>
  <tableStyleInfo name="TableStyleLight10" showFirstColumn="0" showLastColumn="0" showRowStripes="1" showColumnStripes="0"/>
</table>
</file>

<file path=xl/tables/table3.xml><?xml version="1.0" encoding="utf-8"?>
<table xmlns="http://schemas.openxmlformats.org/spreadsheetml/2006/main" id="4" name="tbl제품" displayName="tbl제품" ref="B5:H20" totalsRowShown="0" headerRowDxfId="24" dataDxfId="23">
  <autoFilter ref="B5:H20"/>
  <tableColumns count="7">
    <tableColumn id="1" name="번호" dataDxfId="22"/>
    <tableColumn id="2" name="품목코드" dataDxfId="21"/>
    <tableColumn id="3" name="품목" dataDxfId="20"/>
    <tableColumn id="4" name="규격" dataDxfId="19"/>
    <tableColumn id="5" name="저자" dataDxfId="18"/>
    <tableColumn id="6" name="단가" dataDxfId="17"/>
    <tableColumn id="7" name="비고" dataDxfId="16"/>
  </tableColumns>
  <tableStyleInfo name="TableStyleLight14" showFirstColumn="0" showLastColumn="0" showRowStripes="1" showColumnStripes="0"/>
</table>
</file>

<file path=xl/tables/table4.xml><?xml version="1.0" encoding="utf-8"?>
<table xmlns="http://schemas.openxmlformats.org/spreadsheetml/2006/main" id="1" name="tbl거래처" displayName="tbl거래처" ref="B5:M31" totalsRowShown="0" headerRowDxfId="13" dataDxfId="12">
  <tableColumns count="12">
    <tableColumn id="1" name="거래처코드" dataDxfId="11"/>
    <tableColumn id="2" name="거래처명" dataDxfId="10"/>
    <tableColumn id="3" name="사업자번호" dataDxfId="9"/>
    <tableColumn id="8" name="업태" dataDxfId="8"/>
    <tableColumn id="9" name="종목" dataDxfId="7"/>
    <tableColumn id="10" name="담당자" dataDxfId="6"/>
    <tableColumn id="11" name="전화번호" dataDxfId="5"/>
    <tableColumn id="12" name="Email" dataDxfId="4"/>
    <tableColumn id="4" name="대표자" dataDxfId="3"/>
    <tableColumn id="6" name="주소" dataDxfId="2"/>
    <tableColumn id="7" name="우편번호" dataDxfId="1"/>
    <tableColumn id="13" name="비고" dataDxfId="0"/>
  </tableColumns>
  <tableStyleInfo name="TableStyleMedium5"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ln w="19050">
          <a:solidFill>
            <a:srgbClr val="0070C0"/>
          </a:solidFill>
        </a:ln>
      </a:spPr>
      <a:bodyPr vertOverflow="clip" horzOverflow="clip" rtlCol="0" anchor="t"/>
      <a:lstStyle>
        <a:defPPr algn="l">
          <a:defRPr sz="11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ddd@gilbut.co.kr"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B1:S268"/>
  <sheetViews>
    <sheetView showGridLines="0" zoomScale="80" zoomScaleNormal="80" workbookViewId="0">
      <pane ySplit="1" topLeftCell="A2" activePane="bottomLeft" state="frozen"/>
      <selection activeCell="M57" sqref="M57"/>
      <selection pane="bottomLeft" activeCell="A26" sqref="A26"/>
    </sheetView>
  </sheetViews>
  <sheetFormatPr defaultRowHeight="13.5" x14ac:dyDescent="0.3"/>
  <cols>
    <col min="1" max="3" width="3.25" style="111" customWidth="1"/>
    <col min="4" max="10" width="9" style="111"/>
    <col min="11" max="14" width="13.625" style="111" customWidth="1"/>
    <col min="15" max="16384" width="9" style="111"/>
  </cols>
  <sheetData>
    <row r="1" spans="2:19" s="109" customFormat="1" ht="30" customHeight="1" x14ac:dyDescent="0.3"/>
    <row r="2" spans="2:19" ht="16.5" x14ac:dyDescent="0.3">
      <c r="B2" s="110" t="s">
        <v>500</v>
      </c>
    </row>
    <row r="4" spans="2:19" ht="24.75" customHeight="1" x14ac:dyDescent="0.3">
      <c r="B4" s="112" t="s">
        <v>501</v>
      </c>
    </row>
    <row r="5" spans="2:19" x14ac:dyDescent="0.3">
      <c r="B5" s="114"/>
      <c r="C5" s="114"/>
      <c r="D5" s="114"/>
      <c r="E5" s="114"/>
      <c r="F5" s="114"/>
      <c r="G5" s="114"/>
      <c r="H5" s="114"/>
      <c r="I5" s="114"/>
      <c r="J5" s="114"/>
      <c r="K5" s="114"/>
      <c r="L5" s="114"/>
      <c r="M5" s="114"/>
      <c r="N5" s="114"/>
      <c r="O5" s="114"/>
      <c r="P5" s="114"/>
      <c r="Q5" s="114"/>
      <c r="R5" s="114"/>
      <c r="S5" s="114"/>
    </row>
    <row r="6" spans="2:19" ht="16.5" x14ac:dyDescent="0.3">
      <c r="B6" s="114"/>
      <c r="C6" s="116" t="s">
        <v>440</v>
      </c>
      <c r="D6" s="114"/>
      <c r="E6" s="114"/>
      <c r="F6" s="114"/>
      <c r="G6" s="114"/>
      <c r="H6" s="114"/>
      <c r="I6" s="114"/>
      <c r="J6" s="114"/>
      <c r="K6" s="114"/>
      <c r="L6" s="114"/>
      <c r="M6" s="114"/>
      <c r="N6" s="114"/>
      <c r="O6" s="114"/>
      <c r="P6" s="114"/>
      <c r="Q6" s="114"/>
      <c r="R6" s="114"/>
      <c r="S6" s="114"/>
    </row>
    <row r="7" spans="2:19" x14ac:dyDescent="0.3">
      <c r="B7" s="114"/>
      <c r="D7" s="115" t="s">
        <v>444</v>
      </c>
      <c r="E7" s="114"/>
      <c r="F7" s="114"/>
      <c r="G7" s="114"/>
      <c r="H7" s="114"/>
      <c r="I7" s="114"/>
      <c r="J7" s="114"/>
      <c r="K7" s="114"/>
      <c r="L7" s="114"/>
      <c r="M7" s="114"/>
      <c r="N7" s="114"/>
      <c r="O7" s="114"/>
      <c r="P7" s="114"/>
      <c r="Q7" s="114"/>
      <c r="R7" s="114"/>
      <c r="S7" s="114"/>
    </row>
    <row r="8" spans="2:19" x14ac:dyDescent="0.3">
      <c r="B8" s="114"/>
      <c r="C8" s="114"/>
      <c r="D8" s="115"/>
      <c r="E8" s="114"/>
      <c r="F8" s="114"/>
      <c r="G8" s="114"/>
      <c r="H8" s="114"/>
      <c r="I8" s="114"/>
      <c r="J8" s="114"/>
      <c r="K8" s="114"/>
      <c r="L8" s="114"/>
      <c r="M8" s="114"/>
      <c r="N8" s="114"/>
      <c r="O8" s="114"/>
      <c r="P8" s="114"/>
      <c r="Q8" s="114"/>
      <c r="R8" s="114"/>
      <c r="S8" s="114"/>
    </row>
    <row r="9" spans="2:19" x14ac:dyDescent="0.3">
      <c r="B9" s="114"/>
      <c r="C9" s="114"/>
      <c r="D9" s="115"/>
      <c r="E9" s="114"/>
      <c r="F9" s="114"/>
      <c r="G9" s="114"/>
      <c r="H9" s="114"/>
      <c r="I9" s="114"/>
      <c r="J9" s="114"/>
      <c r="K9" s="114"/>
      <c r="L9" s="114"/>
      <c r="M9" s="114"/>
      <c r="N9" s="114"/>
      <c r="O9" s="114"/>
      <c r="P9" s="114"/>
      <c r="Q9" s="114"/>
      <c r="R9" s="114"/>
      <c r="S9" s="114"/>
    </row>
    <row r="10" spans="2:19" x14ac:dyDescent="0.3">
      <c r="B10" s="114"/>
      <c r="C10" s="114"/>
      <c r="D10" s="115"/>
      <c r="E10" s="114"/>
      <c r="F10" s="114"/>
      <c r="G10" s="114"/>
      <c r="H10" s="114"/>
      <c r="I10" s="114"/>
      <c r="J10" s="114"/>
      <c r="K10" s="114"/>
      <c r="L10" s="114"/>
      <c r="M10" s="114"/>
      <c r="N10" s="114"/>
      <c r="O10" s="114"/>
      <c r="P10" s="114"/>
      <c r="Q10" s="114"/>
      <c r="R10" s="114"/>
      <c r="S10" s="114"/>
    </row>
    <row r="11" spans="2:19" x14ac:dyDescent="0.3">
      <c r="B11" s="114"/>
      <c r="C11" s="114"/>
      <c r="D11" s="117"/>
      <c r="E11" s="114"/>
      <c r="F11" s="114"/>
      <c r="G11" s="114"/>
      <c r="H11" s="114"/>
      <c r="I11" s="114"/>
      <c r="J11" s="114"/>
      <c r="K11" s="114"/>
      <c r="L11" s="114"/>
      <c r="M11" s="114"/>
      <c r="N11" s="114"/>
      <c r="O11" s="114"/>
      <c r="P11" s="114"/>
      <c r="Q11" s="114"/>
      <c r="R11" s="114"/>
      <c r="S11" s="114"/>
    </row>
    <row r="12" spans="2:19" x14ac:dyDescent="0.3">
      <c r="B12" s="114"/>
      <c r="C12" s="114"/>
      <c r="D12" s="117"/>
      <c r="E12" s="114"/>
      <c r="F12" s="114"/>
      <c r="G12" s="114"/>
      <c r="H12" s="114"/>
      <c r="I12" s="114"/>
      <c r="J12" s="114"/>
      <c r="K12" s="114"/>
      <c r="L12" s="114"/>
      <c r="M12" s="114"/>
      <c r="N12" s="114"/>
      <c r="O12" s="114"/>
      <c r="P12" s="114"/>
      <c r="Q12" s="114"/>
      <c r="R12" s="114"/>
      <c r="S12" s="114"/>
    </row>
    <row r="13" spans="2:19" x14ac:dyDescent="0.3">
      <c r="B13" s="114"/>
      <c r="C13" s="114"/>
      <c r="D13" s="117"/>
      <c r="E13" s="114"/>
      <c r="F13" s="114"/>
      <c r="G13" s="114"/>
      <c r="H13" s="114"/>
      <c r="I13" s="114"/>
      <c r="J13" s="114"/>
      <c r="K13" s="114"/>
      <c r="L13" s="114"/>
      <c r="M13" s="114"/>
      <c r="N13" s="114"/>
      <c r="O13" s="114"/>
      <c r="P13" s="114"/>
      <c r="Q13" s="114"/>
      <c r="R13" s="114"/>
      <c r="S13" s="114"/>
    </row>
    <row r="14" spans="2:19" x14ac:dyDescent="0.3">
      <c r="B14" s="114"/>
      <c r="C14" s="114"/>
      <c r="D14" s="117"/>
      <c r="E14" s="114"/>
      <c r="F14" s="114"/>
      <c r="G14" s="114"/>
      <c r="H14" s="114"/>
      <c r="I14" s="114"/>
      <c r="J14" s="114"/>
      <c r="K14" s="114"/>
      <c r="L14" s="114"/>
      <c r="M14" s="114"/>
      <c r="N14" s="114"/>
      <c r="O14" s="114"/>
      <c r="P14" s="114"/>
      <c r="Q14" s="114"/>
      <c r="R14" s="114"/>
      <c r="S14" s="114"/>
    </row>
    <row r="15" spans="2:19" x14ac:dyDescent="0.3">
      <c r="B15" s="114"/>
      <c r="C15" s="114"/>
      <c r="D15" s="117"/>
      <c r="E15" s="114"/>
      <c r="F15" s="114"/>
      <c r="G15" s="114"/>
      <c r="H15" s="114"/>
      <c r="I15" s="114"/>
      <c r="J15" s="114"/>
      <c r="K15" s="114"/>
      <c r="L15" s="114"/>
      <c r="M15" s="114"/>
      <c r="N15" s="114"/>
      <c r="O15" s="114"/>
      <c r="P15" s="114"/>
      <c r="Q15" s="114"/>
      <c r="R15" s="114"/>
      <c r="S15" s="114"/>
    </row>
    <row r="16" spans="2:19" x14ac:dyDescent="0.3">
      <c r="B16" s="114"/>
      <c r="C16" s="114"/>
      <c r="D16" s="115"/>
      <c r="E16" s="114"/>
      <c r="F16" s="114"/>
      <c r="G16" s="114"/>
      <c r="H16" s="114"/>
      <c r="I16" s="114"/>
      <c r="J16" s="114"/>
      <c r="K16" s="114"/>
      <c r="L16" s="114"/>
      <c r="M16" s="114"/>
      <c r="N16" s="114"/>
      <c r="O16" s="114"/>
      <c r="P16" s="114"/>
      <c r="Q16" s="114"/>
      <c r="R16" s="114"/>
      <c r="S16" s="114"/>
    </row>
    <row r="17" spans="2:19" x14ac:dyDescent="0.3">
      <c r="B17" s="114"/>
      <c r="C17" s="114"/>
      <c r="D17" s="114"/>
      <c r="E17" s="114"/>
      <c r="F17" s="114"/>
      <c r="G17" s="114"/>
      <c r="H17" s="114"/>
      <c r="I17" s="114"/>
      <c r="J17" s="114"/>
      <c r="K17" s="114"/>
      <c r="L17" s="114"/>
      <c r="M17" s="114"/>
      <c r="N17" s="114"/>
      <c r="O17" s="114"/>
      <c r="P17" s="114"/>
      <c r="Q17" s="114"/>
      <c r="R17" s="114"/>
      <c r="S17" s="114"/>
    </row>
    <row r="18" spans="2:19" x14ac:dyDescent="0.3">
      <c r="B18" s="114"/>
      <c r="C18" s="114"/>
      <c r="D18" s="114"/>
      <c r="E18" s="114"/>
      <c r="F18" s="114"/>
      <c r="G18" s="114"/>
      <c r="H18" s="114"/>
      <c r="I18" s="114"/>
      <c r="J18" s="114"/>
      <c r="K18" s="114"/>
      <c r="L18" s="114"/>
      <c r="M18" s="114"/>
      <c r="N18" s="114"/>
      <c r="O18" s="114"/>
      <c r="P18" s="114"/>
      <c r="Q18" s="114"/>
      <c r="R18" s="114"/>
      <c r="S18" s="114"/>
    </row>
    <row r="19" spans="2:19" x14ac:dyDescent="0.3">
      <c r="B19" s="114"/>
      <c r="C19" s="114"/>
      <c r="D19" s="114"/>
      <c r="E19" s="114"/>
      <c r="F19" s="114"/>
      <c r="G19" s="114"/>
      <c r="H19" s="114"/>
      <c r="I19" s="114"/>
      <c r="J19" s="114"/>
      <c r="K19" s="114"/>
      <c r="L19" s="114"/>
      <c r="M19" s="114"/>
      <c r="N19" s="114"/>
      <c r="O19" s="114"/>
      <c r="P19" s="114"/>
      <c r="Q19" s="114"/>
      <c r="R19" s="114"/>
      <c r="S19" s="114"/>
    </row>
    <row r="20" spans="2:19" x14ac:dyDescent="0.3">
      <c r="B20" s="114"/>
      <c r="C20" s="114"/>
      <c r="D20" s="114"/>
      <c r="E20" s="114"/>
      <c r="F20" s="114"/>
      <c r="G20" s="114"/>
      <c r="H20" s="114"/>
      <c r="I20" s="114"/>
      <c r="J20" s="114"/>
      <c r="K20" s="114"/>
      <c r="L20" s="114"/>
      <c r="M20" s="114"/>
      <c r="N20" s="114"/>
      <c r="O20" s="114"/>
      <c r="P20" s="114"/>
      <c r="Q20" s="114"/>
      <c r="R20" s="114"/>
      <c r="S20" s="114"/>
    </row>
    <row r="21" spans="2:19" x14ac:dyDescent="0.3">
      <c r="B21" s="114"/>
      <c r="C21" s="114"/>
      <c r="D21" s="114"/>
      <c r="E21" s="114"/>
      <c r="F21" s="114"/>
      <c r="G21" s="114"/>
      <c r="H21" s="114"/>
      <c r="I21" s="114"/>
      <c r="J21" s="114"/>
      <c r="K21" s="114"/>
      <c r="L21" s="114"/>
      <c r="M21" s="114"/>
      <c r="N21" s="114"/>
      <c r="O21" s="114"/>
      <c r="P21" s="114"/>
      <c r="Q21" s="114"/>
      <c r="R21" s="114"/>
      <c r="S21" s="114"/>
    </row>
    <row r="22" spans="2:19" x14ac:dyDescent="0.3">
      <c r="B22" s="114"/>
      <c r="C22" s="114"/>
      <c r="D22" s="114"/>
      <c r="E22" s="114"/>
      <c r="F22" s="114"/>
      <c r="G22" s="114"/>
      <c r="H22" s="114"/>
      <c r="I22" s="114"/>
      <c r="J22" s="114"/>
      <c r="K22" s="114"/>
      <c r="L22" s="114"/>
      <c r="M22" s="114"/>
      <c r="N22" s="114"/>
      <c r="O22" s="114"/>
      <c r="P22" s="114"/>
      <c r="Q22" s="114"/>
      <c r="R22" s="114"/>
      <c r="S22" s="114"/>
    </row>
    <row r="23" spans="2:19" x14ac:dyDescent="0.3">
      <c r="B23" s="114"/>
      <c r="C23" s="114"/>
      <c r="D23" s="114"/>
      <c r="E23" s="114"/>
      <c r="F23" s="114"/>
      <c r="G23" s="114"/>
      <c r="H23" s="114"/>
      <c r="I23" s="114"/>
      <c r="J23" s="114"/>
      <c r="K23" s="114"/>
      <c r="L23" s="114"/>
      <c r="M23" s="114"/>
      <c r="N23" s="114"/>
      <c r="O23" s="114"/>
      <c r="P23" s="114"/>
      <c r="Q23" s="114"/>
      <c r="R23" s="114"/>
      <c r="S23" s="114"/>
    </row>
    <row r="24" spans="2:19" x14ac:dyDescent="0.3">
      <c r="B24" s="114"/>
      <c r="C24" s="114"/>
      <c r="D24" s="114"/>
      <c r="E24" s="114"/>
      <c r="F24" s="114"/>
      <c r="G24" s="114"/>
      <c r="H24" s="114"/>
      <c r="I24" s="114"/>
      <c r="J24" s="114"/>
      <c r="K24" s="114"/>
      <c r="L24" s="114"/>
      <c r="M24" s="114"/>
      <c r="N24" s="114"/>
      <c r="O24" s="114"/>
      <c r="P24" s="114"/>
      <c r="Q24" s="114"/>
      <c r="R24" s="114"/>
      <c r="S24" s="114"/>
    </row>
    <row r="25" spans="2:19" x14ac:dyDescent="0.3">
      <c r="B25" s="114"/>
      <c r="C25" s="114"/>
      <c r="D25" s="114"/>
      <c r="E25" s="114"/>
      <c r="F25" s="114"/>
      <c r="G25" s="114"/>
      <c r="H25" s="114"/>
      <c r="I25" s="114"/>
      <c r="J25" s="114"/>
      <c r="K25" s="114"/>
      <c r="L25" s="114"/>
      <c r="M25" s="114"/>
      <c r="N25" s="114"/>
      <c r="O25" s="114"/>
      <c r="P25" s="114"/>
      <c r="Q25" s="114"/>
      <c r="R25" s="114"/>
      <c r="S25" s="114"/>
    </row>
    <row r="26" spans="2:19" x14ac:dyDescent="0.3">
      <c r="B26" s="114"/>
      <c r="C26" s="114"/>
      <c r="D26" s="114"/>
      <c r="E26" s="114"/>
      <c r="F26" s="114"/>
      <c r="G26" s="114"/>
      <c r="H26" s="114"/>
      <c r="I26" s="114"/>
      <c r="J26" s="114"/>
      <c r="K26" s="114"/>
      <c r="L26" s="114"/>
      <c r="M26" s="114"/>
      <c r="N26" s="114"/>
      <c r="O26" s="114"/>
      <c r="P26" s="114"/>
      <c r="Q26" s="114"/>
      <c r="R26" s="114"/>
      <c r="S26" s="114"/>
    </row>
    <row r="27" spans="2:19" x14ac:dyDescent="0.3">
      <c r="B27" s="114"/>
      <c r="C27" s="114"/>
      <c r="D27" s="114"/>
      <c r="E27" s="114"/>
      <c r="F27" s="114"/>
      <c r="G27" s="114"/>
      <c r="H27" s="114"/>
      <c r="I27" s="114"/>
      <c r="J27" s="114"/>
      <c r="K27" s="114"/>
      <c r="L27" s="114"/>
      <c r="M27" s="114"/>
      <c r="N27" s="114"/>
      <c r="O27" s="114"/>
      <c r="P27" s="114"/>
      <c r="Q27" s="114"/>
      <c r="R27" s="114"/>
      <c r="S27" s="114"/>
    </row>
    <row r="28" spans="2:19" x14ac:dyDescent="0.3">
      <c r="B28" s="114"/>
      <c r="C28" s="114"/>
      <c r="D28" s="114"/>
      <c r="E28" s="114"/>
      <c r="F28" s="114"/>
      <c r="G28" s="114"/>
      <c r="H28" s="114"/>
      <c r="I28" s="114"/>
      <c r="J28" s="114"/>
      <c r="K28" s="114"/>
      <c r="L28" s="114"/>
      <c r="M28" s="114"/>
      <c r="N28" s="114"/>
      <c r="O28" s="114"/>
      <c r="P28" s="114"/>
      <c r="Q28" s="114"/>
      <c r="R28" s="114"/>
      <c r="S28" s="114"/>
    </row>
    <row r="29" spans="2:19" x14ac:dyDescent="0.3">
      <c r="B29" s="114"/>
      <c r="C29" s="114"/>
      <c r="D29" s="114"/>
      <c r="E29" s="114"/>
      <c r="F29" s="114"/>
      <c r="G29" s="114"/>
      <c r="H29" s="114"/>
      <c r="I29" s="114"/>
      <c r="J29" s="114"/>
      <c r="K29" s="114"/>
      <c r="L29" s="114"/>
      <c r="M29" s="114"/>
      <c r="N29" s="114"/>
      <c r="O29" s="114"/>
      <c r="P29" s="114"/>
      <c r="Q29" s="114"/>
      <c r="R29" s="114"/>
      <c r="S29" s="114"/>
    </row>
    <row r="30" spans="2:19" x14ac:dyDescent="0.3">
      <c r="B30" s="114"/>
      <c r="C30" s="114"/>
      <c r="D30" s="114"/>
      <c r="E30" s="114"/>
      <c r="F30" s="114"/>
      <c r="G30" s="114"/>
      <c r="H30" s="114"/>
      <c r="I30" s="114"/>
      <c r="J30" s="114"/>
      <c r="K30" s="114"/>
      <c r="L30" s="114"/>
      <c r="M30" s="114"/>
      <c r="N30" s="114"/>
      <c r="O30" s="114"/>
      <c r="P30" s="114"/>
      <c r="Q30" s="114"/>
      <c r="R30" s="114"/>
      <c r="S30" s="114"/>
    </row>
    <row r="31" spans="2:19" x14ac:dyDescent="0.3">
      <c r="B31" s="114"/>
      <c r="C31" s="114"/>
      <c r="D31" s="114"/>
      <c r="E31" s="114"/>
      <c r="F31" s="114"/>
      <c r="G31" s="114"/>
      <c r="H31" s="114"/>
      <c r="I31" s="114"/>
      <c r="J31" s="114"/>
      <c r="K31" s="114"/>
      <c r="L31" s="114"/>
      <c r="M31" s="114"/>
      <c r="N31" s="114"/>
      <c r="O31" s="114"/>
      <c r="P31" s="114"/>
      <c r="Q31" s="114"/>
      <c r="R31" s="114"/>
      <c r="S31" s="114"/>
    </row>
    <row r="32" spans="2:19" x14ac:dyDescent="0.3">
      <c r="B32" s="114"/>
      <c r="C32" s="114"/>
      <c r="D32" s="114"/>
      <c r="E32" s="114"/>
      <c r="F32" s="114"/>
      <c r="G32" s="114"/>
      <c r="H32" s="114"/>
      <c r="I32" s="114"/>
      <c r="J32" s="114"/>
      <c r="K32" s="114"/>
      <c r="L32" s="114"/>
      <c r="M32" s="114"/>
      <c r="N32" s="114"/>
      <c r="O32" s="114"/>
      <c r="P32" s="114"/>
      <c r="Q32" s="114"/>
      <c r="R32" s="114"/>
      <c r="S32" s="114"/>
    </row>
    <row r="33" spans="2:19" x14ac:dyDescent="0.3">
      <c r="B33" s="114"/>
      <c r="C33" s="114"/>
      <c r="D33" s="114"/>
      <c r="E33" s="114"/>
      <c r="F33" s="114"/>
      <c r="G33" s="114"/>
      <c r="H33" s="114"/>
      <c r="I33" s="114"/>
      <c r="J33" s="114"/>
      <c r="K33" s="114"/>
      <c r="L33" s="114"/>
      <c r="M33" s="114"/>
      <c r="N33" s="114"/>
      <c r="O33" s="114"/>
      <c r="P33" s="114"/>
      <c r="Q33" s="114"/>
      <c r="R33" s="114"/>
      <c r="S33" s="114"/>
    </row>
    <row r="34" spans="2:19" x14ac:dyDescent="0.3">
      <c r="B34" s="114"/>
      <c r="C34" s="114"/>
      <c r="D34" s="114"/>
      <c r="E34" s="114"/>
      <c r="F34" s="114"/>
      <c r="G34" s="114"/>
      <c r="H34" s="114"/>
      <c r="I34" s="114"/>
      <c r="J34" s="114"/>
      <c r="K34" s="114"/>
      <c r="L34" s="114"/>
      <c r="M34" s="114"/>
      <c r="N34" s="114"/>
      <c r="O34" s="114"/>
      <c r="P34" s="114"/>
      <c r="Q34" s="114"/>
      <c r="R34" s="114"/>
      <c r="S34" s="114"/>
    </row>
    <row r="35" spans="2:19" x14ac:dyDescent="0.3">
      <c r="B35" s="114"/>
      <c r="C35" s="114"/>
      <c r="D35" s="114"/>
      <c r="E35" s="114"/>
      <c r="F35" s="114"/>
      <c r="G35" s="114"/>
      <c r="H35" s="114"/>
      <c r="I35" s="114"/>
      <c r="J35" s="114"/>
      <c r="K35" s="114"/>
      <c r="L35" s="114"/>
      <c r="M35" s="114"/>
      <c r="N35" s="114"/>
      <c r="O35" s="114"/>
      <c r="P35" s="114"/>
      <c r="Q35" s="114"/>
      <c r="R35" s="114"/>
      <c r="S35" s="114"/>
    </row>
    <row r="36" spans="2:19" x14ac:dyDescent="0.3">
      <c r="B36" s="114"/>
      <c r="C36" s="114"/>
      <c r="D36" s="115"/>
      <c r="E36" s="114"/>
      <c r="F36" s="114"/>
      <c r="G36" s="114"/>
      <c r="H36" s="114"/>
      <c r="I36" s="114"/>
      <c r="J36" s="114"/>
      <c r="K36" s="114"/>
      <c r="L36" s="114"/>
      <c r="M36" s="114"/>
      <c r="N36" s="114"/>
      <c r="O36" s="114"/>
      <c r="P36" s="114"/>
      <c r="Q36" s="114"/>
      <c r="R36" s="114"/>
      <c r="S36" s="114"/>
    </row>
    <row r="37" spans="2:19" x14ac:dyDescent="0.3">
      <c r="B37" s="114"/>
      <c r="C37" s="114"/>
      <c r="D37" s="115"/>
      <c r="E37" s="114"/>
      <c r="F37" s="114"/>
      <c r="G37" s="114"/>
      <c r="H37" s="114"/>
      <c r="I37" s="114"/>
      <c r="J37" s="114"/>
      <c r="K37" s="114"/>
      <c r="L37" s="114"/>
      <c r="M37" s="114"/>
      <c r="N37" s="114"/>
      <c r="O37" s="114"/>
      <c r="P37" s="114"/>
      <c r="Q37" s="114"/>
      <c r="R37" s="114"/>
      <c r="S37" s="114"/>
    </row>
    <row r="38" spans="2:19" x14ac:dyDescent="0.3">
      <c r="B38" s="114"/>
      <c r="C38" s="114"/>
      <c r="D38" s="114"/>
      <c r="E38" s="114"/>
      <c r="F38" s="114"/>
      <c r="G38" s="114"/>
      <c r="H38" s="114"/>
      <c r="I38" s="114"/>
      <c r="J38" s="114"/>
      <c r="K38" s="114"/>
      <c r="L38" s="114"/>
      <c r="M38" s="114"/>
      <c r="N38" s="114"/>
      <c r="O38" s="114"/>
      <c r="P38" s="114"/>
      <c r="Q38" s="114"/>
      <c r="R38" s="114"/>
      <c r="S38" s="114"/>
    </row>
    <row r="39" spans="2:19" x14ac:dyDescent="0.3">
      <c r="B39" s="114"/>
      <c r="C39" s="114"/>
      <c r="D39" s="115"/>
      <c r="E39" s="114"/>
      <c r="F39" s="114"/>
      <c r="G39" s="114"/>
      <c r="H39" s="114"/>
      <c r="I39" s="114"/>
      <c r="J39" s="114"/>
      <c r="K39" s="114"/>
      <c r="L39" s="114"/>
      <c r="M39" s="114"/>
      <c r="N39" s="114"/>
      <c r="O39" s="114"/>
      <c r="P39" s="114"/>
      <c r="Q39" s="114"/>
      <c r="R39" s="114"/>
      <c r="S39" s="114"/>
    </row>
    <row r="40" spans="2:19" x14ac:dyDescent="0.3">
      <c r="B40" s="114"/>
      <c r="C40" s="114"/>
      <c r="D40" s="115"/>
      <c r="E40" s="114"/>
      <c r="F40" s="114"/>
      <c r="G40" s="114"/>
      <c r="H40" s="114"/>
      <c r="I40" s="114"/>
      <c r="J40" s="114"/>
      <c r="K40" s="114"/>
      <c r="L40" s="114"/>
      <c r="M40" s="114"/>
      <c r="N40" s="114"/>
      <c r="O40" s="114"/>
      <c r="P40" s="114"/>
      <c r="Q40" s="114"/>
      <c r="R40" s="114"/>
      <c r="S40" s="114"/>
    </row>
    <row r="41" spans="2:19" x14ac:dyDescent="0.3">
      <c r="B41" s="114"/>
      <c r="C41" s="114"/>
      <c r="D41" s="114"/>
      <c r="E41" s="114"/>
      <c r="F41" s="114"/>
      <c r="G41" s="114"/>
      <c r="H41" s="114"/>
      <c r="I41" s="114"/>
      <c r="J41" s="114"/>
      <c r="K41" s="114"/>
      <c r="L41" s="114"/>
      <c r="M41" s="114"/>
      <c r="N41" s="114"/>
      <c r="O41" s="114"/>
      <c r="P41" s="114"/>
      <c r="Q41" s="114"/>
      <c r="R41" s="114"/>
      <c r="S41" s="114"/>
    </row>
    <row r="42" spans="2:19" x14ac:dyDescent="0.3">
      <c r="B42" s="114"/>
      <c r="C42" s="114"/>
      <c r="D42" s="115"/>
      <c r="E42" s="114"/>
      <c r="F42" s="114"/>
      <c r="G42" s="114"/>
      <c r="H42" s="114"/>
      <c r="I42" s="114"/>
      <c r="J42" s="114"/>
      <c r="K42" s="114"/>
      <c r="L42" s="114"/>
      <c r="M42" s="114"/>
      <c r="N42" s="114"/>
      <c r="O42" s="114"/>
      <c r="P42" s="114"/>
      <c r="Q42" s="114"/>
      <c r="R42" s="114"/>
      <c r="S42" s="114"/>
    </row>
    <row r="43" spans="2:19" x14ac:dyDescent="0.3">
      <c r="B43" s="114"/>
      <c r="C43" s="114"/>
      <c r="D43" s="115"/>
      <c r="E43" s="114"/>
      <c r="F43" s="114"/>
      <c r="G43" s="114"/>
      <c r="H43" s="114"/>
      <c r="I43" s="114"/>
      <c r="J43" s="114"/>
      <c r="K43" s="114"/>
      <c r="L43" s="114"/>
      <c r="M43" s="114"/>
      <c r="N43" s="114"/>
      <c r="O43" s="114"/>
      <c r="P43" s="114"/>
      <c r="Q43" s="114"/>
      <c r="R43" s="114"/>
      <c r="S43" s="114"/>
    </row>
    <row r="44" spans="2:19" x14ac:dyDescent="0.3">
      <c r="B44" s="114"/>
      <c r="C44" s="114"/>
      <c r="D44" s="115"/>
      <c r="E44" s="114"/>
      <c r="F44" s="114"/>
      <c r="G44" s="114"/>
      <c r="H44" s="114"/>
      <c r="I44" s="114"/>
      <c r="J44" s="114"/>
      <c r="K44" s="114"/>
      <c r="L44" s="114"/>
      <c r="M44" s="114"/>
      <c r="N44" s="114"/>
      <c r="O44" s="114"/>
      <c r="P44" s="114"/>
      <c r="Q44" s="114"/>
      <c r="R44" s="114"/>
      <c r="S44" s="114"/>
    </row>
    <row r="45" spans="2:19" x14ac:dyDescent="0.3">
      <c r="B45" s="114"/>
      <c r="C45" s="114"/>
      <c r="D45" s="115"/>
      <c r="E45" s="114"/>
      <c r="F45" s="114"/>
      <c r="G45" s="114"/>
      <c r="H45" s="114"/>
      <c r="I45" s="114"/>
      <c r="J45" s="114"/>
      <c r="K45" s="114"/>
      <c r="L45" s="114"/>
      <c r="M45" s="114"/>
      <c r="N45" s="114"/>
      <c r="O45" s="114"/>
      <c r="P45" s="114"/>
      <c r="Q45" s="114"/>
      <c r="R45" s="114"/>
      <c r="S45" s="114"/>
    </row>
    <row r="46" spans="2:19" ht="16.5" x14ac:dyDescent="0.3">
      <c r="B46" s="114"/>
      <c r="C46" s="116" t="s">
        <v>445</v>
      </c>
      <c r="D46" s="115"/>
      <c r="E46" s="114"/>
      <c r="F46" s="114"/>
      <c r="G46" s="114"/>
      <c r="H46" s="114"/>
      <c r="I46" s="114"/>
      <c r="J46" s="114"/>
      <c r="K46" s="114"/>
      <c r="L46" s="114"/>
      <c r="M46" s="114"/>
      <c r="N46" s="114"/>
      <c r="O46" s="114"/>
      <c r="P46" s="114"/>
      <c r="Q46" s="114"/>
      <c r="R46" s="114"/>
      <c r="S46" s="114"/>
    </row>
    <row r="47" spans="2:19" x14ac:dyDescent="0.3">
      <c r="B47" s="114"/>
      <c r="D47" s="115" t="s">
        <v>446</v>
      </c>
      <c r="E47" s="114"/>
      <c r="F47" s="114"/>
      <c r="G47" s="114"/>
      <c r="H47" s="114"/>
      <c r="I47" s="114"/>
      <c r="J47" s="114"/>
      <c r="K47" s="114"/>
      <c r="L47" s="114"/>
      <c r="M47" s="114"/>
      <c r="N47" s="114"/>
      <c r="O47" s="114"/>
      <c r="P47" s="114"/>
      <c r="Q47" s="114"/>
      <c r="R47" s="114"/>
      <c r="S47" s="114"/>
    </row>
    <row r="48" spans="2:19" x14ac:dyDescent="0.3">
      <c r="B48" s="114"/>
      <c r="D48" s="115" t="s">
        <v>502</v>
      </c>
      <c r="E48" s="114"/>
      <c r="F48" s="114"/>
      <c r="G48" s="114"/>
      <c r="H48" s="114"/>
      <c r="I48" s="114"/>
      <c r="J48" s="114"/>
      <c r="K48" s="114"/>
      <c r="L48" s="114"/>
      <c r="M48" s="114"/>
      <c r="N48" s="114"/>
      <c r="O48" s="114"/>
      <c r="P48" s="114"/>
      <c r="Q48" s="114"/>
      <c r="R48" s="114"/>
      <c r="S48" s="114"/>
    </row>
    <row r="49" spans="2:19" x14ac:dyDescent="0.3">
      <c r="B49" s="114"/>
      <c r="D49" s="115" t="s">
        <v>447</v>
      </c>
      <c r="E49" s="114"/>
      <c r="F49" s="114"/>
      <c r="G49" s="114"/>
      <c r="H49" s="114"/>
      <c r="I49" s="114"/>
      <c r="J49" s="114"/>
      <c r="K49" s="114"/>
      <c r="L49" s="114"/>
      <c r="M49" s="114"/>
      <c r="N49" s="114"/>
      <c r="O49" s="114"/>
      <c r="P49" s="114"/>
      <c r="Q49" s="114"/>
      <c r="R49" s="114"/>
      <c r="S49" s="114"/>
    </row>
    <row r="50" spans="2:19" x14ac:dyDescent="0.3">
      <c r="B50" s="114"/>
      <c r="C50" s="114"/>
      <c r="D50" s="114"/>
      <c r="E50" s="114"/>
      <c r="F50" s="114"/>
      <c r="G50" s="114"/>
      <c r="H50" s="114"/>
      <c r="I50" s="114"/>
      <c r="J50" s="114"/>
      <c r="K50" s="114"/>
      <c r="L50" s="114"/>
      <c r="M50" s="114"/>
      <c r="N50" s="114"/>
      <c r="O50" s="114"/>
      <c r="P50" s="114"/>
      <c r="Q50" s="114"/>
      <c r="R50" s="114"/>
      <c r="S50" s="114"/>
    </row>
    <row r="51" spans="2:19" x14ac:dyDescent="0.3">
      <c r="B51" s="114"/>
      <c r="C51" s="114"/>
      <c r="D51" s="114"/>
      <c r="E51" s="114"/>
      <c r="F51" s="114"/>
      <c r="G51" s="114"/>
      <c r="H51" s="114"/>
      <c r="I51" s="114"/>
      <c r="J51" s="114"/>
      <c r="K51" s="114"/>
      <c r="L51" s="114"/>
      <c r="M51" s="114"/>
      <c r="N51" s="114"/>
      <c r="O51" s="114"/>
      <c r="P51" s="114"/>
      <c r="Q51" s="114"/>
      <c r="R51" s="114"/>
      <c r="S51" s="114"/>
    </row>
    <row r="52" spans="2:19" x14ac:dyDescent="0.3">
      <c r="B52" s="114"/>
      <c r="C52" s="114"/>
      <c r="D52" s="114"/>
      <c r="E52" s="114"/>
      <c r="F52" s="114"/>
      <c r="G52" s="114"/>
      <c r="H52" s="114"/>
      <c r="I52" s="114"/>
      <c r="J52" s="114"/>
      <c r="K52" s="114"/>
      <c r="L52" s="114"/>
      <c r="M52" s="114"/>
      <c r="N52" s="114"/>
      <c r="O52" s="114"/>
      <c r="P52" s="114"/>
      <c r="Q52" s="114"/>
      <c r="R52" s="114"/>
      <c r="S52" s="114"/>
    </row>
    <row r="53" spans="2:19" x14ac:dyDescent="0.3">
      <c r="B53" s="114"/>
      <c r="C53" s="114"/>
      <c r="D53" s="114"/>
      <c r="E53" s="114"/>
      <c r="F53" s="114"/>
      <c r="G53" s="114"/>
      <c r="H53" s="114"/>
      <c r="I53" s="114"/>
      <c r="J53" s="114"/>
      <c r="K53" s="114"/>
      <c r="L53" s="114"/>
      <c r="M53" s="114"/>
      <c r="N53" s="114"/>
      <c r="O53" s="114"/>
      <c r="P53" s="114"/>
      <c r="Q53" s="114"/>
      <c r="R53" s="114"/>
      <c r="S53" s="114"/>
    </row>
    <row r="54" spans="2:19" x14ac:dyDescent="0.3">
      <c r="B54" s="114"/>
      <c r="C54" s="114"/>
      <c r="D54" s="114"/>
      <c r="E54" s="114"/>
      <c r="F54" s="114"/>
      <c r="G54" s="114"/>
      <c r="H54" s="114"/>
      <c r="I54" s="114"/>
      <c r="J54" s="114"/>
      <c r="K54" s="114"/>
      <c r="L54" s="114"/>
      <c r="M54" s="114"/>
      <c r="N54" s="114"/>
      <c r="O54" s="114"/>
      <c r="P54" s="114"/>
      <c r="Q54" s="114"/>
      <c r="R54" s="114"/>
      <c r="S54" s="114"/>
    </row>
    <row r="55" spans="2:19" x14ac:dyDescent="0.3">
      <c r="B55" s="114"/>
      <c r="C55" s="114"/>
      <c r="D55" s="114"/>
      <c r="E55" s="114"/>
      <c r="F55" s="114"/>
      <c r="G55" s="114"/>
      <c r="H55" s="114"/>
      <c r="I55" s="114"/>
      <c r="J55" s="114"/>
      <c r="K55" s="114"/>
      <c r="L55" s="114"/>
      <c r="M55" s="114"/>
      <c r="N55" s="114"/>
      <c r="O55" s="114"/>
      <c r="P55" s="114"/>
      <c r="Q55" s="114"/>
      <c r="R55" s="114"/>
      <c r="S55" s="114"/>
    </row>
    <row r="56" spans="2:19" x14ac:dyDescent="0.3">
      <c r="B56" s="114"/>
      <c r="C56" s="114"/>
      <c r="D56" s="114"/>
      <c r="E56" s="114"/>
      <c r="F56" s="114"/>
      <c r="G56" s="114"/>
      <c r="H56" s="114"/>
      <c r="I56" s="114"/>
      <c r="J56" s="114"/>
      <c r="K56" s="114"/>
      <c r="L56" s="114"/>
      <c r="M56" s="114"/>
      <c r="N56" s="114"/>
      <c r="O56" s="114"/>
      <c r="P56" s="114"/>
      <c r="Q56" s="114"/>
      <c r="R56" s="114"/>
      <c r="S56" s="114"/>
    </row>
    <row r="57" spans="2:19" x14ac:dyDescent="0.3">
      <c r="B57" s="114"/>
      <c r="C57" s="114"/>
      <c r="D57" s="114"/>
      <c r="E57" s="114"/>
      <c r="F57" s="114"/>
      <c r="G57" s="114"/>
      <c r="H57" s="114"/>
      <c r="I57" s="114"/>
      <c r="J57" s="114"/>
      <c r="K57" s="114"/>
      <c r="L57" s="114"/>
      <c r="M57" s="114"/>
      <c r="N57" s="114"/>
      <c r="O57" s="114"/>
      <c r="P57" s="114"/>
      <c r="Q57" s="114"/>
      <c r="R57" s="114"/>
      <c r="S57" s="114"/>
    </row>
    <row r="58" spans="2:19" x14ac:dyDescent="0.3">
      <c r="B58" s="114"/>
      <c r="C58" s="114"/>
      <c r="D58" s="114"/>
      <c r="E58" s="114"/>
      <c r="F58" s="114"/>
      <c r="G58" s="114"/>
      <c r="H58" s="114"/>
      <c r="I58" s="114"/>
      <c r="J58" s="114"/>
      <c r="K58" s="114"/>
      <c r="L58" s="114"/>
      <c r="M58" s="114"/>
      <c r="N58" s="114"/>
      <c r="O58" s="114"/>
      <c r="P58" s="114"/>
      <c r="Q58" s="114"/>
      <c r="R58" s="114"/>
      <c r="S58" s="114"/>
    </row>
    <row r="59" spans="2:19" x14ac:dyDescent="0.3">
      <c r="B59" s="114"/>
      <c r="C59" s="114"/>
      <c r="D59" s="114"/>
      <c r="E59" s="114"/>
      <c r="F59" s="114"/>
      <c r="G59" s="114"/>
      <c r="H59" s="114"/>
      <c r="I59" s="114"/>
      <c r="J59" s="114"/>
      <c r="K59" s="114"/>
      <c r="L59" s="114"/>
      <c r="M59" s="114"/>
      <c r="N59" s="114"/>
      <c r="O59" s="114"/>
      <c r="P59" s="114"/>
      <c r="Q59" s="114"/>
      <c r="R59" s="114"/>
      <c r="S59" s="114"/>
    </row>
    <row r="60" spans="2:19" x14ac:dyDescent="0.3">
      <c r="B60" s="114"/>
      <c r="C60" s="114"/>
      <c r="D60" s="114"/>
      <c r="E60" s="114"/>
      <c r="F60" s="114"/>
      <c r="G60" s="114"/>
      <c r="H60" s="114"/>
      <c r="I60" s="114"/>
      <c r="J60" s="114"/>
      <c r="K60" s="114"/>
      <c r="L60" s="114"/>
      <c r="M60" s="114"/>
      <c r="N60" s="114"/>
      <c r="O60" s="114"/>
      <c r="P60" s="114"/>
      <c r="Q60" s="114"/>
      <c r="R60" s="114"/>
      <c r="S60" s="114"/>
    </row>
    <row r="61" spans="2:19" x14ac:dyDescent="0.3">
      <c r="B61" s="114"/>
      <c r="C61" s="114"/>
      <c r="D61" s="114"/>
      <c r="E61" s="114"/>
      <c r="F61" s="114"/>
      <c r="G61" s="114"/>
      <c r="H61" s="114"/>
      <c r="I61" s="114"/>
      <c r="J61" s="114"/>
      <c r="K61" s="114"/>
      <c r="L61" s="114"/>
      <c r="M61" s="114"/>
      <c r="N61" s="114"/>
      <c r="O61" s="114"/>
      <c r="P61" s="114"/>
      <c r="Q61" s="114"/>
      <c r="R61" s="114"/>
      <c r="S61" s="114"/>
    </row>
    <row r="62" spans="2:19" x14ac:dyDescent="0.3">
      <c r="B62" s="114"/>
      <c r="C62" s="114"/>
      <c r="D62" s="114"/>
      <c r="E62" s="114"/>
      <c r="F62" s="114"/>
      <c r="G62" s="114"/>
      <c r="H62" s="114"/>
      <c r="I62" s="114"/>
      <c r="J62" s="114"/>
      <c r="K62" s="114"/>
      <c r="L62" s="114"/>
      <c r="M62" s="114"/>
      <c r="N62" s="114"/>
      <c r="O62" s="114"/>
      <c r="P62" s="114"/>
      <c r="Q62" s="114"/>
      <c r="R62" s="114"/>
      <c r="S62" s="114"/>
    </row>
    <row r="63" spans="2:19" x14ac:dyDescent="0.3">
      <c r="B63" s="114"/>
      <c r="C63" s="114"/>
      <c r="D63" s="114"/>
      <c r="E63" s="114"/>
      <c r="F63" s="114"/>
      <c r="G63" s="114"/>
      <c r="H63" s="114"/>
      <c r="I63" s="114"/>
      <c r="J63" s="114"/>
      <c r="K63" s="114"/>
      <c r="L63" s="114"/>
      <c r="M63" s="114"/>
      <c r="N63" s="114"/>
      <c r="O63" s="114"/>
      <c r="P63" s="114"/>
      <c r="Q63" s="114"/>
      <c r="R63" s="114"/>
      <c r="S63" s="114"/>
    </row>
    <row r="64" spans="2:19" x14ac:dyDescent="0.3">
      <c r="B64" s="114"/>
      <c r="C64" s="114"/>
      <c r="D64" s="114"/>
      <c r="E64" s="114"/>
      <c r="F64" s="114"/>
      <c r="G64" s="114"/>
      <c r="H64" s="114"/>
      <c r="I64" s="114"/>
      <c r="J64" s="114"/>
      <c r="K64" s="114"/>
      <c r="L64" s="114"/>
      <c r="M64" s="114"/>
      <c r="N64" s="114"/>
      <c r="O64" s="114"/>
      <c r="P64" s="114"/>
      <c r="Q64" s="114"/>
      <c r="R64" s="114"/>
      <c r="S64" s="114"/>
    </row>
    <row r="65" spans="2:19" x14ac:dyDescent="0.3">
      <c r="B65" s="114"/>
      <c r="C65" s="114"/>
      <c r="D65" s="114"/>
      <c r="E65" s="114"/>
      <c r="F65" s="114"/>
      <c r="G65" s="114"/>
      <c r="H65" s="114"/>
      <c r="I65" s="114"/>
      <c r="J65" s="114"/>
      <c r="K65" s="114"/>
      <c r="L65" s="114"/>
      <c r="M65" s="114"/>
      <c r="N65" s="114"/>
      <c r="O65" s="114"/>
      <c r="P65" s="114"/>
      <c r="Q65" s="114"/>
      <c r="R65" s="114"/>
      <c r="S65" s="114"/>
    </row>
    <row r="66" spans="2:19" x14ac:dyDescent="0.3">
      <c r="B66" s="114"/>
      <c r="C66" s="114"/>
      <c r="D66" s="114"/>
      <c r="E66" s="114"/>
      <c r="F66" s="114"/>
      <c r="G66" s="114"/>
      <c r="H66" s="114"/>
      <c r="I66" s="114"/>
      <c r="J66" s="114"/>
      <c r="K66" s="114"/>
      <c r="L66" s="114"/>
      <c r="M66" s="114"/>
      <c r="N66" s="114"/>
      <c r="O66" s="114"/>
      <c r="P66" s="114"/>
      <c r="Q66" s="114"/>
      <c r="R66" s="114"/>
      <c r="S66" s="114"/>
    </row>
    <row r="67" spans="2:19" x14ac:dyDescent="0.3">
      <c r="B67" s="114"/>
      <c r="C67" s="114"/>
      <c r="D67" s="114"/>
      <c r="E67" s="114"/>
      <c r="F67" s="114"/>
      <c r="G67" s="114"/>
      <c r="H67" s="114"/>
      <c r="I67" s="114"/>
      <c r="J67" s="114"/>
      <c r="K67" s="114"/>
      <c r="L67" s="114"/>
      <c r="M67" s="114"/>
      <c r="N67" s="114"/>
      <c r="O67" s="114"/>
      <c r="P67" s="114"/>
      <c r="Q67" s="114"/>
      <c r="R67" s="114"/>
      <c r="S67" s="114"/>
    </row>
    <row r="68" spans="2:19" x14ac:dyDescent="0.3">
      <c r="B68" s="114"/>
      <c r="C68" s="114"/>
      <c r="D68" s="114"/>
      <c r="E68" s="114"/>
      <c r="F68" s="114"/>
      <c r="G68" s="114"/>
      <c r="H68" s="114"/>
      <c r="I68" s="114"/>
      <c r="J68" s="114"/>
      <c r="K68" s="114"/>
      <c r="L68" s="114"/>
      <c r="M68" s="114"/>
      <c r="N68" s="114"/>
      <c r="O68" s="114"/>
      <c r="P68" s="114"/>
      <c r="Q68" s="114"/>
      <c r="R68" s="114"/>
      <c r="S68" s="114"/>
    </row>
    <row r="69" spans="2:19" x14ac:dyDescent="0.3">
      <c r="B69" s="114"/>
      <c r="C69" s="114"/>
      <c r="D69" s="114"/>
      <c r="E69" s="114"/>
      <c r="F69" s="114"/>
      <c r="G69" s="114"/>
      <c r="H69" s="114"/>
      <c r="I69" s="114"/>
      <c r="J69" s="114"/>
      <c r="K69" s="114"/>
      <c r="L69" s="114"/>
      <c r="M69" s="114"/>
      <c r="N69" s="114"/>
      <c r="O69" s="114"/>
      <c r="P69" s="114"/>
      <c r="Q69" s="114"/>
      <c r="R69" s="114"/>
      <c r="S69" s="114"/>
    </row>
    <row r="70" spans="2:19" x14ac:dyDescent="0.3">
      <c r="B70" s="114"/>
      <c r="C70" s="114"/>
      <c r="D70" s="114"/>
      <c r="E70" s="114"/>
      <c r="F70" s="114"/>
      <c r="G70" s="114"/>
      <c r="H70" s="114"/>
      <c r="I70" s="114"/>
      <c r="J70" s="114"/>
      <c r="K70" s="114"/>
      <c r="L70" s="114"/>
      <c r="M70" s="114"/>
      <c r="N70" s="114"/>
      <c r="O70" s="114"/>
      <c r="P70" s="114"/>
      <c r="Q70" s="114"/>
      <c r="R70" s="114"/>
      <c r="S70" s="114"/>
    </row>
    <row r="71" spans="2:19" x14ac:dyDescent="0.3">
      <c r="B71" s="114"/>
      <c r="C71" s="114"/>
      <c r="D71" s="114"/>
      <c r="E71" s="114"/>
      <c r="F71" s="114"/>
      <c r="G71" s="114"/>
      <c r="H71" s="114"/>
      <c r="I71" s="114"/>
      <c r="J71" s="114"/>
      <c r="K71" s="114"/>
      <c r="L71" s="114"/>
      <c r="M71" s="114"/>
      <c r="N71" s="114"/>
      <c r="O71" s="114"/>
      <c r="P71" s="114"/>
      <c r="Q71" s="114"/>
      <c r="R71" s="114"/>
      <c r="S71" s="114"/>
    </row>
    <row r="72" spans="2:19" x14ac:dyDescent="0.3">
      <c r="B72" s="114"/>
      <c r="C72" s="114"/>
      <c r="D72" s="114"/>
      <c r="E72" s="114"/>
      <c r="F72" s="114"/>
      <c r="G72" s="114"/>
      <c r="H72" s="114"/>
      <c r="I72" s="114"/>
      <c r="J72" s="114"/>
      <c r="K72" s="114"/>
      <c r="L72" s="114"/>
      <c r="M72" s="114"/>
      <c r="N72" s="114"/>
      <c r="O72" s="114"/>
      <c r="P72" s="114"/>
      <c r="Q72" s="114"/>
      <c r="R72" s="114"/>
      <c r="S72" s="114"/>
    </row>
    <row r="73" spans="2:19" x14ac:dyDescent="0.3">
      <c r="B73" s="114"/>
      <c r="C73" s="114"/>
      <c r="D73" s="114"/>
      <c r="E73" s="114"/>
      <c r="F73" s="114"/>
      <c r="G73" s="114"/>
      <c r="H73" s="114"/>
      <c r="I73" s="114"/>
      <c r="J73" s="114"/>
      <c r="K73" s="114"/>
      <c r="L73" s="114"/>
      <c r="M73" s="114"/>
      <c r="N73" s="114"/>
      <c r="O73" s="114"/>
      <c r="P73" s="114"/>
      <c r="Q73" s="114"/>
      <c r="R73" s="114"/>
      <c r="S73" s="114"/>
    </row>
    <row r="74" spans="2:19" x14ac:dyDescent="0.3">
      <c r="B74" s="114"/>
      <c r="C74" s="114"/>
      <c r="D74" s="114"/>
      <c r="E74" s="114"/>
      <c r="F74" s="114"/>
      <c r="G74" s="114"/>
      <c r="H74" s="114"/>
      <c r="I74" s="114"/>
      <c r="J74" s="114"/>
      <c r="K74" s="114"/>
      <c r="L74" s="114"/>
      <c r="M74" s="114"/>
      <c r="N74" s="114"/>
      <c r="O74" s="114"/>
      <c r="P74" s="114"/>
      <c r="Q74" s="114"/>
      <c r="R74" s="114"/>
      <c r="S74" s="114"/>
    </row>
    <row r="75" spans="2:19" x14ac:dyDescent="0.3">
      <c r="B75" s="114"/>
      <c r="C75" s="114"/>
      <c r="D75" s="114"/>
      <c r="E75" s="114"/>
      <c r="F75" s="114"/>
      <c r="G75" s="114"/>
      <c r="H75" s="114"/>
      <c r="I75" s="114"/>
      <c r="J75" s="114"/>
      <c r="K75" s="114"/>
      <c r="L75" s="114"/>
      <c r="M75" s="114"/>
      <c r="N75" s="114"/>
      <c r="O75" s="114"/>
      <c r="P75" s="114"/>
      <c r="Q75" s="114"/>
      <c r="R75" s="114"/>
      <c r="S75" s="114"/>
    </row>
    <row r="76" spans="2:19" x14ac:dyDescent="0.3">
      <c r="B76" s="114"/>
      <c r="C76" s="114"/>
      <c r="D76" s="114"/>
      <c r="E76" s="114"/>
      <c r="F76" s="114"/>
      <c r="G76" s="114"/>
      <c r="H76" s="114"/>
      <c r="I76" s="114"/>
      <c r="J76" s="114"/>
      <c r="K76" s="114"/>
      <c r="L76" s="114"/>
      <c r="M76" s="114"/>
      <c r="N76" s="114"/>
      <c r="O76" s="114"/>
      <c r="P76" s="114"/>
      <c r="Q76" s="114"/>
      <c r="R76" s="114"/>
      <c r="S76" s="114"/>
    </row>
    <row r="77" spans="2:19" x14ac:dyDescent="0.3">
      <c r="B77" s="114"/>
      <c r="C77" s="114"/>
      <c r="D77" s="114"/>
      <c r="E77" s="114"/>
      <c r="F77" s="114"/>
      <c r="G77" s="114"/>
      <c r="H77" s="114"/>
      <c r="I77" s="114"/>
      <c r="J77" s="114"/>
      <c r="K77" s="114"/>
      <c r="L77" s="114"/>
      <c r="M77" s="114"/>
      <c r="N77" s="114"/>
      <c r="O77" s="114"/>
      <c r="P77" s="114"/>
      <c r="Q77" s="114"/>
      <c r="R77" s="114"/>
      <c r="S77" s="114"/>
    </row>
    <row r="78" spans="2:19" x14ac:dyDescent="0.3">
      <c r="B78" s="114"/>
      <c r="C78" s="114"/>
      <c r="D78" s="114"/>
      <c r="E78" s="114"/>
      <c r="F78" s="114"/>
      <c r="G78" s="114"/>
      <c r="H78" s="114"/>
      <c r="I78" s="114"/>
      <c r="J78" s="114"/>
      <c r="K78" s="114"/>
      <c r="L78" s="114"/>
      <c r="M78" s="114"/>
      <c r="N78" s="114"/>
      <c r="O78" s="114"/>
      <c r="P78" s="114"/>
      <c r="Q78" s="114"/>
      <c r="R78" s="114"/>
      <c r="S78" s="114"/>
    </row>
    <row r="79" spans="2:19" x14ac:dyDescent="0.3">
      <c r="B79" s="114"/>
      <c r="C79" s="114"/>
      <c r="D79" s="114"/>
      <c r="E79" s="114"/>
      <c r="F79" s="114"/>
      <c r="G79" s="114"/>
      <c r="H79" s="114"/>
      <c r="I79" s="114"/>
      <c r="J79" s="114"/>
      <c r="K79" s="114"/>
      <c r="L79" s="114"/>
      <c r="M79" s="114"/>
      <c r="N79" s="114"/>
      <c r="O79" s="114"/>
      <c r="P79" s="114"/>
      <c r="Q79" s="114"/>
      <c r="R79" s="114"/>
      <c r="S79" s="114"/>
    </row>
    <row r="80" spans="2:19" ht="24.75" customHeight="1" x14ac:dyDescent="0.3">
      <c r="B80" s="112" t="s">
        <v>439</v>
      </c>
    </row>
    <row r="81" spans="3:18" x14ac:dyDescent="0.3">
      <c r="C81" s="114"/>
      <c r="D81" s="114"/>
      <c r="E81" s="114"/>
      <c r="F81" s="114"/>
      <c r="G81" s="114"/>
      <c r="H81" s="114"/>
      <c r="I81" s="114"/>
      <c r="J81" s="114"/>
      <c r="K81" s="114"/>
      <c r="L81" s="114"/>
      <c r="M81" s="114"/>
      <c r="N81" s="114"/>
      <c r="O81" s="114"/>
      <c r="P81" s="114"/>
      <c r="Q81" s="114"/>
      <c r="R81" s="114"/>
    </row>
    <row r="82" spans="3:18" ht="16.5" x14ac:dyDescent="0.3">
      <c r="C82" s="116" t="s">
        <v>448</v>
      </c>
      <c r="D82" s="114"/>
      <c r="E82" s="114"/>
      <c r="F82" s="114"/>
      <c r="G82" s="114"/>
      <c r="H82" s="114"/>
      <c r="I82" s="114"/>
      <c r="J82" s="114"/>
      <c r="K82" s="114"/>
      <c r="L82" s="114"/>
      <c r="M82" s="114"/>
      <c r="N82" s="114"/>
      <c r="O82" s="114"/>
      <c r="P82" s="114"/>
      <c r="Q82" s="114"/>
      <c r="R82" s="114"/>
    </row>
    <row r="83" spans="3:18" ht="13.5" customHeight="1" x14ac:dyDescent="0.3">
      <c r="D83" s="115" t="s">
        <v>503</v>
      </c>
      <c r="E83" s="114"/>
      <c r="F83" s="114"/>
      <c r="G83" s="114"/>
      <c r="H83" s="114"/>
      <c r="I83" s="114"/>
      <c r="J83" s="114"/>
      <c r="K83" s="114"/>
      <c r="L83" s="114"/>
      <c r="M83" s="114"/>
      <c r="N83" s="114"/>
      <c r="O83" s="114"/>
      <c r="P83" s="114"/>
      <c r="Q83" s="114"/>
      <c r="R83" s="114"/>
    </row>
    <row r="84" spans="3:18" ht="13.5" customHeight="1" x14ac:dyDescent="0.3">
      <c r="C84" s="114"/>
      <c r="D84" s="115" t="s">
        <v>504</v>
      </c>
      <c r="E84" s="114"/>
      <c r="F84" s="114"/>
      <c r="G84" s="114"/>
      <c r="H84" s="114"/>
      <c r="I84" s="114"/>
      <c r="J84" s="114"/>
      <c r="K84" s="114"/>
      <c r="L84" s="114"/>
      <c r="M84" s="114"/>
      <c r="N84" s="114"/>
      <c r="O84" s="114"/>
      <c r="P84" s="114"/>
      <c r="Q84" s="114"/>
      <c r="R84" s="114"/>
    </row>
    <row r="85" spans="3:18" ht="13.5" customHeight="1" x14ac:dyDescent="0.3">
      <c r="C85" s="114"/>
      <c r="D85" s="115"/>
      <c r="E85" s="114"/>
      <c r="F85" s="114"/>
      <c r="G85" s="114"/>
      <c r="H85" s="114"/>
      <c r="I85" s="114"/>
      <c r="J85" s="114"/>
      <c r="K85" s="114"/>
      <c r="L85" s="114"/>
      <c r="M85" s="114"/>
      <c r="N85" s="114"/>
      <c r="O85" s="114"/>
      <c r="P85" s="114"/>
      <c r="Q85" s="114"/>
      <c r="R85" s="114"/>
    </row>
    <row r="86" spans="3:18" ht="13.5" customHeight="1" x14ac:dyDescent="0.3">
      <c r="C86" s="114"/>
      <c r="D86" s="115"/>
      <c r="E86" s="114"/>
      <c r="F86" s="114"/>
      <c r="G86" s="114"/>
      <c r="H86" s="114"/>
      <c r="I86" s="114"/>
      <c r="J86" s="114"/>
      <c r="K86" s="114"/>
      <c r="L86" s="114"/>
      <c r="M86" s="114"/>
      <c r="N86" s="114"/>
      <c r="O86" s="114"/>
      <c r="P86" s="114"/>
      <c r="Q86" s="114"/>
      <c r="R86" s="114"/>
    </row>
    <row r="87" spans="3:18" x14ac:dyDescent="0.3">
      <c r="C87" s="114"/>
      <c r="D87" s="114"/>
      <c r="E87" s="114"/>
      <c r="F87" s="114"/>
      <c r="G87" s="114"/>
      <c r="H87" s="114"/>
      <c r="I87" s="114"/>
      <c r="J87" s="114"/>
      <c r="K87" s="114"/>
      <c r="L87" s="114"/>
      <c r="M87" s="114"/>
      <c r="N87" s="114"/>
      <c r="O87" s="114"/>
      <c r="P87" s="114"/>
      <c r="Q87" s="114"/>
      <c r="R87" s="114"/>
    </row>
    <row r="88" spans="3:18" x14ac:dyDescent="0.3">
      <c r="C88" s="114"/>
      <c r="D88" s="114"/>
      <c r="E88" s="114"/>
      <c r="F88" s="114"/>
      <c r="G88" s="114"/>
      <c r="H88" s="114"/>
      <c r="I88" s="114"/>
      <c r="J88" s="114"/>
      <c r="K88" s="114"/>
      <c r="L88" s="114"/>
      <c r="M88" s="114"/>
      <c r="N88" s="114"/>
      <c r="O88" s="114"/>
      <c r="P88" s="114"/>
      <c r="Q88" s="114"/>
      <c r="R88" s="114"/>
    </row>
    <row r="89" spans="3:18" x14ac:dyDescent="0.3">
      <c r="C89" s="114"/>
      <c r="D89" s="114"/>
      <c r="E89" s="114"/>
      <c r="F89" s="114"/>
      <c r="G89" s="114"/>
      <c r="H89" s="114"/>
      <c r="I89" s="114"/>
      <c r="J89" s="114"/>
      <c r="K89" s="114"/>
      <c r="L89" s="114"/>
      <c r="M89" s="114"/>
      <c r="N89" s="114"/>
      <c r="O89" s="114"/>
      <c r="P89" s="114"/>
      <c r="Q89" s="114"/>
      <c r="R89" s="114"/>
    </row>
    <row r="90" spans="3:18" x14ac:dyDescent="0.3">
      <c r="C90" s="114"/>
      <c r="D90" s="114"/>
      <c r="E90" s="114"/>
      <c r="F90" s="114"/>
      <c r="G90" s="114"/>
      <c r="H90" s="114"/>
      <c r="I90" s="114"/>
      <c r="J90" s="114"/>
      <c r="K90" s="114"/>
      <c r="L90" s="114"/>
      <c r="M90" s="114"/>
      <c r="N90" s="114"/>
      <c r="O90" s="114"/>
      <c r="P90" s="114"/>
      <c r="Q90" s="114"/>
      <c r="R90" s="114"/>
    </row>
    <row r="91" spans="3:18" x14ac:dyDescent="0.3">
      <c r="C91" s="114"/>
      <c r="D91" s="114"/>
      <c r="E91" s="114"/>
      <c r="F91" s="114"/>
      <c r="G91" s="114"/>
      <c r="H91" s="114"/>
      <c r="I91" s="114"/>
      <c r="J91" s="114"/>
      <c r="K91" s="114"/>
      <c r="L91" s="114"/>
      <c r="M91" s="114"/>
      <c r="N91" s="114"/>
      <c r="O91" s="114"/>
      <c r="P91" s="114"/>
      <c r="Q91" s="114"/>
      <c r="R91" s="114"/>
    </row>
    <row r="92" spans="3:18" x14ac:dyDescent="0.3">
      <c r="C92" s="114"/>
      <c r="D92" s="114"/>
      <c r="E92" s="114"/>
      <c r="F92" s="114"/>
      <c r="G92" s="114"/>
      <c r="H92" s="114"/>
      <c r="I92" s="114"/>
      <c r="J92" s="114"/>
      <c r="K92" s="114"/>
      <c r="L92" s="114"/>
      <c r="M92" s="114"/>
      <c r="N92" s="114"/>
      <c r="O92" s="114"/>
      <c r="P92" s="114"/>
      <c r="Q92" s="114"/>
      <c r="R92" s="114"/>
    </row>
    <row r="93" spans="3:18" x14ac:dyDescent="0.3">
      <c r="C93" s="114"/>
      <c r="D93" s="114"/>
      <c r="E93" s="114"/>
      <c r="F93" s="114"/>
      <c r="G93" s="114"/>
      <c r="H93" s="114"/>
      <c r="I93" s="114"/>
      <c r="J93" s="114"/>
      <c r="K93" s="114"/>
      <c r="L93" s="114"/>
      <c r="M93" s="114"/>
      <c r="N93" s="114"/>
      <c r="O93" s="114"/>
      <c r="P93" s="114"/>
      <c r="Q93" s="114"/>
      <c r="R93" s="114"/>
    </row>
    <row r="94" spans="3:18" x14ac:dyDescent="0.3">
      <c r="C94" s="114"/>
      <c r="D94" s="114"/>
      <c r="E94" s="114"/>
      <c r="F94" s="114"/>
      <c r="G94" s="114"/>
      <c r="H94" s="114"/>
      <c r="I94" s="114"/>
      <c r="J94" s="114"/>
      <c r="K94" s="114"/>
      <c r="L94" s="114"/>
      <c r="M94" s="114"/>
      <c r="N94" s="114"/>
      <c r="O94" s="114"/>
      <c r="P94" s="114"/>
      <c r="Q94" s="114"/>
      <c r="R94" s="114"/>
    </row>
    <row r="95" spans="3:18" x14ac:dyDescent="0.3">
      <c r="C95" s="114"/>
      <c r="D95" s="114"/>
      <c r="E95" s="114"/>
      <c r="F95" s="114"/>
      <c r="G95" s="114"/>
      <c r="H95" s="114"/>
      <c r="I95" s="114"/>
      <c r="J95" s="114"/>
      <c r="K95" s="114"/>
      <c r="L95" s="114"/>
      <c r="M95" s="114"/>
      <c r="N95" s="114"/>
      <c r="O95" s="114"/>
      <c r="P95" s="114"/>
      <c r="Q95" s="114"/>
      <c r="R95" s="114"/>
    </row>
    <row r="96" spans="3:18" x14ac:dyDescent="0.3">
      <c r="C96" s="114"/>
      <c r="D96" s="114"/>
      <c r="E96" s="114"/>
      <c r="F96" s="114"/>
      <c r="G96" s="114"/>
      <c r="H96" s="114"/>
      <c r="I96" s="114"/>
      <c r="J96" s="114"/>
      <c r="K96" s="114"/>
      <c r="L96" s="114"/>
      <c r="M96" s="114"/>
      <c r="N96" s="114"/>
      <c r="O96" s="114"/>
      <c r="P96" s="114"/>
      <c r="Q96" s="114"/>
      <c r="R96" s="114"/>
    </row>
    <row r="97" spans="3:18" x14ac:dyDescent="0.3">
      <c r="C97" s="114"/>
      <c r="D97" s="114"/>
      <c r="E97" s="114"/>
      <c r="F97" s="114"/>
      <c r="G97" s="114"/>
      <c r="H97" s="114"/>
      <c r="I97" s="114"/>
      <c r="J97" s="114"/>
      <c r="K97" s="114"/>
      <c r="L97" s="114"/>
      <c r="M97" s="114"/>
      <c r="N97" s="114"/>
      <c r="O97" s="114"/>
      <c r="P97" s="114"/>
      <c r="Q97" s="114"/>
      <c r="R97" s="114"/>
    </row>
    <row r="98" spans="3:18" x14ac:dyDescent="0.3">
      <c r="C98" s="114"/>
      <c r="D98" s="114"/>
      <c r="E98" s="114"/>
      <c r="F98" s="114"/>
      <c r="G98" s="114"/>
      <c r="H98" s="114"/>
      <c r="I98" s="114"/>
      <c r="J98" s="114"/>
      <c r="K98" s="114"/>
      <c r="L98" s="114"/>
      <c r="M98" s="114"/>
      <c r="N98" s="114"/>
      <c r="O98" s="114"/>
      <c r="P98" s="114"/>
      <c r="Q98" s="114"/>
      <c r="R98" s="114"/>
    </row>
    <row r="99" spans="3:18" x14ac:dyDescent="0.3">
      <c r="C99" s="114"/>
      <c r="D99" s="114"/>
      <c r="E99" s="114"/>
      <c r="F99" s="114"/>
      <c r="G99" s="114"/>
      <c r="H99" s="114"/>
      <c r="I99" s="114"/>
      <c r="J99" s="114"/>
      <c r="K99" s="114"/>
      <c r="L99" s="114"/>
      <c r="M99" s="114"/>
      <c r="N99" s="114"/>
      <c r="O99" s="114"/>
      <c r="P99" s="114"/>
      <c r="Q99" s="114"/>
      <c r="R99" s="114"/>
    </row>
    <row r="100" spans="3:18" x14ac:dyDescent="0.3">
      <c r="C100" s="114"/>
      <c r="D100" s="114"/>
      <c r="E100" s="114"/>
      <c r="F100" s="114"/>
      <c r="G100" s="114"/>
      <c r="H100" s="114"/>
      <c r="I100" s="114"/>
      <c r="J100" s="114"/>
      <c r="K100" s="114"/>
      <c r="L100" s="114"/>
      <c r="M100" s="114"/>
      <c r="N100" s="114"/>
      <c r="O100" s="114"/>
      <c r="P100" s="114"/>
      <c r="Q100" s="114"/>
      <c r="R100" s="114"/>
    </row>
    <row r="101" spans="3:18" x14ac:dyDescent="0.3">
      <c r="C101" s="114"/>
      <c r="D101" s="114"/>
      <c r="E101" s="114"/>
      <c r="F101" s="114"/>
      <c r="G101" s="114"/>
      <c r="H101" s="114"/>
      <c r="I101" s="114"/>
      <c r="J101" s="114"/>
      <c r="K101" s="114"/>
      <c r="L101" s="114"/>
      <c r="M101" s="114"/>
      <c r="N101" s="114"/>
      <c r="O101" s="114"/>
      <c r="P101" s="114"/>
      <c r="Q101" s="114"/>
      <c r="R101" s="114"/>
    </row>
    <row r="102" spans="3:18" x14ac:dyDescent="0.3">
      <c r="C102" s="114"/>
      <c r="D102" s="114"/>
      <c r="E102" s="114"/>
      <c r="F102" s="114"/>
      <c r="G102" s="114"/>
      <c r="H102" s="114"/>
      <c r="I102" s="114"/>
      <c r="J102" s="114"/>
      <c r="K102" s="114"/>
      <c r="L102" s="114"/>
      <c r="M102" s="114"/>
      <c r="N102" s="114"/>
      <c r="O102" s="114"/>
      <c r="P102" s="114"/>
      <c r="Q102" s="114"/>
      <c r="R102" s="114"/>
    </row>
    <row r="103" spans="3:18" x14ac:dyDescent="0.3">
      <c r="C103" s="114"/>
      <c r="D103" s="114"/>
      <c r="E103" s="114"/>
      <c r="F103" s="114"/>
      <c r="G103" s="114"/>
      <c r="H103" s="114"/>
      <c r="I103" s="114"/>
      <c r="J103" s="114"/>
      <c r="K103" s="114"/>
      <c r="L103" s="114"/>
      <c r="M103" s="114"/>
      <c r="N103" s="114"/>
      <c r="O103" s="114"/>
      <c r="P103" s="114"/>
      <c r="Q103" s="114"/>
      <c r="R103" s="114"/>
    </row>
    <row r="104" spans="3:18" x14ac:dyDescent="0.3">
      <c r="C104" s="114"/>
      <c r="D104" s="114"/>
      <c r="E104" s="114"/>
      <c r="F104" s="114"/>
      <c r="G104" s="114"/>
      <c r="H104" s="114"/>
      <c r="I104" s="114"/>
      <c r="J104" s="114"/>
      <c r="K104" s="114"/>
      <c r="L104" s="114"/>
      <c r="M104" s="114"/>
      <c r="N104" s="114"/>
      <c r="O104" s="114"/>
      <c r="P104" s="114"/>
      <c r="Q104" s="114"/>
      <c r="R104" s="114"/>
    </row>
    <row r="105" spans="3:18" x14ac:dyDescent="0.3">
      <c r="C105" s="114"/>
      <c r="D105" s="114"/>
      <c r="E105" s="114"/>
      <c r="F105" s="114"/>
      <c r="G105" s="114"/>
      <c r="H105" s="114"/>
      <c r="I105" s="114"/>
      <c r="J105" s="114"/>
      <c r="K105" s="114"/>
      <c r="L105" s="114"/>
      <c r="M105" s="114"/>
      <c r="N105" s="114"/>
      <c r="O105" s="114"/>
      <c r="P105" s="114"/>
      <c r="Q105" s="114"/>
      <c r="R105" s="114"/>
    </row>
    <row r="106" spans="3:18" x14ac:dyDescent="0.3">
      <c r="C106" s="114"/>
      <c r="D106" s="114"/>
      <c r="E106" s="114"/>
      <c r="F106" s="114"/>
      <c r="G106" s="114"/>
      <c r="H106" s="114"/>
      <c r="I106" s="114"/>
      <c r="J106" s="114"/>
      <c r="K106" s="114"/>
      <c r="L106" s="114"/>
      <c r="M106" s="114"/>
      <c r="N106" s="114"/>
      <c r="O106" s="114"/>
      <c r="P106" s="114"/>
      <c r="Q106" s="114"/>
      <c r="R106" s="114"/>
    </row>
    <row r="107" spans="3:18" x14ac:dyDescent="0.3">
      <c r="C107" s="114"/>
      <c r="D107" s="114"/>
      <c r="E107" s="114"/>
      <c r="F107" s="114"/>
      <c r="G107" s="114"/>
      <c r="H107" s="114"/>
      <c r="I107" s="114"/>
      <c r="J107" s="114"/>
      <c r="K107" s="114"/>
      <c r="L107" s="114"/>
      <c r="M107" s="114"/>
      <c r="N107" s="114"/>
      <c r="O107" s="114"/>
      <c r="P107" s="114"/>
      <c r="Q107" s="114"/>
      <c r="R107" s="114"/>
    </row>
    <row r="108" spans="3:18" x14ac:dyDescent="0.3">
      <c r="C108" s="114"/>
      <c r="D108" s="114"/>
      <c r="E108" s="114"/>
      <c r="F108" s="114"/>
      <c r="G108" s="114"/>
      <c r="H108" s="114"/>
      <c r="I108" s="114"/>
      <c r="J108" s="114"/>
      <c r="K108" s="114"/>
      <c r="L108" s="114"/>
      <c r="M108" s="114"/>
      <c r="N108" s="114"/>
      <c r="O108" s="114"/>
      <c r="P108" s="114"/>
      <c r="Q108" s="114"/>
      <c r="R108" s="114"/>
    </row>
    <row r="109" spans="3:18" x14ac:dyDescent="0.3">
      <c r="C109" s="114"/>
      <c r="D109" s="114"/>
      <c r="E109" s="114"/>
      <c r="F109" s="114"/>
      <c r="G109" s="114"/>
      <c r="H109" s="114"/>
      <c r="I109" s="114"/>
      <c r="J109" s="114"/>
      <c r="K109" s="114"/>
      <c r="L109" s="114"/>
      <c r="M109" s="114"/>
      <c r="N109" s="114"/>
      <c r="O109" s="114"/>
      <c r="P109" s="114"/>
      <c r="Q109" s="114"/>
      <c r="R109" s="114"/>
    </row>
    <row r="110" spans="3:18" x14ac:dyDescent="0.3">
      <c r="C110" s="114"/>
      <c r="D110" s="114"/>
      <c r="E110" s="114"/>
      <c r="F110" s="114"/>
      <c r="G110" s="114"/>
      <c r="H110" s="114"/>
      <c r="I110" s="114"/>
      <c r="J110" s="114"/>
      <c r="K110" s="114"/>
      <c r="L110" s="114"/>
      <c r="M110" s="114"/>
      <c r="N110" s="114"/>
      <c r="O110" s="114"/>
      <c r="P110" s="114"/>
      <c r="Q110" s="114"/>
      <c r="R110" s="114"/>
    </row>
    <row r="111" spans="3:18" x14ac:dyDescent="0.3">
      <c r="C111" s="114"/>
      <c r="D111" s="114"/>
      <c r="E111" s="114"/>
      <c r="F111" s="114"/>
      <c r="G111" s="114"/>
      <c r="H111" s="114"/>
      <c r="I111" s="114"/>
      <c r="J111" s="114"/>
      <c r="K111" s="114"/>
      <c r="L111" s="114"/>
      <c r="M111" s="114"/>
      <c r="N111" s="114"/>
      <c r="O111" s="114"/>
      <c r="P111" s="114"/>
      <c r="Q111" s="114"/>
      <c r="R111" s="114"/>
    </row>
    <row r="112" spans="3:18" x14ac:dyDescent="0.3">
      <c r="C112" s="114"/>
      <c r="D112" s="114"/>
      <c r="E112" s="114"/>
      <c r="F112" s="114"/>
      <c r="G112" s="114"/>
      <c r="H112" s="114"/>
      <c r="I112" s="114"/>
      <c r="J112" s="114"/>
      <c r="K112" s="114"/>
      <c r="L112" s="114"/>
      <c r="M112" s="114"/>
      <c r="N112" s="114"/>
      <c r="O112" s="114"/>
      <c r="P112" s="114"/>
      <c r="Q112" s="114"/>
      <c r="R112" s="114"/>
    </row>
    <row r="113" spans="3:18" x14ac:dyDescent="0.3">
      <c r="C113" s="114"/>
      <c r="D113" s="114"/>
      <c r="E113" s="114"/>
      <c r="F113" s="114"/>
      <c r="G113" s="114"/>
      <c r="H113" s="114"/>
      <c r="I113" s="114"/>
      <c r="J113" s="114"/>
      <c r="K113" s="114"/>
      <c r="L113" s="114"/>
      <c r="M113" s="114"/>
      <c r="N113" s="114"/>
      <c r="O113" s="114"/>
      <c r="P113" s="114"/>
      <c r="Q113" s="114"/>
      <c r="R113" s="114"/>
    </row>
    <row r="114" spans="3:18" x14ac:dyDescent="0.3">
      <c r="C114" s="114"/>
      <c r="D114" s="114"/>
      <c r="E114" s="114"/>
      <c r="F114" s="114"/>
      <c r="G114" s="114"/>
      <c r="H114" s="114"/>
      <c r="I114" s="114"/>
      <c r="J114" s="114"/>
      <c r="K114" s="114"/>
      <c r="L114" s="114"/>
      <c r="M114" s="114"/>
      <c r="N114" s="114"/>
      <c r="O114" s="114"/>
      <c r="P114" s="114"/>
      <c r="Q114" s="114"/>
      <c r="R114" s="114"/>
    </row>
    <row r="115" spans="3:18" x14ac:dyDescent="0.3">
      <c r="C115" s="114"/>
      <c r="D115" s="114"/>
      <c r="E115" s="114"/>
      <c r="F115" s="114"/>
      <c r="G115" s="114"/>
      <c r="H115" s="114"/>
      <c r="I115" s="114"/>
      <c r="J115" s="114"/>
      <c r="K115" s="114"/>
      <c r="L115" s="114"/>
      <c r="M115" s="114"/>
      <c r="N115" s="114"/>
      <c r="O115" s="114"/>
      <c r="P115" s="114"/>
      <c r="Q115" s="114"/>
      <c r="R115" s="114"/>
    </row>
    <row r="116" spans="3:18" x14ac:dyDescent="0.3">
      <c r="C116" s="114"/>
      <c r="D116" s="114"/>
      <c r="E116" s="114"/>
      <c r="F116" s="114"/>
      <c r="G116" s="114"/>
      <c r="H116" s="114"/>
      <c r="I116" s="114"/>
      <c r="J116" s="114"/>
      <c r="K116" s="114"/>
      <c r="L116" s="114"/>
      <c r="M116" s="114"/>
      <c r="N116" s="114"/>
      <c r="O116" s="114"/>
      <c r="P116" s="114"/>
      <c r="Q116" s="114"/>
      <c r="R116" s="114"/>
    </row>
    <row r="117" spans="3:18" ht="16.5" x14ac:dyDescent="0.3">
      <c r="C117" s="116" t="s">
        <v>452</v>
      </c>
      <c r="D117" s="114"/>
      <c r="E117" s="114"/>
      <c r="F117" s="114"/>
      <c r="G117" s="114"/>
      <c r="H117" s="114"/>
      <c r="I117" s="114"/>
      <c r="J117" s="114"/>
      <c r="K117" s="114"/>
      <c r="L117" s="114"/>
      <c r="M117" s="114"/>
      <c r="N117" s="114"/>
      <c r="O117" s="114"/>
      <c r="P117" s="114"/>
      <c r="Q117" s="114"/>
      <c r="R117" s="114"/>
    </row>
    <row r="118" spans="3:18" customFormat="1" ht="16.5" x14ac:dyDescent="0.3">
      <c r="C118" s="111"/>
      <c r="D118" s="125" t="s">
        <v>450</v>
      </c>
    </row>
    <row r="119" spans="3:18" customFormat="1" ht="16.5" x14ac:dyDescent="0.3">
      <c r="C119" s="111"/>
      <c r="D119" s="125" t="s">
        <v>451</v>
      </c>
    </row>
    <row r="120" spans="3:18" customFormat="1" ht="16.5" x14ac:dyDescent="0.3"/>
    <row r="121" spans="3:18" customFormat="1" ht="16.5" x14ac:dyDescent="0.3"/>
    <row r="122" spans="3:18" customFormat="1" ht="16.5" x14ac:dyDescent="0.3"/>
    <row r="123" spans="3:18" customFormat="1" ht="16.5" x14ac:dyDescent="0.3"/>
    <row r="124" spans="3:18" customFormat="1" ht="16.5" x14ac:dyDescent="0.3"/>
    <row r="125" spans="3:18" customFormat="1" ht="16.5" x14ac:dyDescent="0.3"/>
    <row r="126" spans="3:18" customFormat="1" ht="16.5" x14ac:dyDescent="0.3"/>
    <row r="127" spans="3:18" customFormat="1" ht="16.5" x14ac:dyDescent="0.3"/>
    <row r="128" spans="3:18" customFormat="1" ht="16.5" x14ac:dyDescent="0.3"/>
    <row r="129" spans="3:18" customFormat="1" ht="16.5" x14ac:dyDescent="0.3"/>
    <row r="130" spans="3:18" customFormat="1" ht="16.5" x14ac:dyDescent="0.3"/>
    <row r="131" spans="3:18" customFormat="1" ht="16.5" x14ac:dyDescent="0.3"/>
    <row r="132" spans="3:18" customFormat="1" ht="16.5" x14ac:dyDescent="0.3"/>
    <row r="133" spans="3:18" customFormat="1" ht="16.5" x14ac:dyDescent="0.3"/>
    <row r="134" spans="3:18" customFormat="1" ht="16.5" x14ac:dyDescent="0.3"/>
    <row r="135" spans="3:18" customFormat="1" ht="16.5" x14ac:dyDescent="0.3"/>
    <row r="136" spans="3:18" customFormat="1" ht="16.5" x14ac:dyDescent="0.3"/>
    <row r="137" spans="3:18" customFormat="1" ht="16.5" x14ac:dyDescent="0.3"/>
    <row r="138" spans="3:18" x14ac:dyDescent="0.3">
      <c r="C138" s="114"/>
      <c r="D138" s="114"/>
      <c r="E138" s="114"/>
      <c r="F138" s="114"/>
      <c r="G138" s="114"/>
      <c r="H138" s="114"/>
      <c r="I138" s="114"/>
      <c r="J138" s="114"/>
      <c r="K138" s="114"/>
      <c r="L138" s="114"/>
      <c r="M138" s="114"/>
      <c r="N138" s="114"/>
      <c r="O138" s="114"/>
      <c r="P138" s="114"/>
      <c r="Q138" s="114"/>
      <c r="R138" s="114"/>
    </row>
    <row r="139" spans="3:18" x14ac:dyDescent="0.3">
      <c r="C139" s="114"/>
      <c r="D139" s="114"/>
      <c r="E139" s="114"/>
      <c r="F139" s="114"/>
      <c r="G139" s="114"/>
      <c r="H139" s="114"/>
      <c r="I139" s="114"/>
      <c r="J139" s="114"/>
      <c r="K139" s="114"/>
      <c r="L139" s="114"/>
      <c r="M139" s="114"/>
      <c r="N139" s="114"/>
      <c r="O139" s="114"/>
      <c r="P139" s="114"/>
      <c r="Q139" s="114"/>
      <c r="R139" s="114"/>
    </row>
    <row r="140" spans="3:18" ht="16.5" x14ac:dyDescent="0.3">
      <c r="C140" s="116" t="s">
        <v>505</v>
      </c>
      <c r="D140" s="114"/>
      <c r="E140" s="114"/>
      <c r="F140" s="114"/>
      <c r="G140" s="114"/>
      <c r="H140" s="114"/>
      <c r="I140" s="114"/>
      <c r="J140" s="114"/>
      <c r="K140" s="114"/>
      <c r="L140" s="114"/>
      <c r="M140" s="114"/>
      <c r="N140" s="114"/>
      <c r="O140" s="114"/>
      <c r="P140" s="114"/>
      <c r="Q140" s="114"/>
      <c r="R140" s="114"/>
    </row>
    <row r="141" spans="3:18" x14ac:dyDescent="0.3">
      <c r="D141" s="115" t="s">
        <v>453</v>
      </c>
      <c r="E141" s="114"/>
      <c r="F141" s="114"/>
      <c r="G141" s="114"/>
      <c r="H141" s="114"/>
      <c r="I141" s="114"/>
      <c r="J141" s="114"/>
      <c r="K141" s="114"/>
      <c r="L141" s="114"/>
      <c r="M141" s="114"/>
      <c r="N141" s="114"/>
      <c r="O141" s="114"/>
      <c r="P141" s="114"/>
      <c r="Q141" s="114"/>
      <c r="R141" s="114"/>
    </row>
    <row r="142" spans="3:18" x14ac:dyDescent="0.3">
      <c r="C142" s="114"/>
      <c r="D142" s="114" t="s">
        <v>454</v>
      </c>
      <c r="E142" s="114"/>
      <c r="F142" s="114"/>
      <c r="G142" s="114"/>
      <c r="H142" s="114"/>
      <c r="I142" s="114"/>
      <c r="J142" s="114"/>
      <c r="K142" s="114"/>
      <c r="L142" s="114"/>
      <c r="M142" s="114"/>
      <c r="N142" s="114"/>
      <c r="O142" s="114"/>
      <c r="P142" s="114"/>
      <c r="Q142" s="114"/>
      <c r="R142" s="114"/>
    </row>
    <row r="143" spans="3:18" x14ac:dyDescent="0.3">
      <c r="C143" s="114"/>
      <c r="D143" s="114" t="s">
        <v>506</v>
      </c>
      <c r="E143" s="114"/>
      <c r="F143" s="114"/>
      <c r="G143" s="114"/>
      <c r="H143" s="114"/>
      <c r="I143" s="114"/>
      <c r="J143" s="114"/>
      <c r="K143" s="114"/>
      <c r="L143" s="114"/>
      <c r="M143" s="114"/>
      <c r="N143" s="114"/>
      <c r="O143" s="114"/>
      <c r="P143" s="114"/>
      <c r="Q143" s="114"/>
      <c r="R143" s="114"/>
    </row>
    <row r="144" spans="3:18" x14ac:dyDescent="0.3">
      <c r="C144" s="114"/>
      <c r="D144" s="114"/>
      <c r="E144" s="114"/>
      <c r="F144" s="114"/>
      <c r="G144" s="114"/>
      <c r="H144" s="114"/>
      <c r="I144" s="114"/>
      <c r="J144" s="114"/>
      <c r="K144" s="114"/>
      <c r="L144" s="114"/>
      <c r="M144" s="114"/>
      <c r="N144" s="114"/>
      <c r="O144" s="114"/>
      <c r="P144" s="114"/>
      <c r="Q144" s="114"/>
      <c r="R144" s="114"/>
    </row>
    <row r="145" spans="3:18" x14ac:dyDescent="0.3">
      <c r="C145" s="114"/>
      <c r="D145" s="114"/>
      <c r="E145" s="114"/>
      <c r="F145" s="114"/>
      <c r="G145" s="114"/>
      <c r="H145" s="114"/>
      <c r="I145" s="114"/>
      <c r="J145" s="114"/>
      <c r="K145" s="114"/>
      <c r="L145" s="114"/>
      <c r="M145" s="114"/>
      <c r="N145" s="114"/>
      <c r="O145" s="114"/>
      <c r="P145" s="114"/>
      <c r="Q145" s="114"/>
      <c r="R145" s="114"/>
    </row>
    <row r="146" spans="3:18" x14ac:dyDescent="0.3">
      <c r="C146" s="114"/>
      <c r="D146" s="114"/>
      <c r="E146" s="114"/>
      <c r="F146" s="114"/>
      <c r="G146" s="114"/>
      <c r="H146" s="114"/>
      <c r="I146" s="114"/>
      <c r="J146" s="114"/>
      <c r="K146" s="114"/>
      <c r="L146" s="114"/>
      <c r="M146" s="114"/>
      <c r="N146" s="114"/>
      <c r="O146" s="114"/>
      <c r="P146" s="114"/>
      <c r="Q146" s="114"/>
      <c r="R146" s="114"/>
    </row>
    <row r="147" spans="3:18" x14ac:dyDescent="0.3">
      <c r="C147" s="114"/>
      <c r="D147" s="114"/>
      <c r="E147" s="114"/>
      <c r="F147" s="114"/>
      <c r="G147" s="114"/>
      <c r="H147" s="114"/>
      <c r="I147" s="114"/>
      <c r="J147" s="114"/>
      <c r="K147" s="114"/>
      <c r="L147" s="114"/>
      <c r="M147" s="114"/>
      <c r="N147" s="114"/>
      <c r="O147" s="114"/>
      <c r="P147" s="114"/>
      <c r="Q147" s="114"/>
      <c r="R147" s="114"/>
    </row>
    <row r="148" spans="3:18" x14ac:dyDescent="0.3">
      <c r="C148" s="114"/>
      <c r="D148" s="114"/>
      <c r="E148" s="114"/>
      <c r="F148" s="114"/>
      <c r="G148" s="114"/>
      <c r="H148" s="114"/>
      <c r="I148" s="114"/>
      <c r="J148" s="114"/>
      <c r="K148" s="114"/>
      <c r="L148" s="114"/>
      <c r="M148" s="114"/>
      <c r="N148" s="114"/>
      <c r="O148" s="114"/>
      <c r="P148" s="114"/>
      <c r="Q148" s="114"/>
      <c r="R148" s="114"/>
    </row>
    <row r="149" spans="3:18" x14ac:dyDescent="0.3">
      <c r="C149" s="114"/>
      <c r="D149" s="114"/>
      <c r="E149" s="114"/>
      <c r="F149" s="114"/>
      <c r="G149" s="114"/>
      <c r="H149" s="114"/>
      <c r="I149" s="114"/>
      <c r="J149" s="114"/>
      <c r="K149" s="114"/>
      <c r="L149" s="114"/>
      <c r="M149" s="114"/>
      <c r="N149" s="114"/>
      <c r="O149" s="114"/>
      <c r="P149" s="114"/>
      <c r="Q149" s="114"/>
      <c r="R149" s="114"/>
    </row>
    <row r="150" spans="3:18" x14ac:dyDescent="0.3">
      <c r="C150" s="114"/>
      <c r="D150" s="114"/>
      <c r="E150" s="114"/>
      <c r="F150" s="114"/>
      <c r="G150" s="114"/>
      <c r="H150" s="114"/>
      <c r="I150" s="114"/>
      <c r="J150" s="114"/>
      <c r="K150" s="114"/>
      <c r="L150" s="114"/>
      <c r="M150" s="114"/>
      <c r="N150" s="114"/>
      <c r="O150" s="114"/>
      <c r="P150" s="114"/>
      <c r="Q150" s="114"/>
      <c r="R150" s="114"/>
    </row>
    <row r="151" spans="3:18" x14ac:dyDescent="0.3">
      <c r="C151" s="114"/>
      <c r="D151" s="114"/>
      <c r="E151" s="114"/>
      <c r="F151" s="114"/>
      <c r="G151" s="114"/>
      <c r="H151" s="114"/>
      <c r="I151" s="114"/>
      <c r="J151" s="114"/>
      <c r="K151" s="114"/>
      <c r="L151" s="114"/>
      <c r="M151" s="114"/>
      <c r="N151" s="114"/>
      <c r="O151" s="114"/>
      <c r="P151" s="114"/>
      <c r="Q151" s="114"/>
      <c r="R151" s="114"/>
    </row>
    <row r="152" spans="3:18" x14ac:dyDescent="0.3">
      <c r="C152" s="114"/>
      <c r="D152" s="114"/>
      <c r="E152" s="114"/>
      <c r="F152" s="114"/>
      <c r="G152" s="114"/>
      <c r="H152" s="114"/>
      <c r="I152" s="114"/>
      <c r="J152" s="114"/>
      <c r="K152" s="114"/>
      <c r="L152" s="114"/>
      <c r="M152" s="114"/>
      <c r="N152" s="114"/>
      <c r="O152" s="114"/>
      <c r="P152" s="114"/>
      <c r="Q152" s="114"/>
      <c r="R152" s="114"/>
    </row>
    <row r="153" spans="3:18" x14ac:dyDescent="0.3">
      <c r="C153" s="114"/>
      <c r="D153" s="114"/>
      <c r="E153" s="114"/>
      <c r="F153" s="114"/>
      <c r="G153" s="114"/>
      <c r="H153" s="114"/>
      <c r="I153" s="114"/>
      <c r="J153" s="114"/>
      <c r="K153" s="114"/>
      <c r="L153" s="114"/>
      <c r="M153" s="114"/>
      <c r="N153" s="114"/>
      <c r="O153" s="114"/>
      <c r="P153" s="114"/>
      <c r="Q153" s="114"/>
      <c r="R153" s="114"/>
    </row>
    <row r="154" spans="3:18" x14ac:dyDescent="0.3">
      <c r="C154" s="114"/>
      <c r="D154" s="114"/>
      <c r="E154" s="114"/>
      <c r="F154" s="114"/>
      <c r="G154" s="114"/>
      <c r="H154" s="114"/>
      <c r="I154" s="114"/>
      <c r="J154" s="114"/>
      <c r="K154" s="114"/>
      <c r="L154" s="114"/>
      <c r="M154" s="114"/>
      <c r="N154" s="114"/>
      <c r="O154" s="114"/>
      <c r="P154" s="114"/>
      <c r="Q154" s="114"/>
      <c r="R154" s="114"/>
    </row>
    <row r="155" spans="3:18" x14ac:dyDescent="0.3">
      <c r="C155" s="114"/>
      <c r="D155" s="114"/>
      <c r="E155" s="114"/>
      <c r="F155" s="114"/>
      <c r="G155" s="114"/>
      <c r="H155" s="114"/>
      <c r="I155" s="114"/>
      <c r="J155" s="114"/>
      <c r="K155" s="114"/>
      <c r="L155" s="114"/>
      <c r="M155" s="114"/>
      <c r="N155" s="114"/>
      <c r="O155" s="114"/>
      <c r="P155" s="114"/>
      <c r="Q155" s="114"/>
      <c r="R155" s="114"/>
    </row>
    <row r="156" spans="3:18" x14ac:dyDescent="0.3">
      <c r="C156" s="114"/>
      <c r="D156" s="114"/>
      <c r="E156" s="114"/>
      <c r="F156" s="114"/>
      <c r="G156" s="114"/>
      <c r="H156" s="114"/>
      <c r="I156" s="114"/>
      <c r="J156" s="114"/>
      <c r="K156" s="114"/>
      <c r="L156" s="114"/>
      <c r="M156" s="114"/>
      <c r="N156" s="114"/>
      <c r="O156" s="114"/>
      <c r="P156" s="114"/>
      <c r="Q156" s="114"/>
      <c r="R156" s="114"/>
    </row>
    <row r="157" spans="3:18" x14ac:dyDescent="0.3">
      <c r="C157" s="114"/>
      <c r="D157" s="114"/>
      <c r="E157" s="114"/>
      <c r="F157" s="114"/>
      <c r="G157" s="114"/>
      <c r="H157" s="114"/>
      <c r="I157" s="114"/>
      <c r="J157" s="114"/>
      <c r="K157" s="114"/>
      <c r="L157" s="114"/>
      <c r="M157" s="114"/>
      <c r="N157" s="114"/>
      <c r="O157" s="114"/>
      <c r="P157" s="114"/>
      <c r="Q157" s="114"/>
      <c r="R157" s="114"/>
    </row>
    <row r="158" spans="3:18" x14ac:dyDescent="0.3">
      <c r="C158" s="114"/>
      <c r="D158" s="114"/>
      <c r="E158" s="114"/>
      <c r="F158" s="114"/>
      <c r="G158" s="114"/>
      <c r="H158" s="114"/>
      <c r="I158" s="114"/>
      <c r="J158" s="114"/>
      <c r="K158" s="114"/>
      <c r="L158" s="114"/>
      <c r="M158" s="114"/>
      <c r="N158" s="114"/>
      <c r="O158" s="114"/>
      <c r="P158" s="114"/>
      <c r="Q158" s="114"/>
      <c r="R158" s="114"/>
    </row>
    <row r="159" spans="3:18" x14ac:dyDescent="0.3">
      <c r="C159" s="114"/>
      <c r="D159" s="114"/>
      <c r="E159" s="114"/>
      <c r="F159" s="114"/>
      <c r="G159" s="114"/>
      <c r="H159" s="114"/>
      <c r="I159" s="114"/>
      <c r="J159" s="114"/>
      <c r="K159" s="114"/>
      <c r="L159" s="114"/>
      <c r="M159" s="114"/>
      <c r="N159" s="114"/>
      <c r="O159" s="114"/>
      <c r="P159" s="114"/>
      <c r="Q159" s="114"/>
      <c r="R159" s="114"/>
    </row>
    <row r="160" spans="3:18" x14ac:dyDescent="0.3">
      <c r="C160" s="114"/>
      <c r="D160" s="114"/>
      <c r="E160" s="114"/>
      <c r="F160" s="114"/>
      <c r="G160" s="114"/>
      <c r="H160" s="114"/>
      <c r="I160" s="114"/>
      <c r="J160" s="114"/>
      <c r="K160" s="114"/>
      <c r="L160" s="114"/>
      <c r="M160" s="114"/>
      <c r="N160" s="114"/>
      <c r="O160" s="114"/>
      <c r="P160" s="114"/>
      <c r="Q160" s="114"/>
      <c r="R160" s="114"/>
    </row>
    <row r="161" spans="3:18" x14ac:dyDescent="0.3">
      <c r="C161" s="114"/>
      <c r="D161" s="114"/>
      <c r="E161" s="114"/>
      <c r="F161" s="114"/>
      <c r="G161" s="114"/>
      <c r="H161" s="114"/>
      <c r="I161" s="114"/>
      <c r="J161" s="114"/>
      <c r="K161" s="114"/>
      <c r="L161" s="114"/>
      <c r="M161" s="114"/>
      <c r="N161" s="114"/>
      <c r="O161" s="114"/>
      <c r="P161" s="114"/>
      <c r="Q161" s="114"/>
      <c r="R161" s="114"/>
    </row>
    <row r="162" spans="3:18" x14ac:dyDescent="0.3">
      <c r="C162" s="114"/>
      <c r="D162" s="114"/>
      <c r="E162" s="114"/>
      <c r="F162" s="114"/>
      <c r="G162" s="114"/>
      <c r="H162" s="114"/>
      <c r="I162" s="114"/>
      <c r="J162" s="114"/>
      <c r="K162" s="114"/>
      <c r="L162" s="114"/>
      <c r="M162" s="114"/>
      <c r="N162" s="114"/>
      <c r="O162" s="114"/>
      <c r="P162" s="114"/>
      <c r="Q162" s="114"/>
      <c r="R162" s="114"/>
    </row>
    <row r="163" spans="3:18" x14ac:dyDescent="0.3">
      <c r="C163" s="114"/>
      <c r="D163" s="114"/>
      <c r="E163" s="114"/>
      <c r="F163" s="114"/>
      <c r="G163" s="114"/>
      <c r="H163" s="114"/>
      <c r="I163" s="114"/>
      <c r="J163" s="114"/>
      <c r="K163" s="114"/>
      <c r="L163" s="114"/>
      <c r="M163" s="114"/>
      <c r="N163" s="114"/>
      <c r="O163" s="114"/>
      <c r="P163" s="114"/>
      <c r="Q163" s="114"/>
      <c r="R163" s="114"/>
    </row>
    <row r="164" spans="3:18" x14ac:dyDescent="0.3">
      <c r="C164" s="114"/>
      <c r="D164" s="114"/>
      <c r="E164" s="114"/>
      <c r="F164" s="114"/>
      <c r="G164" s="114"/>
      <c r="H164" s="114"/>
      <c r="I164" s="114"/>
      <c r="J164" s="114"/>
      <c r="K164" s="114"/>
      <c r="L164" s="114"/>
      <c r="M164" s="114"/>
      <c r="N164" s="114"/>
      <c r="O164" s="114"/>
      <c r="P164" s="114"/>
      <c r="Q164" s="114"/>
      <c r="R164" s="114"/>
    </row>
    <row r="165" spans="3:18" x14ac:dyDescent="0.3">
      <c r="C165" s="114"/>
      <c r="D165" s="114"/>
      <c r="E165" s="114"/>
      <c r="F165" s="114"/>
      <c r="G165" s="114"/>
      <c r="H165" s="114"/>
      <c r="I165" s="114"/>
      <c r="J165" s="114"/>
      <c r="K165" s="114"/>
      <c r="L165" s="114"/>
      <c r="M165" s="114"/>
      <c r="N165" s="114"/>
      <c r="O165" s="114"/>
      <c r="P165" s="114"/>
      <c r="Q165" s="114"/>
      <c r="R165" s="114"/>
    </row>
    <row r="166" spans="3:18" x14ac:dyDescent="0.3">
      <c r="C166" s="114"/>
      <c r="D166" s="114"/>
      <c r="E166" s="114"/>
      <c r="F166" s="114"/>
      <c r="G166" s="114"/>
      <c r="H166" s="114"/>
      <c r="I166" s="114"/>
      <c r="J166" s="114"/>
      <c r="K166" s="114"/>
      <c r="L166" s="114"/>
      <c r="M166" s="114"/>
      <c r="N166" s="114"/>
      <c r="O166" s="114"/>
      <c r="P166" s="114"/>
      <c r="Q166" s="114"/>
      <c r="R166" s="114"/>
    </row>
    <row r="167" spans="3:18" x14ac:dyDescent="0.3">
      <c r="C167" s="114"/>
      <c r="D167" s="114"/>
      <c r="E167" s="114"/>
      <c r="F167" s="114"/>
      <c r="G167" s="114"/>
      <c r="H167" s="114"/>
      <c r="I167" s="114"/>
      <c r="J167" s="114"/>
      <c r="K167" s="114"/>
      <c r="L167" s="114"/>
      <c r="M167" s="114"/>
      <c r="N167" s="114"/>
      <c r="O167" s="114"/>
      <c r="P167" s="114"/>
      <c r="Q167" s="114"/>
      <c r="R167" s="114"/>
    </row>
    <row r="168" spans="3:18" x14ac:dyDescent="0.3">
      <c r="C168" s="114"/>
      <c r="D168" s="114"/>
      <c r="E168" s="114"/>
      <c r="F168" s="114"/>
      <c r="G168" s="114"/>
      <c r="H168" s="114"/>
      <c r="I168" s="114"/>
      <c r="J168" s="114"/>
      <c r="K168" s="114"/>
      <c r="L168" s="114"/>
      <c r="M168" s="114"/>
      <c r="N168" s="114"/>
      <c r="O168" s="114"/>
      <c r="P168" s="114"/>
      <c r="Q168" s="114"/>
      <c r="R168" s="114"/>
    </row>
    <row r="169" spans="3:18" x14ac:dyDescent="0.3">
      <c r="C169" s="114"/>
      <c r="D169" s="114"/>
      <c r="E169" s="114"/>
      <c r="F169" s="114"/>
      <c r="G169" s="114"/>
      <c r="H169" s="114"/>
      <c r="I169" s="114"/>
      <c r="J169" s="114"/>
      <c r="K169" s="114"/>
      <c r="L169" s="114"/>
      <c r="M169" s="114"/>
      <c r="N169" s="114"/>
      <c r="O169" s="114"/>
      <c r="P169" s="114"/>
      <c r="Q169" s="114"/>
      <c r="R169" s="114"/>
    </row>
    <row r="170" spans="3:18" x14ac:dyDescent="0.3">
      <c r="C170" s="114"/>
      <c r="D170" s="114"/>
      <c r="E170" s="114"/>
      <c r="F170" s="114"/>
      <c r="G170" s="114"/>
      <c r="H170" s="114"/>
      <c r="I170" s="114"/>
      <c r="J170" s="114"/>
      <c r="K170" s="114"/>
      <c r="L170" s="114"/>
      <c r="M170" s="114"/>
      <c r="N170" s="114"/>
      <c r="O170" s="114"/>
      <c r="P170" s="114"/>
      <c r="Q170" s="114"/>
      <c r="R170" s="114"/>
    </row>
    <row r="171" spans="3:18" x14ac:dyDescent="0.3">
      <c r="C171" s="114"/>
      <c r="D171" s="114"/>
      <c r="E171" s="114"/>
      <c r="F171" s="114"/>
      <c r="G171" s="114"/>
      <c r="H171" s="114"/>
      <c r="I171" s="114"/>
      <c r="J171" s="114"/>
      <c r="K171" s="114"/>
      <c r="L171" s="114"/>
      <c r="M171" s="114"/>
      <c r="N171" s="114"/>
      <c r="O171" s="114"/>
      <c r="P171" s="114"/>
      <c r="Q171" s="114"/>
      <c r="R171" s="114"/>
    </row>
    <row r="172" spans="3:18" x14ac:dyDescent="0.3">
      <c r="C172" s="114"/>
      <c r="D172" s="114"/>
      <c r="E172" s="114"/>
      <c r="F172" s="114"/>
      <c r="G172" s="114"/>
      <c r="H172" s="114"/>
      <c r="I172" s="114"/>
      <c r="J172" s="114"/>
      <c r="K172" s="114"/>
      <c r="L172" s="114"/>
      <c r="M172" s="114"/>
      <c r="N172" s="114"/>
      <c r="O172" s="114"/>
      <c r="P172" s="114"/>
      <c r="Q172" s="114"/>
      <c r="R172" s="114"/>
    </row>
    <row r="173" spans="3:18" x14ac:dyDescent="0.3">
      <c r="C173" s="114"/>
      <c r="D173" s="114"/>
      <c r="E173" s="114"/>
      <c r="F173" s="114"/>
      <c r="G173" s="114"/>
      <c r="H173" s="114"/>
      <c r="I173" s="114"/>
      <c r="J173" s="114"/>
      <c r="K173" s="114"/>
      <c r="L173" s="114"/>
      <c r="M173" s="114"/>
      <c r="N173" s="114"/>
      <c r="O173" s="114"/>
      <c r="P173" s="114"/>
      <c r="Q173" s="114"/>
      <c r="R173" s="114"/>
    </row>
    <row r="174" spans="3:18" x14ac:dyDescent="0.3">
      <c r="C174" s="114"/>
      <c r="D174" s="114"/>
      <c r="E174" s="114"/>
      <c r="F174" s="114"/>
      <c r="G174" s="114"/>
      <c r="H174" s="114"/>
      <c r="I174" s="114"/>
      <c r="J174" s="114"/>
      <c r="K174" s="114"/>
      <c r="L174" s="114"/>
      <c r="M174" s="114"/>
      <c r="N174" s="114"/>
      <c r="O174" s="114"/>
      <c r="P174" s="114"/>
      <c r="Q174" s="114"/>
      <c r="R174" s="114"/>
    </row>
    <row r="175" spans="3:18" x14ac:dyDescent="0.3">
      <c r="C175" s="114"/>
      <c r="D175" s="114"/>
      <c r="E175" s="114"/>
      <c r="F175" s="114"/>
      <c r="G175" s="114"/>
      <c r="H175" s="114"/>
      <c r="I175" s="114"/>
      <c r="J175" s="114"/>
      <c r="K175" s="114"/>
      <c r="L175" s="114"/>
      <c r="M175" s="114"/>
      <c r="N175" s="114"/>
      <c r="O175" s="114"/>
      <c r="P175" s="114"/>
      <c r="Q175" s="114"/>
      <c r="R175" s="114"/>
    </row>
    <row r="176" spans="3:18" x14ac:dyDescent="0.3">
      <c r="C176" s="114"/>
      <c r="D176" s="114"/>
      <c r="E176" s="114"/>
      <c r="F176" s="114"/>
      <c r="G176" s="114"/>
      <c r="H176" s="114"/>
      <c r="I176" s="114"/>
      <c r="J176" s="114"/>
      <c r="K176" s="114"/>
      <c r="L176" s="114"/>
      <c r="M176" s="114"/>
      <c r="N176" s="114"/>
      <c r="O176" s="114"/>
      <c r="P176" s="114"/>
      <c r="Q176" s="114"/>
      <c r="R176" s="114"/>
    </row>
    <row r="177" spans="2:18" x14ac:dyDescent="0.3">
      <c r="C177" s="114"/>
      <c r="D177" s="114"/>
      <c r="E177" s="114"/>
      <c r="F177" s="114"/>
      <c r="G177" s="114"/>
      <c r="H177" s="114"/>
      <c r="I177" s="114"/>
      <c r="J177" s="114"/>
      <c r="K177" s="114"/>
      <c r="L177" s="114"/>
      <c r="M177" s="114"/>
      <c r="N177" s="114"/>
      <c r="O177" s="114"/>
      <c r="P177" s="114"/>
      <c r="Q177" s="114"/>
      <c r="R177" s="114"/>
    </row>
    <row r="178" spans="2:18" x14ac:dyDescent="0.3">
      <c r="C178" s="114"/>
      <c r="D178" s="114"/>
      <c r="E178" s="114"/>
      <c r="F178" s="114"/>
      <c r="G178" s="114"/>
      <c r="H178" s="114"/>
      <c r="I178" s="114"/>
      <c r="J178" s="114"/>
      <c r="K178" s="114"/>
      <c r="L178" s="114"/>
      <c r="M178" s="114"/>
      <c r="N178" s="114"/>
      <c r="O178" s="114"/>
      <c r="P178" s="114"/>
      <c r="Q178" s="114"/>
      <c r="R178" s="114"/>
    </row>
    <row r="179" spans="2:18" x14ac:dyDescent="0.3">
      <c r="C179" s="114"/>
      <c r="D179" s="114"/>
      <c r="E179" s="114"/>
      <c r="F179" s="114"/>
      <c r="G179" s="114"/>
      <c r="H179" s="114"/>
      <c r="I179" s="114"/>
      <c r="J179" s="114"/>
      <c r="K179" s="114"/>
      <c r="L179" s="114"/>
      <c r="M179" s="114"/>
      <c r="N179" s="114"/>
      <c r="O179" s="114"/>
      <c r="P179" s="114"/>
      <c r="Q179" s="114"/>
      <c r="R179" s="114"/>
    </row>
    <row r="180" spans="2:18" x14ac:dyDescent="0.3">
      <c r="C180" s="114"/>
      <c r="D180" s="114"/>
      <c r="E180" s="114"/>
      <c r="F180" s="114"/>
      <c r="G180" s="114"/>
      <c r="H180" s="114"/>
      <c r="I180" s="114"/>
      <c r="J180" s="114"/>
      <c r="K180" s="114"/>
      <c r="L180" s="114"/>
      <c r="M180" s="114"/>
      <c r="N180" s="114"/>
      <c r="O180" s="114"/>
      <c r="P180" s="114"/>
      <c r="Q180" s="114"/>
      <c r="R180" s="114"/>
    </row>
    <row r="181" spans="2:18" x14ac:dyDescent="0.3">
      <c r="C181" s="114"/>
      <c r="D181" s="114"/>
      <c r="E181" s="114"/>
      <c r="F181" s="114"/>
      <c r="G181" s="114"/>
      <c r="H181" s="114"/>
      <c r="I181" s="114"/>
      <c r="J181" s="114"/>
      <c r="K181" s="114"/>
      <c r="L181" s="114"/>
      <c r="M181" s="114"/>
      <c r="N181" s="114"/>
      <c r="O181" s="114"/>
      <c r="P181" s="114"/>
      <c r="Q181" s="114"/>
      <c r="R181" s="114"/>
    </row>
    <row r="183" spans="2:18" ht="24.75" customHeight="1" x14ac:dyDescent="0.3">
      <c r="B183" s="112" t="s">
        <v>507</v>
      </c>
    </row>
    <row r="184" spans="2:18" ht="7.5" customHeight="1" x14ac:dyDescent="0.3">
      <c r="D184" s="114"/>
      <c r="E184" s="114"/>
      <c r="F184" s="114"/>
      <c r="G184" s="114"/>
      <c r="H184" s="114"/>
      <c r="I184" s="114"/>
      <c r="J184" s="114"/>
      <c r="K184" s="114"/>
    </row>
    <row r="185" spans="2:18" ht="16.5" x14ac:dyDescent="0.3">
      <c r="C185" s="113" t="s">
        <v>508</v>
      </c>
      <c r="D185" s="114"/>
      <c r="E185" s="114"/>
      <c r="F185" s="114"/>
      <c r="G185" s="114"/>
      <c r="H185" s="114"/>
      <c r="I185" s="114"/>
      <c r="J185" s="114"/>
      <c r="K185" s="114"/>
    </row>
    <row r="186" spans="2:18" x14ac:dyDescent="0.3">
      <c r="D186" s="114" t="s">
        <v>509</v>
      </c>
      <c r="E186" s="114"/>
      <c r="F186" s="114"/>
      <c r="G186" s="114"/>
      <c r="H186" s="114"/>
      <c r="I186" s="114"/>
      <c r="J186" s="114"/>
      <c r="K186" s="114"/>
    </row>
    <row r="187" spans="2:18" x14ac:dyDescent="0.3">
      <c r="D187" s="114"/>
      <c r="E187" s="114"/>
      <c r="F187" s="114"/>
      <c r="G187" s="114"/>
      <c r="H187" s="114"/>
      <c r="I187" s="114"/>
      <c r="J187" s="114"/>
      <c r="K187" s="114"/>
    </row>
    <row r="188" spans="2:18" x14ac:dyDescent="0.3">
      <c r="D188" s="157" t="s">
        <v>510</v>
      </c>
      <c r="E188" s="157"/>
      <c r="F188" s="144" t="s">
        <v>511</v>
      </c>
      <c r="G188" s="145"/>
      <c r="H188" s="145"/>
      <c r="I188" s="145"/>
      <c r="J188" s="145"/>
      <c r="K188" s="146"/>
    </row>
    <row r="189" spans="2:18" ht="28.5" customHeight="1" x14ac:dyDescent="0.3">
      <c r="D189" s="156" t="s">
        <v>512</v>
      </c>
      <c r="E189" s="156"/>
      <c r="F189" s="141" t="s">
        <v>513</v>
      </c>
      <c r="G189" s="142"/>
      <c r="H189" s="142"/>
      <c r="I189" s="142"/>
      <c r="J189" s="142"/>
      <c r="K189" s="142"/>
    </row>
    <row r="190" spans="2:18" ht="31.5" customHeight="1" x14ac:dyDescent="0.3">
      <c r="D190" s="156" t="s">
        <v>514</v>
      </c>
      <c r="E190" s="156"/>
      <c r="F190" s="141" t="s">
        <v>515</v>
      </c>
      <c r="G190" s="142"/>
      <c r="H190" s="142"/>
      <c r="I190" s="142"/>
      <c r="J190" s="142"/>
      <c r="K190" s="142"/>
    </row>
    <row r="191" spans="2:18" ht="29.25" customHeight="1" x14ac:dyDescent="0.3">
      <c r="D191" s="156" t="s">
        <v>516</v>
      </c>
      <c r="E191" s="156"/>
      <c r="F191" s="141" t="s">
        <v>517</v>
      </c>
      <c r="G191" s="142"/>
      <c r="H191" s="142"/>
      <c r="I191" s="142"/>
      <c r="J191" s="142"/>
      <c r="K191" s="142"/>
    </row>
    <row r="192" spans="2:18" ht="27.75" customHeight="1" x14ac:dyDescent="0.3">
      <c r="D192" s="156" t="s">
        <v>518</v>
      </c>
      <c r="E192" s="156"/>
      <c r="F192" s="141" t="s">
        <v>519</v>
      </c>
      <c r="G192" s="142"/>
      <c r="H192" s="142"/>
      <c r="I192" s="142"/>
      <c r="J192" s="142"/>
      <c r="K192" s="142"/>
    </row>
    <row r="193" spans="3:14" ht="27.75" customHeight="1" x14ac:dyDescent="0.3">
      <c r="D193" s="156" t="s">
        <v>520</v>
      </c>
      <c r="E193" s="156"/>
      <c r="F193" s="141" t="s">
        <v>521</v>
      </c>
      <c r="G193" s="142"/>
      <c r="H193" s="142"/>
      <c r="I193" s="142"/>
      <c r="J193" s="142"/>
      <c r="K193" s="142"/>
    </row>
    <row r="194" spans="3:14" ht="30.75" customHeight="1" x14ac:dyDescent="0.3">
      <c r="D194" s="140" t="s">
        <v>522</v>
      </c>
      <c r="E194" s="140"/>
      <c r="F194" s="141" t="s">
        <v>523</v>
      </c>
      <c r="G194" s="142"/>
      <c r="H194" s="142"/>
      <c r="I194" s="142"/>
      <c r="J194" s="142"/>
      <c r="K194" s="142"/>
    </row>
    <row r="195" spans="3:14" x14ac:dyDescent="0.3">
      <c r="D195" s="114"/>
      <c r="E195" s="114"/>
      <c r="F195" s="114"/>
      <c r="G195" s="114"/>
      <c r="H195" s="114"/>
      <c r="I195" s="114"/>
      <c r="J195" s="114"/>
      <c r="K195" s="114"/>
    </row>
    <row r="196" spans="3:14" x14ac:dyDescent="0.3">
      <c r="D196" s="114"/>
      <c r="E196" s="114"/>
      <c r="F196" s="114"/>
      <c r="G196" s="114"/>
      <c r="H196" s="114"/>
      <c r="I196" s="114"/>
      <c r="J196" s="114"/>
      <c r="K196" s="114"/>
    </row>
    <row r="197" spans="3:14" ht="16.5" x14ac:dyDescent="0.3">
      <c r="C197" s="113" t="s">
        <v>524</v>
      </c>
      <c r="D197" s="114"/>
      <c r="E197" s="114"/>
      <c r="F197" s="114"/>
      <c r="G197" s="114"/>
      <c r="H197" s="114"/>
      <c r="I197" s="114"/>
      <c r="J197" s="114"/>
      <c r="K197" s="114"/>
    </row>
    <row r="198" spans="3:14" x14ac:dyDescent="0.3">
      <c r="D198" s="114" t="s">
        <v>525</v>
      </c>
      <c r="E198" s="114"/>
      <c r="F198" s="114"/>
      <c r="G198" s="114"/>
      <c r="H198" s="114"/>
      <c r="I198" s="114"/>
      <c r="J198" s="114"/>
      <c r="K198" s="114"/>
    </row>
    <row r="199" spans="3:14" ht="16.5" x14ac:dyDescent="0.3">
      <c r="C199" s="113"/>
      <c r="D199" s="114"/>
      <c r="E199" s="114"/>
      <c r="F199" s="114"/>
      <c r="G199" s="114"/>
      <c r="H199" s="114"/>
      <c r="I199" s="114"/>
      <c r="J199" s="114"/>
      <c r="K199" s="114"/>
    </row>
    <row r="200" spans="3:14" x14ac:dyDescent="0.3">
      <c r="D200" s="143" t="s">
        <v>526</v>
      </c>
      <c r="E200" s="143"/>
      <c r="F200" s="143"/>
      <c r="G200" s="144" t="s">
        <v>527</v>
      </c>
      <c r="H200" s="145"/>
      <c r="I200" s="145"/>
      <c r="J200" s="146"/>
      <c r="K200" s="143" t="s">
        <v>528</v>
      </c>
      <c r="L200" s="143"/>
      <c r="M200" s="143"/>
      <c r="N200" s="143"/>
    </row>
    <row r="201" spans="3:14" ht="16.5" x14ac:dyDescent="0.3">
      <c r="D201" s="136" t="s">
        <v>393</v>
      </c>
      <c r="E201" s="136"/>
      <c r="F201" s="136"/>
      <c r="G201" s="137" t="s">
        <v>394</v>
      </c>
      <c r="H201" s="138"/>
      <c r="I201" s="138"/>
      <c r="J201" s="139"/>
      <c r="K201" s="147" t="s">
        <v>529</v>
      </c>
      <c r="L201" s="148"/>
      <c r="M201" s="148"/>
      <c r="N201" s="149"/>
    </row>
    <row r="202" spans="3:14" ht="16.5" x14ac:dyDescent="0.3">
      <c r="D202" s="136" t="s">
        <v>395</v>
      </c>
      <c r="E202" s="136"/>
      <c r="F202" s="136"/>
      <c r="G202" s="137" t="s">
        <v>396</v>
      </c>
      <c r="H202" s="138"/>
      <c r="I202" s="138"/>
      <c r="J202" s="139"/>
      <c r="K202" s="150"/>
      <c r="L202" s="151"/>
      <c r="M202" s="151"/>
      <c r="N202" s="152"/>
    </row>
    <row r="203" spans="3:14" ht="16.5" x14ac:dyDescent="0.3">
      <c r="D203" s="136" t="s">
        <v>397</v>
      </c>
      <c r="E203" s="136"/>
      <c r="F203" s="136"/>
      <c r="G203" s="137" t="s">
        <v>398</v>
      </c>
      <c r="H203" s="138"/>
      <c r="I203" s="138"/>
      <c r="J203" s="139"/>
      <c r="K203" s="150"/>
      <c r="L203" s="151"/>
      <c r="M203" s="151"/>
      <c r="N203" s="152"/>
    </row>
    <row r="204" spans="3:14" ht="16.5" x14ac:dyDescent="0.3">
      <c r="D204" s="136" t="s">
        <v>399</v>
      </c>
      <c r="E204" s="136"/>
      <c r="F204" s="136"/>
      <c r="G204" s="137" t="s">
        <v>400</v>
      </c>
      <c r="H204" s="138"/>
      <c r="I204" s="138"/>
      <c r="J204" s="139"/>
      <c r="K204" s="150"/>
      <c r="L204" s="151"/>
      <c r="M204" s="151"/>
      <c r="N204" s="152"/>
    </row>
    <row r="205" spans="3:14" ht="16.5" x14ac:dyDescent="0.3">
      <c r="D205" s="136" t="s">
        <v>401</v>
      </c>
      <c r="E205" s="136"/>
      <c r="F205" s="136"/>
      <c r="G205" s="137" t="s">
        <v>402</v>
      </c>
      <c r="H205" s="138"/>
      <c r="I205" s="138"/>
      <c r="J205" s="139"/>
      <c r="K205" s="150"/>
      <c r="L205" s="151"/>
      <c r="M205" s="151"/>
      <c r="N205" s="152"/>
    </row>
    <row r="206" spans="3:14" ht="16.5" x14ac:dyDescent="0.3">
      <c r="D206" s="136" t="s">
        <v>403</v>
      </c>
      <c r="E206" s="136"/>
      <c r="F206" s="136"/>
      <c r="G206" s="137" t="s">
        <v>404</v>
      </c>
      <c r="H206" s="138"/>
      <c r="I206" s="138"/>
      <c r="J206" s="139"/>
      <c r="K206" s="150"/>
      <c r="L206" s="151"/>
      <c r="M206" s="151"/>
      <c r="N206" s="152"/>
    </row>
    <row r="207" spans="3:14" ht="16.5" x14ac:dyDescent="0.3">
      <c r="D207" s="136" t="s">
        <v>405</v>
      </c>
      <c r="E207" s="136"/>
      <c r="F207" s="136"/>
      <c r="G207" s="137" t="s">
        <v>406</v>
      </c>
      <c r="H207" s="138"/>
      <c r="I207" s="138"/>
      <c r="J207" s="139"/>
      <c r="K207" s="150"/>
      <c r="L207" s="151"/>
      <c r="M207" s="151"/>
      <c r="N207" s="152"/>
    </row>
    <row r="208" spans="3:14" ht="16.5" x14ac:dyDescent="0.3">
      <c r="D208" s="136" t="s">
        <v>407</v>
      </c>
      <c r="E208" s="136"/>
      <c r="F208" s="136"/>
      <c r="G208" s="137" t="s">
        <v>408</v>
      </c>
      <c r="H208" s="138"/>
      <c r="I208" s="138"/>
      <c r="J208" s="139"/>
      <c r="K208" s="150"/>
      <c r="L208" s="151"/>
      <c r="M208" s="151"/>
      <c r="N208" s="152"/>
    </row>
    <row r="209" spans="4:14" ht="16.5" x14ac:dyDescent="0.3">
      <c r="D209" s="136" t="s">
        <v>409</v>
      </c>
      <c r="E209" s="136"/>
      <c r="F209" s="136"/>
      <c r="G209" s="137" t="s">
        <v>410</v>
      </c>
      <c r="H209" s="138"/>
      <c r="I209" s="138"/>
      <c r="J209" s="139"/>
      <c r="K209" s="150"/>
      <c r="L209" s="151"/>
      <c r="M209" s="151"/>
      <c r="N209" s="152"/>
    </row>
    <row r="210" spans="4:14" ht="16.5" x14ac:dyDescent="0.3">
      <c r="D210" s="136" t="s">
        <v>411</v>
      </c>
      <c r="E210" s="136"/>
      <c r="F210" s="136"/>
      <c r="G210" s="137" t="s">
        <v>412</v>
      </c>
      <c r="H210" s="138"/>
      <c r="I210" s="138"/>
      <c r="J210" s="139"/>
      <c r="K210" s="150"/>
      <c r="L210" s="151"/>
      <c r="M210" s="151"/>
      <c r="N210" s="152"/>
    </row>
    <row r="211" spans="4:14" ht="16.5" x14ac:dyDescent="0.3">
      <c r="D211" s="136" t="s">
        <v>413</v>
      </c>
      <c r="E211" s="136"/>
      <c r="F211" s="136"/>
      <c r="G211" s="137" t="s">
        <v>414</v>
      </c>
      <c r="H211" s="138"/>
      <c r="I211" s="138"/>
      <c r="J211" s="139"/>
      <c r="K211" s="150"/>
      <c r="L211" s="151"/>
      <c r="M211" s="151"/>
      <c r="N211" s="152"/>
    </row>
    <row r="212" spans="4:14" ht="16.5" x14ac:dyDescent="0.3">
      <c r="D212" s="136" t="s">
        <v>415</v>
      </c>
      <c r="E212" s="136"/>
      <c r="F212" s="136"/>
      <c r="G212" s="137" t="s">
        <v>416</v>
      </c>
      <c r="H212" s="138"/>
      <c r="I212" s="138"/>
      <c r="J212" s="139"/>
      <c r="K212" s="150"/>
      <c r="L212" s="151"/>
      <c r="M212" s="151"/>
      <c r="N212" s="152"/>
    </row>
    <row r="213" spans="4:14" ht="16.5" x14ac:dyDescent="0.3">
      <c r="D213" s="136" t="s">
        <v>417</v>
      </c>
      <c r="E213" s="136"/>
      <c r="F213" s="136"/>
      <c r="G213" s="137" t="s">
        <v>418</v>
      </c>
      <c r="H213" s="138"/>
      <c r="I213" s="138"/>
      <c r="J213" s="139"/>
      <c r="K213" s="150"/>
      <c r="L213" s="151"/>
      <c r="M213" s="151"/>
      <c r="N213" s="152"/>
    </row>
    <row r="214" spans="4:14" ht="16.5" x14ac:dyDescent="0.3">
      <c r="D214" s="136" t="s">
        <v>419</v>
      </c>
      <c r="E214" s="136"/>
      <c r="F214" s="136"/>
      <c r="G214" s="137" t="s">
        <v>420</v>
      </c>
      <c r="H214" s="138"/>
      <c r="I214" s="138"/>
      <c r="J214" s="139"/>
      <c r="K214" s="150"/>
      <c r="L214" s="151"/>
      <c r="M214" s="151"/>
      <c r="N214" s="152"/>
    </row>
    <row r="215" spans="4:14" ht="16.5" x14ac:dyDescent="0.3">
      <c r="D215" s="136" t="s">
        <v>421</v>
      </c>
      <c r="E215" s="136"/>
      <c r="F215" s="136"/>
      <c r="G215" s="137" t="s">
        <v>422</v>
      </c>
      <c r="H215" s="138"/>
      <c r="I215" s="138"/>
      <c r="J215" s="139"/>
      <c r="K215" s="150"/>
      <c r="L215" s="151"/>
      <c r="M215" s="151"/>
      <c r="N215" s="152"/>
    </row>
    <row r="216" spans="4:14" ht="16.5" x14ac:dyDescent="0.3">
      <c r="D216" s="136" t="s">
        <v>423</v>
      </c>
      <c r="E216" s="136"/>
      <c r="F216" s="136"/>
      <c r="G216" s="137" t="s">
        <v>424</v>
      </c>
      <c r="H216" s="138"/>
      <c r="I216" s="138"/>
      <c r="J216" s="139"/>
      <c r="K216" s="153"/>
      <c r="L216" s="154"/>
      <c r="M216" s="154"/>
      <c r="N216" s="155"/>
    </row>
    <row r="217" spans="4:14" ht="51" customHeight="1" x14ac:dyDescent="0.3">
      <c r="D217" s="131" t="s">
        <v>425</v>
      </c>
      <c r="E217" s="131"/>
      <c r="F217" s="131"/>
      <c r="G217" s="132" t="s">
        <v>426</v>
      </c>
      <c r="H217" s="133"/>
      <c r="I217" s="133"/>
      <c r="J217" s="134"/>
      <c r="K217" s="135" t="s">
        <v>530</v>
      </c>
      <c r="L217" s="135"/>
      <c r="M217" s="135"/>
      <c r="N217" s="135"/>
    </row>
    <row r="218" spans="4:14" ht="16.5" x14ac:dyDescent="0.3">
      <c r="D218" s="131" t="s">
        <v>427</v>
      </c>
      <c r="E218" s="131"/>
      <c r="F218" s="131"/>
      <c r="G218" s="132" t="s">
        <v>428</v>
      </c>
      <c r="H218" s="133"/>
      <c r="I218" s="133"/>
      <c r="J218" s="134"/>
      <c r="K218" s="135" t="s">
        <v>531</v>
      </c>
      <c r="L218" s="135"/>
      <c r="M218" s="135"/>
      <c r="N218" s="135"/>
    </row>
    <row r="219" spans="4:14" ht="16.5" x14ac:dyDescent="0.3">
      <c r="D219" s="131" t="s">
        <v>429</v>
      </c>
      <c r="E219" s="131"/>
      <c r="F219" s="131"/>
      <c r="G219" s="132" t="s">
        <v>430</v>
      </c>
      <c r="H219" s="133"/>
      <c r="I219" s="133"/>
      <c r="J219" s="134"/>
      <c r="K219" s="135" t="s">
        <v>532</v>
      </c>
      <c r="L219" s="135"/>
      <c r="M219" s="135"/>
      <c r="N219" s="135"/>
    </row>
    <row r="220" spans="4:14" ht="16.5" x14ac:dyDescent="0.3">
      <c r="D220" s="131" t="s">
        <v>431</v>
      </c>
      <c r="E220" s="131"/>
      <c r="F220" s="131"/>
      <c r="G220" s="132" t="s">
        <v>432</v>
      </c>
      <c r="H220" s="133"/>
      <c r="I220" s="133"/>
      <c r="J220" s="134"/>
      <c r="K220" s="135" t="s">
        <v>533</v>
      </c>
      <c r="L220" s="135"/>
      <c r="M220" s="135"/>
      <c r="N220" s="135"/>
    </row>
    <row r="221" spans="4:14" ht="16.5" x14ac:dyDescent="0.3">
      <c r="D221" s="131" t="s">
        <v>433</v>
      </c>
      <c r="E221" s="131"/>
      <c r="F221" s="131"/>
      <c r="G221" s="132" t="s">
        <v>434</v>
      </c>
      <c r="H221" s="133"/>
      <c r="I221" s="133"/>
      <c r="J221" s="134"/>
      <c r="K221" s="135" t="s">
        <v>534</v>
      </c>
      <c r="L221" s="135"/>
      <c r="M221" s="135"/>
      <c r="N221" s="135"/>
    </row>
    <row r="222" spans="4:14" ht="16.5" x14ac:dyDescent="0.3">
      <c r="D222" s="131" t="s">
        <v>435</v>
      </c>
      <c r="E222" s="131"/>
      <c r="F222" s="131"/>
      <c r="G222" s="132" t="s">
        <v>436</v>
      </c>
      <c r="H222" s="133"/>
      <c r="I222" s="133"/>
      <c r="J222" s="134"/>
      <c r="K222" s="135" t="s">
        <v>535</v>
      </c>
      <c r="L222" s="135"/>
      <c r="M222" s="135"/>
      <c r="N222" s="135"/>
    </row>
    <row r="223" spans="4:14" ht="16.5" x14ac:dyDescent="0.3">
      <c r="D223" s="131" t="s">
        <v>437</v>
      </c>
      <c r="E223" s="131"/>
      <c r="F223" s="131"/>
      <c r="G223" s="132" t="s">
        <v>438</v>
      </c>
      <c r="H223" s="133"/>
      <c r="I223" s="133"/>
      <c r="J223" s="134"/>
      <c r="K223" s="135" t="s">
        <v>536</v>
      </c>
      <c r="L223" s="135"/>
      <c r="M223" s="135"/>
      <c r="N223" s="135"/>
    </row>
    <row r="224" spans="4:14" ht="16.5" x14ac:dyDescent="0.3">
      <c r="D224" s="126" t="s">
        <v>537</v>
      </c>
      <c r="E224" s="126"/>
      <c r="F224" s="126"/>
      <c r="G224" s="127" t="s">
        <v>538</v>
      </c>
      <c r="H224" s="128"/>
      <c r="I224" s="128"/>
      <c r="J224" s="129"/>
      <c r="K224" s="130" t="s">
        <v>539</v>
      </c>
      <c r="L224" s="130"/>
      <c r="M224" s="130"/>
      <c r="N224" s="130"/>
    </row>
    <row r="225" spans="3:18" ht="16.5" x14ac:dyDescent="0.3">
      <c r="D225" s="126" t="s">
        <v>540</v>
      </c>
      <c r="E225" s="126"/>
      <c r="F225" s="126"/>
      <c r="G225" s="127" t="s">
        <v>538</v>
      </c>
      <c r="H225" s="128"/>
      <c r="I225" s="128"/>
      <c r="J225" s="129"/>
      <c r="K225" s="130" t="s">
        <v>541</v>
      </c>
      <c r="L225" s="130"/>
      <c r="M225" s="130"/>
      <c r="N225" s="130"/>
    </row>
    <row r="226" spans="3:18" ht="16.5" x14ac:dyDescent="0.3">
      <c r="D226" s="126" t="s">
        <v>542</v>
      </c>
      <c r="E226" s="126"/>
      <c r="F226" s="126"/>
      <c r="G226" s="127" t="s">
        <v>538</v>
      </c>
      <c r="H226" s="128"/>
      <c r="I226" s="128"/>
      <c r="J226" s="129"/>
      <c r="K226" s="130" t="s">
        <v>543</v>
      </c>
      <c r="L226" s="130"/>
      <c r="M226" s="130"/>
      <c r="N226" s="130"/>
    </row>
    <row r="227" spans="3:18" ht="16.5" x14ac:dyDescent="0.3">
      <c r="D227" s="126" t="s">
        <v>544</v>
      </c>
      <c r="E227" s="126"/>
      <c r="F227" s="126"/>
      <c r="G227" s="127" t="s">
        <v>538</v>
      </c>
      <c r="H227" s="128"/>
      <c r="I227" s="128"/>
      <c r="J227" s="129"/>
      <c r="K227" s="130" t="s">
        <v>545</v>
      </c>
      <c r="L227" s="130"/>
      <c r="M227" s="130"/>
      <c r="N227" s="130"/>
    </row>
    <row r="228" spans="3:18" x14ac:dyDescent="0.3">
      <c r="D228" s="114"/>
      <c r="E228" s="114"/>
      <c r="F228" s="114"/>
      <c r="G228" s="114"/>
      <c r="H228" s="114"/>
      <c r="I228" s="114"/>
      <c r="J228" s="114"/>
      <c r="K228" s="114"/>
    </row>
    <row r="229" spans="3:18" x14ac:dyDescent="0.3">
      <c r="D229" s="115"/>
      <c r="E229" s="114"/>
      <c r="F229" s="114"/>
      <c r="G229" s="114"/>
      <c r="H229" s="114"/>
      <c r="I229" s="114"/>
      <c r="J229" s="114"/>
      <c r="K229" s="114"/>
    </row>
    <row r="230" spans="3:18" x14ac:dyDescent="0.3">
      <c r="C230" s="114"/>
      <c r="D230" s="114"/>
      <c r="E230" s="114"/>
      <c r="F230" s="114"/>
      <c r="G230" s="114"/>
      <c r="H230" s="114"/>
      <c r="I230" s="114"/>
      <c r="J230" s="114"/>
      <c r="K230" s="114"/>
      <c r="L230" s="114"/>
      <c r="M230" s="114"/>
      <c r="N230" s="114"/>
      <c r="O230" s="114"/>
      <c r="P230" s="114"/>
      <c r="Q230" s="114"/>
      <c r="R230" s="114"/>
    </row>
    <row r="231" spans="3:18" x14ac:dyDescent="0.3">
      <c r="C231" s="114"/>
      <c r="D231" s="114"/>
      <c r="E231" s="114"/>
      <c r="F231" s="114"/>
      <c r="G231" s="114"/>
      <c r="H231" s="114"/>
      <c r="I231" s="114"/>
      <c r="J231" s="114"/>
      <c r="K231" s="114"/>
      <c r="L231" s="114"/>
      <c r="M231" s="114"/>
      <c r="N231" s="114"/>
      <c r="O231" s="114"/>
      <c r="P231" s="114"/>
      <c r="Q231" s="114"/>
      <c r="R231" s="114"/>
    </row>
    <row r="232" spans="3:18" x14ac:dyDescent="0.3">
      <c r="C232" s="114"/>
      <c r="D232" s="114"/>
      <c r="E232" s="114"/>
      <c r="F232" s="114"/>
      <c r="G232" s="114"/>
      <c r="H232" s="114"/>
      <c r="I232" s="114"/>
      <c r="J232" s="114"/>
      <c r="K232" s="114"/>
      <c r="L232" s="114"/>
      <c r="M232" s="114"/>
      <c r="N232" s="114"/>
      <c r="O232" s="114"/>
      <c r="P232" s="114"/>
      <c r="Q232" s="114"/>
      <c r="R232" s="114"/>
    </row>
    <row r="233" spans="3:18" x14ac:dyDescent="0.3">
      <c r="C233" s="114"/>
      <c r="D233" s="114"/>
      <c r="E233" s="114"/>
      <c r="F233" s="114"/>
      <c r="G233" s="114"/>
      <c r="H233" s="114"/>
      <c r="I233" s="114"/>
      <c r="J233" s="114"/>
      <c r="K233" s="114"/>
      <c r="L233" s="114"/>
      <c r="M233" s="114"/>
      <c r="N233" s="114"/>
      <c r="O233" s="114"/>
      <c r="P233" s="114"/>
      <c r="Q233" s="114"/>
      <c r="R233" s="114"/>
    </row>
    <row r="234" spans="3:18" x14ac:dyDescent="0.3">
      <c r="C234" s="114"/>
      <c r="D234" s="114"/>
      <c r="E234" s="114"/>
      <c r="F234" s="114"/>
      <c r="G234" s="114"/>
      <c r="H234" s="114"/>
      <c r="I234" s="114"/>
      <c r="J234" s="114"/>
      <c r="K234" s="114"/>
      <c r="L234" s="114"/>
      <c r="M234" s="114"/>
      <c r="N234" s="114"/>
      <c r="O234" s="114"/>
      <c r="P234" s="114"/>
      <c r="Q234" s="114"/>
      <c r="R234" s="114"/>
    </row>
    <row r="235" spans="3:18" x14ac:dyDescent="0.3">
      <c r="C235" s="114"/>
      <c r="D235" s="114"/>
      <c r="E235" s="114"/>
      <c r="F235" s="114"/>
      <c r="G235" s="114"/>
      <c r="H235" s="114"/>
      <c r="I235" s="114"/>
      <c r="J235" s="114"/>
      <c r="K235" s="114"/>
      <c r="L235" s="114"/>
      <c r="M235" s="114"/>
      <c r="N235" s="114"/>
      <c r="O235" s="114"/>
      <c r="P235" s="114"/>
      <c r="Q235" s="114"/>
      <c r="R235" s="114"/>
    </row>
    <row r="236" spans="3:18" x14ac:dyDescent="0.3">
      <c r="C236" s="114"/>
      <c r="D236" s="114"/>
      <c r="E236" s="114"/>
      <c r="F236" s="114"/>
      <c r="G236" s="114"/>
      <c r="H236" s="114"/>
      <c r="I236" s="114"/>
      <c r="J236" s="114"/>
      <c r="K236" s="114"/>
      <c r="L236" s="114"/>
      <c r="M236" s="114"/>
      <c r="N236" s="114"/>
      <c r="O236" s="114"/>
      <c r="P236" s="114"/>
      <c r="Q236" s="114"/>
      <c r="R236" s="114"/>
    </row>
    <row r="237" spans="3:18" x14ac:dyDescent="0.3">
      <c r="C237" s="114"/>
      <c r="D237" s="114"/>
      <c r="E237" s="114"/>
      <c r="F237" s="114"/>
      <c r="G237" s="114"/>
      <c r="H237" s="114"/>
      <c r="I237" s="114"/>
      <c r="J237" s="114"/>
      <c r="K237" s="114"/>
      <c r="L237" s="114"/>
      <c r="M237" s="114"/>
      <c r="N237" s="114"/>
      <c r="O237" s="114"/>
      <c r="P237" s="114"/>
      <c r="Q237" s="114"/>
      <c r="R237" s="114"/>
    </row>
    <row r="238" spans="3:18" x14ac:dyDescent="0.3">
      <c r="C238" s="114"/>
      <c r="D238" s="114"/>
      <c r="E238" s="114"/>
      <c r="F238" s="114"/>
      <c r="G238" s="114"/>
      <c r="H238" s="114"/>
      <c r="I238" s="114"/>
      <c r="J238" s="114"/>
      <c r="K238" s="114"/>
      <c r="L238" s="114"/>
      <c r="M238" s="114"/>
      <c r="N238" s="114"/>
      <c r="O238" s="114"/>
      <c r="P238" s="114"/>
      <c r="Q238" s="114"/>
      <c r="R238" s="114"/>
    </row>
    <row r="239" spans="3:18" x14ac:dyDescent="0.3">
      <c r="C239" s="114"/>
      <c r="D239" s="114"/>
      <c r="E239" s="114"/>
      <c r="F239" s="114"/>
      <c r="G239" s="114"/>
      <c r="H239" s="114"/>
      <c r="I239" s="114"/>
      <c r="J239" s="114"/>
      <c r="K239" s="114"/>
      <c r="L239" s="114"/>
      <c r="M239" s="114"/>
      <c r="N239" s="114"/>
      <c r="O239" s="114"/>
      <c r="P239" s="114"/>
      <c r="Q239" s="114"/>
      <c r="R239" s="114"/>
    </row>
    <row r="240" spans="3:18" x14ac:dyDescent="0.3">
      <c r="C240" s="114"/>
      <c r="D240" s="114"/>
      <c r="E240" s="114"/>
      <c r="F240" s="114"/>
      <c r="G240" s="114"/>
      <c r="H240" s="114"/>
      <c r="I240" s="114"/>
      <c r="J240" s="114"/>
      <c r="K240" s="114"/>
      <c r="L240" s="114"/>
      <c r="M240" s="114"/>
      <c r="N240" s="114"/>
      <c r="O240" s="114"/>
      <c r="P240" s="114"/>
      <c r="Q240" s="114"/>
      <c r="R240" s="114"/>
    </row>
    <row r="241" spans="3:18" x14ac:dyDescent="0.3">
      <c r="C241" s="114"/>
      <c r="D241" s="114"/>
      <c r="E241" s="114"/>
      <c r="F241" s="114"/>
      <c r="G241" s="114"/>
      <c r="H241" s="114"/>
      <c r="I241" s="114"/>
      <c r="J241" s="114"/>
      <c r="K241" s="114"/>
      <c r="L241" s="114"/>
      <c r="M241" s="114"/>
      <c r="N241" s="114"/>
      <c r="O241" s="114"/>
      <c r="P241" s="114"/>
      <c r="Q241" s="114"/>
      <c r="R241" s="114"/>
    </row>
    <row r="242" spans="3:18" x14ac:dyDescent="0.3">
      <c r="C242" s="114"/>
      <c r="D242" s="114"/>
      <c r="E242" s="114"/>
      <c r="F242" s="114"/>
      <c r="G242" s="114"/>
      <c r="H242" s="114"/>
      <c r="I242" s="114"/>
      <c r="J242" s="114"/>
      <c r="K242" s="114"/>
      <c r="L242" s="114"/>
      <c r="M242" s="114"/>
      <c r="N242" s="114"/>
      <c r="O242" s="114"/>
      <c r="P242" s="114"/>
      <c r="Q242" s="114"/>
      <c r="R242" s="114"/>
    </row>
    <row r="243" spans="3:18" x14ac:dyDescent="0.3">
      <c r="C243" s="114"/>
      <c r="D243" s="114"/>
      <c r="E243" s="114"/>
      <c r="F243" s="114"/>
      <c r="G243" s="114"/>
      <c r="H243" s="114"/>
      <c r="I243" s="114"/>
      <c r="J243" s="114"/>
      <c r="K243" s="114"/>
      <c r="L243" s="114"/>
      <c r="M243" s="114"/>
      <c r="N243" s="114"/>
      <c r="O243" s="114"/>
      <c r="P243" s="114"/>
      <c r="Q243" s="114"/>
      <c r="R243" s="114"/>
    </row>
    <row r="244" spans="3:18" x14ac:dyDescent="0.3">
      <c r="C244" s="114"/>
      <c r="D244" s="114"/>
      <c r="E244" s="114"/>
      <c r="F244" s="114"/>
      <c r="G244" s="114"/>
      <c r="H244" s="114"/>
      <c r="I244" s="114"/>
      <c r="J244" s="114"/>
      <c r="K244" s="114"/>
      <c r="L244" s="114"/>
      <c r="M244" s="114"/>
      <c r="N244" s="114"/>
      <c r="O244" s="114"/>
      <c r="P244" s="114"/>
      <c r="Q244" s="114"/>
      <c r="R244" s="114"/>
    </row>
    <row r="245" spans="3:18" x14ac:dyDescent="0.3">
      <c r="C245" s="114"/>
      <c r="D245" s="114"/>
      <c r="E245" s="114"/>
      <c r="F245" s="114"/>
      <c r="G245" s="114"/>
      <c r="H245" s="114"/>
      <c r="I245" s="114"/>
      <c r="J245" s="114"/>
      <c r="K245" s="114"/>
      <c r="L245" s="114"/>
      <c r="M245" s="114"/>
      <c r="N245" s="114"/>
      <c r="O245" s="114"/>
      <c r="P245" s="114"/>
      <c r="Q245" s="114"/>
      <c r="R245" s="114"/>
    </row>
    <row r="246" spans="3:18" x14ac:dyDescent="0.3">
      <c r="C246" s="114"/>
      <c r="D246" s="114"/>
      <c r="E246" s="114"/>
      <c r="F246" s="114"/>
      <c r="G246" s="114"/>
      <c r="H246" s="114"/>
      <c r="I246" s="114"/>
      <c r="J246" s="114"/>
      <c r="K246" s="114"/>
      <c r="L246" s="114"/>
      <c r="M246" s="114"/>
      <c r="N246" s="114"/>
      <c r="O246" s="114"/>
      <c r="P246" s="114"/>
      <c r="Q246" s="114"/>
      <c r="R246" s="114"/>
    </row>
    <row r="247" spans="3:18" x14ac:dyDescent="0.3">
      <c r="C247" s="114"/>
      <c r="D247" s="114"/>
      <c r="E247" s="114"/>
      <c r="F247" s="114"/>
      <c r="G247" s="114"/>
      <c r="H247" s="114"/>
      <c r="I247" s="114"/>
      <c r="J247" s="114"/>
      <c r="K247" s="114"/>
      <c r="L247" s="114"/>
      <c r="M247" s="114"/>
      <c r="N247" s="114"/>
      <c r="O247" s="114"/>
      <c r="P247" s="114"/>
      <c r="Q247" s="114"/>
      <c r="R247" s="114"/>
    </row>
    <row r="248" spans="3:18" x14ac:dyDescent="0.3">
      <c r="C248" s="114"/>
      <c r="D248" s="114"/>
      <c r="E248" s="114"/>
      <c r="F248" s="114"/>
      <c r="G248" s="114"/>
      <c r="H248" s="114"/>
      <c r="I248" s="114"/>
      <c r="J248" s="114"/>
      <c r="K248" s="114"/>
      <c r="L248" s="114"/>
      <c r="M248" s="114"/>
      <c r="N248" s="114"/>
      <c r="O248" s="114"/>
      <c r="P248" s="114"/>
      <c r="Q248" s="114"/>
      <c r="R248" s="114"/>
    </row>
    <row r="249" spans="3:18" x14ac:dyDescent="0.3">
      <c r="C249" s="114"/>
      <c r="D249" s="114"/>
      <c r="E249" s="114"/>
      <c r="F249" s="114"/>
      <c r="G249" s="114"/>
      <c r="H249" s="114"/>
      <c r="I249" s="114"/>
      <c r="J249" s="114"/>
      <c r="K249" s="114"/>
      <c r="L249" s="114"/>
      <c r="M249" s="114"/>
      <c r="N249" s="114"/>
      <c r="O249" s="114"/>
      <c r="P249" s="114"/>
      <c r="Q249" s="114"/>
      <c r="R249" s="114"/>
    </row>
    <row r="250" spans="3:18" x14ac:dyDescent="0.3">
      <c r="C250" s="114"/>
      <c r="D250" s="114"/>
      <c r="E250" s="114"/>
      <c r="F250" s="114"/>
      <c r="G250" s="114"/>
      <c r="H250" s="114"/>
      <c r="I250" s="114"/>
      <c r="J250" s="114"/>
      <c r="K250" s="114"/>
      <c r="L250" s="114"/>
      <c r="M250" s="114"/>
      <c r="N250" s="114"/>
      <c r="O250" s="114"/>
      <c r="P250" s="114"/>
      <c r="Q250" s="114"/>
      <c r="R250" s="114"/>
    </row>
    <row r="251" spans="3:18" x14ac:dyDescent="0.3">
      <c r="C251" s="114"/>
      <c r="D251" s="114"/>
      <c r="E251" s="114"/>
      <c r="F251" s="114"/>
      <c r="G251" s="114"/>
      <c r="H251" s="114"/>
      <c r="I251" s="114"/>
      <c r="J251" s="114"/>
      <c r="K251" s="114"/>
      <c r="L251" s="114"/>
      <c r="M251" s="114"/>
      <c r="N251" s="114"/>
      <c r="O251" s="114"/>
      <c r="P251" s="114"/>
      <c r="Q251" s="114"/>
      <c r="R251" s="114"/>
    </row>
    <row r="252" spans="3:18" x14ac:dyDescent="0.3">
      <c r="C252" s="114"/>
      <c r="D252" s="114"/>
      <c r="E252" s="114"/>
      <c r="F252" s="114"/>
      <c r="G252" s="114"/>
      <c r="H252" s="114"/>
      <c r="I252" s="114"/>
      <c r="J252" s="114"/>
      <c r="K252" s="114"/>
      <c r="L252" s="114"/>
      <c r="M252" s="114"/>
      <c r="N252" s="114"/>
      <c r="O252" s="114"/>
      <c r="P252" s="114"/>
      <c r="Q252" s="114"/>
      <c r="R252" s="114"/>
    </row>
    <row r="253" spans="3:18" x14ac:dyDescent="0.3">
      <c r="C253" s="114"/>
      <c r="D253" s="114"/>
      <c r="E253" s="114"/>
      <c r="F253" s="114"/>
      <c r="G253" s="114"/>
      <c r="H253" s="114"/>
      <c r="I253" s="114"/>
      <c r="J253" s="114"/>
      <c r="K253" s="114"/>
      <c r="L253" s="114"/>
      <c r="M253" s="114"/>
      <c r="N253" s="114"/>
      <c r="O253" s="114"/>
      <c r="P253" s="114"/>
      <c r="Q253" s="114"/>
      <c r="R253" s="114"/>
    </row>
    <row r="254" spans="3:18" x14ac:dyDescent="0.3">
      <c r="C254" s="114"/>
      <c r="D254" s="114"/>
      <c r="E254" s="114"/>
      <c r="F254" s="114"/>
      <c r="G254" s="114"/>
      <c r="H254" s="114"/>
      <c r="I254" s="114"/>
      <c r="J254" s="114"/>
      <c r="K254" s="114"/>
      <c r="L254" s="114"/>
      <c r="M254" s="114"/>
      <c r="N254" s="114"/>
      <c r="O254" s="114"/>
      <c r="P254" s="114"/>
      <c r="Q254" s="114"/>
      <c r="R254" s="114"/>
    </row>
    <row r="255" spans="3:18" x14ac:dyDescent="0.3">
      <c r="C255" s="114"/>
      <c r="D255" s="114"/>
      <c r="E255" s="114"/>
      <c r="F255" s="114"/>
      <c r="G255" s="114"/>
      <c r="H255" s="114"/>
      <c r="I255" s="114"/>
      <c r="J255" s="114"/>
      <c r="K255" s="114"/>
      <c r="L255" s="114"/>
      <c r="M255" s="114"/>
      <c r="N255" s="114"/>
      <c r="O255" s="114"/>
      <c r="P255" s="114"/>
      <c r="Q255" s="114"/>
      <c r="R255" s="114"/>
    </row>
    <row r="256" spans="3:18" x14ac:dyDescent="0.3">
      <c r="C256" s="114"/>
      <c r="D256" s="114"/>
      <c r="E256" s="114"/>
      <c r="F256" s="114"/>
      <c r="G256" s="114"/>
      <c r="H256" s="114"/>
      <c r="I256" s="114"/>
      <c r="J256" s="114"/>
      <c r="K256" s="114"/>
      <c r="L256" s="114"/>
      <c r="M256" s="114"/>
      <c r="N256" s="114"/>
      <c r="O256" s="114"/>
      <c r="P256" s="114"/>
      <c r="Q256" s="114"/>
      <c r="R256" s="114"/>
    </row>
    <row r="257" spans="3:18" x14ac:dyDescent="0.3">
      <c r="C257" s="114"/>
      <c r="D257" s="114"/>
      <c r="E257" s="114"/>
      <c r="F257" s="114"/>
      <c r="G257" s="114"/>
      <c r="H257" s="114"/>
      <c r="I257" s="114"/>
      <c r="J257" s="114"/>
      <c r="K257" s="114"/>
      <c r="L257" s="114"/>
      <c r="M257" s="114"/>
      <c r="N257" s="114"/>
      <c r="O257" s="114"/>
      <c r="P257" s="114"/>
      <c r="Q257" s="114"/>
      <c r="R257" s="114"/>
    </row>
    <row r="258" spans="3:18" x14ac:dyDescent="0.3">
      <c r="C258" s="114"/>
      <c r="D258" s="114"/>
      <c r="E258" s="114"/>
      <c r="F258" s="114"/>
      <c r="G258" s="114"/>
      <c r="H258" s="114"/>
      <c r="I258" s="114"/>
      <c r="J258" s="114"/>
      <c r="K258" s="114"/>
      <c r="L258" s="114"/>
      <c r="M258" s="114"/>
      <c r="N258" s="114"/>
      <c r="O258" s="114"/>
      <c r="P258" s="114"/>
      <c r="Q258" s="114"/>
      <c r="R258" s="114"/>
    </row>
    <row r="259" spans="3:18" x14ac:dyDescent="0.3">
      <c r="C259" s="114"/>
      <c r="D259" s="114"/>
      <c r="E259" s="114"/>
      <c r="F259" s="114"/>
      <c r="G259" s="114"/>
      <c r="H259" s="114"/>
      <c r="I259" s="114"/>
      <c r="J259" s="114"/>
      <c r="K259" s="114"/>
      <c r="L259" s="114"/>
      <c r="M259" s="114"/>
      <c r="N259" s="114"/>
      <c r="O259" s="114"/>
      <c r="P259" s="114"/>
      <c r="Q259" s="114"/>
      <c r="R259" s="114"/>
    </row>
    <row r="260" spans="3:18" x14ac:dyDescent="0.3">
      <c r="C260" s="114"/>
      <c r="D260" s="114"/>
      <c r="E260" s="114"/>
      <c r="F260" s="114"/>
      <c r="G260" s="114"/>
      <c r="H260" s="114"/>
      <c r="I260" s="114"/>
      <c r="J260" s="114"/>
      <c r="K260" s="114"/>
      <c r="L260" s="114"/>
      <c r="M260" s="114"/>
      <c r="N260" s="114"/>
      <c r="O260" s="114"/>
      <c r="P260" s="114"/>
      <c r="Q260" s="114"/>
      <c r="R260" s="114"/>
    </row>
    <row r="261" spans="3:18" x14ac:dyDescent="0.3">
      <c r="C261" s="114"/>
      <c r="D261" s="114"/>
      <c r="E261" s="114"/>
      <c r="F261" s="114"/>
      <c r="G261" s="114"/>
      <c r="H261" s="114"/>
      <c r="I261" s="114"/>
      <c r="J261" s="114"/>
      <c r="K261" s="114"/>
      <c r="L261" s="114"/>
      <c r="M261" s="114"/>
      <c r="N261" s="114"/>
      <c r="O261" s="114"/>
      <c r="P261" s="114"/>
      <c r="Q261" s="114"/>
      <c r="R261" s="114"/>
    </row>
    <row r="262" spans="3:18" x14ac:dyDescent="0.3">
      <c r="C262" s="114"/>
      <c r="D262" s="114"/>
      <c r="E262" s="114"/>
      <c r="F262" s="114"/>
      <c r="G262" s="114"/>
      <c r="H262" s="114"/>
      <c r="I262" s="114"/>
      <c r="J262" s="114"/>
      <c r="K262" s="114"/>
      <c r="L262" s="114"/>
      <c r="M262" s="114"/>
      <c r="N262" s="114"/>
      <c r="O262" s="114"/>
      <c r="P262" s="114"/>
      <c r="Q262" s="114"/>
      <c r="R262" s="114"/>
    </row>
    <row r="263" spans="3:18" x14ac:dyDescent="0.3">
      <c r="C263" s="114"/>
      <c r="D263" s="114"/>
      <c r="E263" s="114"/>
      <c r="F263" s="114"/>
      <c r="G263" s="114"/>
      <c r="H263" s="114"/>
      <c r="I263" s="114"/>
      <c r="J263" s="114"/>
      <c r="K263" s="114"/>
      <c r="L263" s="114"/>
      <c r="M263" s="114"/>
      <c r="N263" s="114"/>
      <c r="O263" s="114"/>
      <c r="P263" s="114"/>
      <c r="Q263" s="114"/>
      <c r="R263" s="114"/>
    </row>
    <row r="264" spans="3:18" x14ac:dyDescent="0.3">
      <c r="C264" s="114"/>
      <c r="D264" s="114"/>
      <c r="E264" s="114"/>
      <c r="F264" s="114"/>
      <c r="G264" s="114"/>
      <c r="H264" s="114"/>
      <c r="I264" s="114"/>
      <c r="J264" s="114"/>
      <c r="K264" s="114"/>
      <c r="L264" s="114"/>
      <c r="M264" s="114"/>
      <c r="N264" s="114"/>
      <c r="O264" s="114"/>
      <c r="P264" s="114"/>
      <c r="Q264" s="114"/>
      <c r="R264" s="114"/>
    </row>
    <row r="265" spans="3:18" x14ac:dyDescent="0.3">
      <c r="C265" s="114"/>
      <c r="D265" s="114"/>
      <c r="E265" s="114"/>
      <c r="F265" s="114"/>
      <c r="G265" s="114"/>
      <c r="H265" s="114"/>
      <c r="I265" s="114"/>
      <c r="J265" s="114"/>
      <c r="K265" s="114"/>
      <c r="L265" s="114"/>
      <c r="M265" s="114"/>
      <c r="N265" s="114"/>
      <c r="O265" s="114"/>
      <c r="P265" s="114"/>
      <c r="Q265" s="114"/>
      <c r="R265" s="114"/>
    </row>
    <row r="266" spans="3:18" x14ac:dyDescent="0.3">
      <c r="C266" s="114"/>
      <c r="D266" s="114"/>
      <c r="E266" s="114"/>
      <c r="F266" s="114"/>
      <c r="G266" s="114"/>
      <c r="H266" s="114"/>
      <c r="I266" s="114"/>
      <c r="J266" s="114"/>
      <c r="K266" s="114"/>
      <c r="L266" s="114"/>
      <c r="M266" s="114"/>
      <c r="N266" s="114"/>
      <c r="O266" s="114"/>
      <c r="P266" s="114"/>
      <c r="Q266" s="114"/>
      <c r="R266" s="114"/>
    </row>
    <row r="267" spans="3:18" x14ac:dyDescent="0.3">
      <c r="C267" s="114"/>
      <c r="D267" s="114"/>
      <c r="E267" s="114"/>
      <c r="F267" s="114"/>
      <c r="G267" s="114"/>
      <c r="H267" s="114"/>
      <c r="I267" s="114"/>
      <c r="J267" s="114"/>
      <c r="K267" s="114"/>
      <c r="L267" s="114"/>
      <c r="M267" s="114"/>
      <c r="N267" s="114"/>
      <c r="O267" s="114"/>
      <c r="P267" s="114"/>
      <c r="Q267" s="114"/>
      <c r="R267" s="114"/>
    </row>
    <row r="268" spans="3:18" x14ac:dyDescent="0.3">
      <c r="C268" s="114"/>
      <c r="D268" s="114"/>
      <c r="E268" s="114"/>
      <c r="F268" s="114"/>
      <c r="G268" s="114"/>
      <c r="H268" s="114"/>
      <c r="I268" s="114"/>
      <c r="J268" s="114"/>
      <c r="K268" s="114"/>
      <c r="L268" s="114"/>
      <c r="M268" s="114"/>
      <c r="N268" s="114"/>
      <c r="O268" s="114"/>
      <c r="P268" s="114"/>
      <c r="Q268" s="114"/>
      <c r="R268" s="114"/>
    </row>
  </sheetData>
  <mergeCells count="83">
    <mergeCell ref="D188:E188"/>
    <mergeCell ref="F188:K188"/>
    <mergeCell ref="D189:E189"/>
    <mergeCell ref="F189:K189"/>
    <mergeCell ref="D190:E190"/>
    <mergeCell ref="F190:K190"/>
    <mergeCell ref="D191:E191"/>
    <mergeCell ref="F191:K191"/>
    <mergeCell ref="D192:E192"/>
    <mergeCell ref="F192:K192"/>
    <mergeCell ref="D193:E193"/>
    <mergeCell ref="F193:K193"/>
    <mergeCell ref="D201:F201"/>
    <mergeCell ref="G201:J201"/>
    <mergeCell ref="K201:N216"/>
    <mergeCell ref="D202:F202"/>
    <mergeCell ref="G202:J202"/>
    <mergeCell ref="D194:E194"/>
    <mergeCell ref="F194:K194"/>
    <mergeCell ref="D200:F200"/>
    <mergeCell ref="G200:J200"/>
    <mergeCell ref="K200:N200"/>
    <mergeCell ref="D203:F203"/>
    <mergeCell ref="G203:J203"/>
    <mergeCell ref="D204:F204"/>
    <mergeCell ref="G204:J204"/>
    <mergeCell ref="D205:F205"/>
    <mergeCell ref="G205:J205"/>
    <mergeCell ref="D206:F206"/>
    <mergeCell ref="G206:J206"/>
    <mergeCell ref="D207:F207"/>
    <mergeCell ref="G207:J207"/>
    <mergeCell ref="D208:F208"/>
    <mergeCell ref="G208:J208"/>
    <mergeCell ref="D209:F209"/>
    <mergeCell ref="G209:J209"/>
    <mergeCell ref="D210:F210"/>
    <mergeCell ref="G210:J210"/>
    <mergeCell ref="D211:F211"/>
    <mergeCell ref="G211:J211"/>
    <mergeCell ref="D212:F212"/>
    <mergeCell ref="G212:J212"/>
    <mergeCell ref="D213:F213"/>
    <mergeCell ref="G213:J213"/>
    <mergeCell ref="D214:F214"/>
    <mergeCell ref="G214:J214"/>
    <mergeCell ref="D215:F215"/>
    <mergeCell ref="G215:J215"/>
    <mergeCell ref="D216:F216"/>
    <mergeCell ref="G216:J216"/>
    <mergeCell ref="D217:F217"/>
    <mergeCell ref="G217:J217"/>
    <mergeCell ref="K217:N217"/>
    <mergeCell ref="D218:F218"/>
    <mergeCell ref="G218:J218"/>
    <mergeCell ref="K218:N218"/>
    <mergeCell ref="D219:F219"/>
    <mergeCell ref="G219:J219"/>
    <mergeCell ref="K219:N219"/>
    <mergeCell ref="D220:F220"/>
    <mergeCell ref="G220:J220"/>
    <mergeCell ref="K220:N220"/>
    <mergeCell ref="D221:F221"/>
    <mergeCell ref="G221:J221"/>
    <mergeCell ref="K221:N221"/>
    <mergeCell ref="D222:F222"/>
    <mergeCell ref="G222:J222"/>
    <mergeCell ref="K222:N222"/>
    <mergeCell ref="D223:F223"/>
    <mergeCell ref="G223:J223"/>
    <mergeCell ref="K223:N223"/>
    <mergeCell ref="D224:F224"/>
    <mergeCell ref="G224:J224"/>
    <mergeCell ref="K224:N224"/>
    <mergeCell ref="D225:F225"/>
    <mergeCell ref="G225:J225"/>
    <mergeCell ref="K225:N225"/>
    <mergeCell ref="D226:F226"/>
    <mergeCell ref="G226:J226"/>
    <mergeCell ref="K226:N226"/>
    <mergeCell ref="D227:F227"/>
    <mergeCell ref="G227:J227"/>
    <mergeCell ref="K227:N227"/>
  </mergeCells>
  <phoneticPr fontId="1" type="noConversion"/>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Z38"/>
  <sheetViews>
    <sheetView showGridLines="0" tabSelected="1" zoomScale="90" zoomScaleNormal="90" zoomScaleSheetLayoutView="80" workbookViewId="0">
      <selection activeCell="C1" sqref="C1:K1"/>
    </sheetView>
  </sheetViews>
  <sheetFormatPr defaultRowHeight="12" x14ac:dyDescent="0.3"/>
  <cols>
    <col min="1" max="1" width="1.625" style="2" customWidth="1"/>
    <col min="2" max="2" width="7.75" style="84" customWidth="1"/>
    <col min="3" max="3" width="6.75" style="2" customWidth="1"/>
    <col min="4" max="4" width="4.375" style="2" customWidth="1"/>
    <col min="5" max="5" width="20.75" style="2" customWidth="1"/>
    <col min="6" max="6" width="6.5" style="2" customWidth="1"/>
    <col min="7" max="7" width="9.875" style="2" customWidth="1"/>
    <col min="8" max="8" width="11.625" style="2" customWidth="1"/>
    <col min="9" max="9" width="5.5" style="2" customWidth="1"/>
    <col min="10" max="10" width="5.375" style="2" customWidth="1"/>
    <col min="11" max="11" width="9" style="2" customWidth="1"/>
    <col min="12" max="12" width="1" style="2" customWidth="1"/>
    <col min="13" max="26" width="4.25" style="2" customWidth="1"/>
    <col min="27" max="251" width="9" style="2"/>
    <col min="252" max="252" width="2.125" style="2" customWidth="1"/>
    <col min="253" max="253" width="6.75" style="2" customWidth="1"/>
    <col min="254" max="254" width="8.625" style="2" customWidth="1"/>
    <col min="255" max="255" width="8.875" style="2" customWidth="1"/>
    <col min="256" max="256" width="3.5" style="2" customWidth="1"/>
    <col min="257" max="257" width="6.5" style="2" customWidth="1"/>
    <col min="258" max="258" width="9" style="2" customWidth="1"/>
    <col min="259" max="259" width="11.625" style="2" customWidth="1"/>
    <col min="260" max="260" width="5.5" style="2" customWidth="1"/>
    <col min="261" max="261" width="5.375" style="2" customWidth="1"/>
    <col min="262" max="262" width="8.125" style="2" customWidth="1"/>
    <col min="263" max="282" width="4.25" style="2" customWidth="1"/>
    <col min="283" max="507" width="9" style="2"/>
    <col min="508" max="508" width="2.125" style="2" customWidth="1"/>
    <col min="509" max="509" width="6.75" style="2" customWidth="1"/>
    <col min="510" max="510" width="8.625" style="2" customWidth="1"/>
    <col min="511" max="511" width="8.875" style="2" customWidth="1"/>
    <col min="512" max="512" width="3.5" style="2" customWidth="1"/>
    <col min="513" max="513" width="6.5" style="2" customWidth="1"/>
    <col min="514" max="514" width="9" style="2" customWidth="1"/>
    <col min="515" max="515" width="11.625" style="2" customWidth="1"/>
    <col min="516" max="516" width="5.5" style="2" customWidth="1"/>
    <col min="517" max="517" width="5.375" style="2" customWidth="1"/>
    <col min="518" max="518" width="8.125" style="2" customWidth="1"/>
    <col min="519" max="538" width="4.25" style="2" customWidth="1"/>
    <col min="539" max="763" width="9" style="2"/>
    <col min="764" max="764" width="2.125" style="2" customWidth="1"/>
    <col min="765" max="765" width="6.75" style="2" customWidth="1"/>
    <col min="766" max="766" width="8.625" style="2" customWidth="1"/>
    <col min="767" max="767" width="8.875" style="2" customWidth="1"/>
    <col min="768" max="768" width="3.5" style="2" customWidth="1"/>
    <col min="769" max="769" width="6.5" style="2" customWidth="1"/>
    <col min="770" max="770" width="9" style="2" customWidth="1"/>
    <col min="771" max="771" width="11.625" style="2" customWidth="1"/>
    <col min="772" max="772" width="5.5" style="2" customWidth="1"/>
    <col min="773" max="773" width="5.375" style="2" customWidth="1"/>
    <col min="774" max="774" width="8.125" style="2" customWidth="1"/>
    <col min="775" max="794" width="4.25" style="2" customWidth="1"/>
    <col min="795" max="1019" width="9" style="2"/>
    <col min="1020" max="1020" width="2.125" style="2" customWidth="1"/>
    <col min="1021" max="1021" width="6.75" style="2" customWidth="1"/>
    <col min="1022" max="1022" width="8.625" style="2" customWidth="1"/>
    <col min="1023" max="1023" width="8.875" style="2" customWidth="1"/>
    <col min="1024" max="1024" width="3.5" style="2" customWidth="1"/>
    <col min="1025" max="1025" width="6.5" style="2" customWidth="1"/>
    <col min="1026" max="1026" width="9" style="2" customWidth="1"/>
    <col min="1027" max="1027" width="11.625" style="2" customWidth="1"/>
    <col min="1028" max="1028" width="5.5" style="2" customWidth="1"/>
    <col min="1029" max="1029" width="5.375" style="2" customWidth="1"/>
    <col min="1030" max="1030" width="8.125" style="2" customWidth="1"/>
    <col min="1031" max="1050" width="4.25" style="2" customWidth="1"/>
    <col min="1051" max="1275" width="9" style="2"/>
    <col min="1276" max="1276" width="2.125" style="2" customWidth="1"/>
    <col min="1277" max="1277" width="6.75" style="2" customWidth="1"/>
    <col min="1278" max="1278" width="8.625" style="2" customWidth="1"/>
    <col min="1279" max="1279" width="8.875" style="2" customWidth="1"/>
    <col min="1280" max="1280" width="3.5" style="2" customWidth="1"/>
    <col min="1281" max="1281" width="6.5" style="2" customWidth="1"/>
    <col min="1282" max="1282" width="9" style="2" customWidth="1"/>
    <col min="1283" max="1283" width="11.625" style="2" customWidth="1"/>
    <col min="1284" max="1284" width="5.5" style="2" customWidth="1"/>
    <col min="1285" max="1285" width="5.375" style="2" customWidth="1"/>
    <col min="1286" max="1286" width="8.125" style="2" customWidth="1"/>
    <col min="1287" max="1306" width="4.25" style="2" customWidth="1"/>
    <col min="1307" max="1531" width="9" style="2"/>
    <col min="1532" max="1532" width="2.125" style="2" customWidth="1"/>
    <col min="1533" max="1533" width="6.75" style="2" customWidth="1"/>
    <col min="1534" max="1534" width="8.625" style="2" customWidth="1"/>
    <col min="1535" max="1535" width="8.875" style="2" customWidth="1"/>
    <col min="1536" max="1536" width="3.5" style="2" customWidth="1"/>
    <col min="1537" max="1537" width="6.5" style="2" customWidth="1"/>
    <col min="1538" max="1538" width="9" style="2" customWidth="1"/>
    <col min="1539" max="1539" width="11.625" style="2" customWidth="1"/>
    <col min="1540" max="1540" width="5.5" style="2" customWidth="1"/>
    <col min="1541" max="1541" width="5.375" style="2" customWidth="1"/>
    <col min="1542" max="1542" width="8.125" style="2" customWidth="1"/>
    <col min="1543" max="1562" width="4.25" style="2" customWidth="1"/>
    <col min="1563" max="1787" width="9" style="2"/>
    <col min="1788" max="1788" width="2.125" style="2" customWidth="1"/>
    <col min="1789" max="1789" width="6.75" style="2" customWidth="1"/>
    <col min="1790" max="1790" width="8.625" style="2" customWidth="1"/>
    <col min="1791" max="1791" width="8.875" style="2" customWidth="1"/>
    <col min="1792" max="1792" width="3.5" style="2" customWidth="1"/>
    <col min="1793" max="1793" width="6.5" style="2" customWidth="1"/>
    <col min="1794" max="1794" width="9" style="2" customWidth="1"/>
    <col min="1795" max="1795" width="11.625" style="2" customWidth="1"/>
    <col min="1796" max="1796" width="5.5" style="2" customWidth="1"/>
    <col min="1797" max="1797" width="5.375" style="2" customWidth="1"/>
    <col min="1798" max="1798" width="8.125" style="2" customWidth="1"/>
    <col min="1799" max="1818" width="4.25" style="2" customWidth="1"/>
    <col min="1819" max="2043" width="9" style="2"/>
    <col min="2044" max="2044" width="2.125" style="2" customWidth="1"/>
    <col min="2045" max="2045" width="6.75" style="2" customWidth="1"/>
    <col min="2046" max="2046" width="8.625" style="2" customWidth="1"/>
    <col min="2047" max="2047" width="8.875" style="2" customWidth="1"/>
    <col min="2048" max="2048" width="3.5" style="2" customWidth="1"/>
    <col min="2049" max="2049" width="6.5" style="2" customWidth="1"/>
    <col min="2050" max="2050" width="9" style="2" customWidth="1"/>
    <col min="2051" max="2051" width="11.625" style="2" customWidth="1"/>
    <col min="2052" max="2052" width="5.5" style="2" customWidth="1"/>
    <col min="2053" max="2053" width="5.375" style="2" customWidth="1"/>
    <col min="2054" max="2054" width="8.125" style="2" customWidth="1"/>
    <col min="2055" max="2074" width="4.25" style="2" customWidth="1"/>
    <col min="2075" max="2299" width="9" style="2"/>
    <col min="2300" max="2300" width="2.125" style="2" customWidth="1"/>
    <col min="2301" max="2301" width="6.75" style="2" customWidth="1"/>
    <col min="2302" max="2302" width="8.625" style="2" customWidth="1"/>
    <col min="2303" max="2303" width="8.875" style="2" customWidth="1"/>
    <col min="2304" max="2304" width="3.5" style="2" customWidth="1"/>
    <col min="2305" max="2305" width="6.5" style="2" customWidth="1"/>
    <col min="2306" max="2306" width="9" style="2" customWidth="1"/>
    <col min="2307" max="2307" width="11.625" style="2" customWidth="1"/>
    <col min="2308" max="2308" width="5.5" style="2" customWidth="1"/>
    <col min="2309" max="2309" width="5.375" style="2" customWidth="1"/>
    <col min="2310" max="2310" width="8.125" style="2" customWidth="1"/>
    <col min="2311" max="2330" width="4.25" style="2" customWidth="1"/>
    <col min="2331" max="2555" width="9" style="2"/>
    <col min="2556" max="2556" width="2.125" style="2" customWidth="1"/>
    <col min="2557" max="2557" width="6.75" style="2" customWidth="1"/>
    <col min="2558" max="2558" width="8.625" style="2" customWidth="1"/>
    <col min="2559" max="2559" width="8.875" style="2" customWidth="1"/>
    <col min="2560" max="2560" width="3.5" style="2" customWidth="1"/>
    <col min="2561" max="2561" width="6.5" style="2" customWidth="1"/>
    <col min="2562" max="2562" width="9" style="2" customWidth="1"/>
    <col min="2563" max="2563" width="11.625" style="2" customWidth="1"/>
    <col min="2564" max="2564" width="5.5" style="2" customWidth="1"/>
    <col min="2565" max="2565" width="5.375" style="2" customWidth="1"/>
    <col min="2566" max="2566" width="8.125" style="2" customWidth="1"/>
    <col min="2567" max="2586" width="4.25" style="2" customWidth="1"/>
    <col min="2587" max="2811" width="9" style="2"/>
    <col min="2812" max="2812" width="2.125" style="2" customWidth="1"/>
    <col min="2813" max="2813" width="6.75" style="2" customWidth="1"/>
    <col min="2814" max="2814" width="8.625" style="2" customWidth="1"/>
    <col min="2815" max="2815" width="8.875" style="2" customWidth="1"/>
    <col min="2816" max="2816" width="3.5" style="2" customWidth="1"/>
    <col min="2817" max="2817" width="6.5" style="2" customWidth="1"/>
    <col min="2818" max="2818" width="9" style="2" customWidth="1"/>
    <col min="2819" max="2819" width="11.625" style="2" customWidth="1"/>
    <col min="2820" max="2820" width="5.5" style="2" customWidth="1"/>
    <col min="2821" max="2821" width="5.375" style="2" customWidth="1"/>
    <col min="2822" max="2822" width="8.125" style="2" customWidth="1"/>
    <col min="2823" max="2842" width="4.25" style="2" customWidth="1"/>
    <col min="2843" max="3067" width="9" style="2"/>
    <col min="3068" max="3068" width="2.125" style="2" customWidth="1"/>
    <col min="3069" max="3069" width="6.75" style="2" customWidth="1"/>
    <col min="3070" max="3070" width="8.625" style="2" customWidth="1"/>
    <col min="3071" max="3071" width="8.875" style="2" customWidth="1"/>
    <col min="3072" max="3072" width="3.5" style="2" customWidth="1"/>
    <col min="3073" max="3073" width="6.5" style="2" customWidth="1"/>
    <col min="3074" max="3074" width="9" style="2" customWidth="1"/>
    <col min="3075" max="3075" width="11.625" style="2" customWidth="1"/>
    <col min="3076" max="3076" width="5.5" style="2" customWidth="1"/>
    <col min="3077" max="3077" width="5.375" style="2" customWidth="1"/>
    <col min="3078" max="3078" width="8.125" style="2" customWidth="1"/>
    <col min="3079" max="3098" width="4.25" style="2" customWidth="1"/>
    <col min="3099" max="3323" width="9" style="2"/>
    <col min="3324" max="3324" width="2.125" style="2" customWidth="1"/>
    <col min="3325" max="3325" width="6.75" style="2" customWidth="1"/>
    <col min="3326" max="3326" width="8.625" style="2" customWidth="1"/>
    <col min="3327" max="3327" width="8.875" style="2" customWidth="1"/>
    <col min="3328" max="3328" width="3.5" style="2" customWidth="1"/>
    <col min="3329" max="3329" width="6.5" style="2" customWidth="1"/>
    <col min="3330" max="3330" width="9" style="2" customWidth="1"/>
    <col min="3331" max="3331" width="11.625" style="2" customWidth="1"/>
    <col min="3332" max="3332" width="5.5" style="2" customWidth="1"/>
    <col min="3333" max="3333" width="5.375" style="2" customWidth="1"/>
    <col min="3334" max="3334" width="8.125" style="2" customWidth="1"/>
    <col min="3335" max="3354" width="4.25" style="2" customWidth="1"/>
    <col min="3355" max="3579" width="9" style="2"/>
    <col min="3580" max="3580" width="2.125" style="2" customWidth="1"/>
    <col min="3581" max="3581" width="6.75" style="2" customWidth="1"/>
    <col min="3582" max="3582" width="8.625" style="2" customWidth="1"/>
    <col min="3583" max="3583" width="8.875" style="2" customWidth="1"/>
    <col min="3584" max="3584" width="3.5" style="2" customWidth="1"/>
    <col min="3585" max="3585" width="6.5" style="2" customWidth="1"/>
    <col min="3586" max="3586" width="9" style="2" customWidth="1"/>
    <col min="3587" max="3587" width="11.625" style="2" customWidth="1"/>
    <col min="3588" max="3588" width="5.5" style="2" customWidth="1"/>
    <col min="3589" max="3589" width="5.375" style="2" customWidth="1"/>
    <col min="3590" max="3590" width="8.125" style="2" customWidth="1"/>
    <col min="3591" max="3610" width="4.25" style="2" customWidth="1"/>
    <col min="3611" max="3835" width="9" style="2"/>
    <col min="3836" max="3836" width="2.125" style="2" customWidth="1"/>
    <col min="3837" max="3837" width="6.75" style="2" customWidth="1"/>
    <col min="3838" max="3838" width="8.625" style="2" customWidth="1"/>
    <col min="3839" max="3839" width="8.875" style="2" customWidth="1"/>
    <col min="3840" max="3840" width="3.5" style="2" customWidth="1"/>
    <col min="3841" max="3841" width="6.5" style="2" customWidth="1"/>
    <col min="3842" max="3842" width="9" style="2" customWidth="1"/>
    <col min="3843" max="3843" width="11.625" style="2" customWidth="1"/>
    <col min="3844" max="3844" width="5.5" style="2" customWidth="1"/>
    <col min="3845" max="3845" width="5.375" style="2" customWidth="1"/>
    <col min="3846" max="3846" width="8.125" style="2" customWidth="1"/>
    <col min="3847" max="3866" width="4.25" style="2" customWidth="1"/>
    <col min="3867" max="4091" width="9" style="2"/>
    <col min="4092" max="4092" width="2.125" style="2" customWidth="1"/>
    <col min="4093" max="4093" width="6.75" style="2" customWidth="1"/>
    <col min="4094" max="4094" width="8.625" style="2" customWidth="1"/>
    <col min="4095" max="4095" width="8.875" style="2" customWidth="1"/>
    <col min="4096" max="4096" width="3.5" style="2" customWidth="1"/>
    <col min="4097" max="4097" width="6.5" style="2" customWidth="1"/>
    <col min="4098" max="4098" width="9" style="2" customWidth="1"/>
    <col min="4099" max="4099" width="11.625" style="2" customWidth="1"/>
    <col min="4100" max="4100" width="5.5" style="2" customWidth="1"/>
    <col min="4101" max="4101" width="5.375" style="2" customWidth="1"/>
    <col min="4102" max="4102" width="8.125" style="2" customWidth="1"/>
    <col min="4103" max="4122" width="4.25" style="2" customWidth="1"/>
    <col min="4123" max="4347" width="9" style="2"/>
    <col min="4348" max="4348" width="2.125" style="2" customWidth="1"/>
    <col min="4349" max="4349" width="6.75" style="2" customWidth="1"/>
    <col min="4350" max="4350" width="8.625" style="2" customWidth="1"/>
    <col min="4351" max="4351" width="8.875" style="2" customWidth="1"/>
    <col min="4352" max="4352" width="3.5" style="2" customWidth="1"/>
    <col min="4353" max="4353" width="6.5" style="2" customWidth="1"/>
    <col min="4354" max="4354" width="9" style="2" customWidth="1"/>
    <col min="4355" max="4355" width="11.625" style="2" customWidth="1"/>
    <col min="4356" max="4356" width="5.5" style="2" customWidth="1"/>
    <col min="4357" max="4357" width="5.375" style="2" customWidth="1"/>
    <col min="4358" max="4358" width="8.125" style="2" customWidth="1"/>
    <col min="4359" max="4378" width="4.25" style="2" customWidth="1"/>
    <col min="4379" max="4603" width="9" style="2"/>
    <col min="4604" max="4604" width="2.125" style="2" customWidth="1"/>
    <col min="4605" max="4605" width="6.75" style="2" customWidth="1"/>
    <col min="4606" max="4606" width="8.625" style="2" customWidth="1"/>
    <col min="4607" max="4607" width="8.875" style="2" customWidth="1"/>
    <col min="4608" max="4608" width="3.5" style="2" customWidth="1"/>
    <col min="4609" max="4609" width="6.5" style="2" customWidth="1"/>
    <col min="4610" max="4610" width="9" style="2" customWidth="1"/>
    <col min="4611" max="4611" width="11.625" style="2" customWidth="1"/>
    <col min="4612" max="4612" width="5.5" style="2" customWidth="1"/>
    <col min="4613" max="4613" width="5.375" style="2" customWidth="1"/>
    <col min="4614" max="4614" width="8.125" style="2" customWidth="1"/>
    <col min="4615" max="4634" width="4.25" style="2" customWidth="1"/>
    <col min="4635" max="4859" width="9" style="2"/>
    <col min="4860" max="4860" width="2.125" style="2" customWidth="1"/>
    <col min="4861" max="4861" width="6.75" style="2" customWidth="1"/>
    <col min="4862" max="4862" width="8.625" style="2" customWidth="1"/>
    <col min="4863" max="4863" width="8.875" style="2" customWidth="1"/>
    <col min="4864" max="4864" width="3.5" style="2" customWidth="1"/>
    <col min="4865" max="4865" width="6.5" style="2" customWidth="1"/>
    <col min="4866" max="4866" width="9" style="2" customWidth="1"/>
    <col min="4867" max="4867" width="11.625" style="2" customWidth="1"/>
    <col min="4868" max="4868" width="5.5" style="2" customWidth="1"/>
    <col min="4869" max="4869" width="5.375" style="2" customWidth="1"/>
    <col min="4870" max="4870" width="8.125" style="2" customWidth="1"/>
    <col min="4871" max="4890" width="4.25" style="2" customWidth="1"/>
    <col min="4891" max="5115" width="9" style="2"/>
    <col min="5116" max="5116" width="2.125" style="2" customWidth="1"/>
    <col min="5117" max="5117" width="6.75" style="2" customWidth="1"/>
    <col min="5118" max="5118" width="8.625" style="2" customWidth="1"/>
    <col min="5119" max="5119" width="8.875" style="2" customWidth="1"/>
    <col min="5120" max="5120" width="3.5" style="2" customWidth="1"/>
    <col min="5121" max="5121" width="6.5" style="2" customWidth="1"/>
    <col min="5122" max="5122" width="9" style="2" customWidth="1"/>
    <col min="5123" max="5123" width="11.625" style="2" customWidth="1"/>
    <col min="5124" max="5124" width="5.5" style="2" customWidth="1"/>
    <col min="5125" max="5125" width="5.375" style="2" customWidth="1"/>
    <col min="5126" max="5126" width="8.125" style="2" customWidth="1"/>
    <col min="5127" max="5146" width="4.25" style="2" customWidth="1"/>
    <col min="5147" max="5371" width="9" style="2"/>
    <col min="5372" max="5372" width="2.125" style="2" customWidth="1"/>
    <col min="5373" max="5373" width="6.75" style="2" customWidth="1"/>
    <col min="5374" max="5374" width="8.625" style="2" customWidth="1"/>
    <col min="5375" max="5375" width="8.875" style="2" customWidth="1"/>
    <col min="5376" max="5376" width="3.5" style="2" customWidth="1"/>
    <col min="5377" max="5377" width="6.5" style="2" customWidth="1"/>
    <col min="5378" max="5378" width="9" style="2" customWidth="1"/>
    <col min="5379" max="5379" width="11.625" style="2" customWidth="1"/>
    <col min="5380" max="5380" width="5.5" style="2" customWidth="1"/>
    <col min="5381" max="5381" width="5.375" style="2" customWidth="1"/>
    <col min="5382" max="5382" width="8.125" style="2" customWidth="1"/>
    <col min="5383" max="5402" width="4.25" style="2" customWidth="1"/>
    <col min="5403" max="5627" width="9" style="2"/>
    <col min="5628" max="5628" width="2.125" style="2" customWidth="1"/>
    <col min="5629" max="5629" width="6.75" style="2" customWidth="1"/>
    <col min="5630" max="5630" width="8.625" style="2" customWidth="1"/>
    <col min="5631" max="5631" width="8.875" style="2" customWidth="1"/>
    <col min="5632" max="5632" width="3.5" style="2" customWidth="1"/>
    <col min="5633" max="5633" width="6.5" style="2" customWidth="1"/>
    <col min="5634" max="5634" width="9" style="2" customWidth="1"/>
    <col min="5635" max="5635" width="11.625" style="2" customWidth="1"/>
    <col min="5636" max="5636" width="5.5" style="2" customWidth="1"/>
    <col min="5637" max="5637" width="5.375" style="2" customWidth="1"/>
    <col min="5638" max="5638" width="8.125" style="2" customWidth="1"/>
    <col min="5639" max="5658" width="4.25" style="2" customWidth="1"/>
    <col min="5659" max="5883" width="9" style="2"/>
    <col min="5884" max="5884" width="2.125" style="2" customWidth="1"/>
    <col min="5885" max="5885" width="6.75" style="2" customWidth="1"/>
    <col min="5886" max="5886" width="8.625" style="2" customWidth="1"/>
    <col min="5887" max="5887" width="8.875" style="2" customWidth="1"/>
    <col min="5888" max="5888" width="3.5" style="2" customWidth="1"/>
    <col min="5889" max="5889" width="6.5" style="2" customWidth="1"/>
    <col min="5890" max="5890" width="9" style="2" customWidth="1"/>
    <col min="5891" max="5891" width="11.625" style="2" customWidth="1"/>
    <col min="5892" max="5892" width="5.5" style="2" customWidth="1"/>
    <col min="5893" max="5893" width="5.375" style="2" customWidth="1"/>
    <col min="5894" max="5894" width="8.125" style="2" customWidth="1"/>
    <col min="5895" max="5914" width="4.25" style="2" customWidth="1"/>
    <col min="5915" max="6139" width="9" style="2"/>
    <col min="6140" max="6140" width="2.125" style="2" customWidth="1"/>
    <col min="6141" max="6141" width="6.75" style="2" customWidth="1"/>
    <col min="6142" max="6142" width="8.625" style="2" customWidth="1"/>
    <col min="6143" max="6143" width="8.875" style="2" customWidth="1"/>
    <col min="6144" max="6144" width="3.5" style="2" customWidth="1"/>
    <col min="6145" max="6145" width="6.5" style="2" customWidth="1"/>
    <col min="6146" max="6146" width="9" style="2" customWidth="1"/>
    <col min="6147" max="6147" width="11.625" style="2" customWidth="1"/>
    <col min="6148" max="6148" width="5.5" style="2" customWidth="1"/>
    <col min="6149" max="6149" width="5.375" style="2" customWidth="1"/>
    <col min="6150" max="6150" width="8.125" style="2" customWidth="1"/>
    <col min="6151" max="6170" width="4.25" style="2" customWidth="1"/>
    <col min="6171" max="6395" width="9" style="2"/>
    <col min="6396" max="6396" width="2.125" style="2" customWidth="1"/>
    <col min="6397" max="6397" width="6.75" style="2" customWidth="1"/>
    <col min="6398" max="6398" width="8.625" style="2" customWidth="1"/>
    <col min="6399" max="6399" width="8.875" style="2" customWidth="1"/>
    <col min="6400" max="6400" width="3.5" style="2" customWidth="1"/>
    <col min="6401" max="6401" width="6.5" style="2" customWidth="1"/>
    <col min="6402" max="6402" width="9" style="2" customWidth="1"/>
    <col min="6403" max="6403" width="11.625" style="2" customWidth="1"/>
    <col min="6404" max="6404" width="5.5" style="2" customWidth="1"/>
    <col min="6405" max="6405" width="5.375" style="2" customWidth="1"/>
    <col min="6406" max="6406" width="8.125" style="2" customWidth="1"/>
    <col min="6407" max="6426" width="4.25" style="2" customWidth="1"/>
    <col min="6427" max="6651" width="9" style="2"/>
    <col min="6652" max="6652" width="2.125" style="2" customWidth="1"/>
    <col min="6653" max="6653" width="6.75" style="2" customWidth="1"/>
    <col min="6654" max="6654" width="8.625" style="2" customWidth="1"/>
    <col min="6655" max="6655" width="8.875" style="2" customWidth="1"/>
    <col min="6656" max="6656" width="3.5" style="2" customWidth="1"/>
    <col min="6657" max="6657" width="6.5" style="2" customWidth="1"/>
    <col min="6658" max="6658" width="9" style="2" customWidth="1"/>
    <col min="6659" max="6659" width="11.625" style="2" customWidth="1"/>
    <col min="6660" max="6660" width="5.5" style="2" customWidth="1"/>
    <col min="6661" max="6661" width="5.375" style="2" customWidth="1"/>
    <col min="6662" max="6662" width="8.125" style="2" customWidth="1"/>
    <col min="6663" max="6682" width="4.25" style="2" customWidth="1"/>
    <col min="6683" max="6907" width="9" style="2"/>
    <col min="6908" max="6908" width="2.125" style="2" customWidth="1"/>
    <col min="6909" max="6909" width="6.75" style="2" customWidth="1"/>
    <col min="6910" max="6910" width="8.625" style="2" customWidth="1"/>
    <col min="6911" max="6911" width="8.875" style="2" customWidth="1"/>
    <col min="6912" max="6912" width="3.5" style="2" customWidth="1"/>
    <col min="6913" max="6913" width="6.5" style="2" customWidth="1"/>
    <col min="6914" max="6914" width="9" style="2" customWidth="1"/>
    <col min="6915" max="6915" width="11.625" style="2" customWidth="1"/>
    <col min="6916" max="6916" width="5.5" style="2" customWidth="1"/>
    <col min="6917" max="6917" width="5.375" style="2" customWidth="1"/>
    <col min="6918" max="6918" width="8.125" style="2" customWidth="1"/>
    <col min="6919" max="6938" width="4.25" style="2" customWidth="1"/>
    <col min="6939" max="7163" width="9" style="2"/>
    <col min="7164" max="7164" width="2.125" style="2" customWidth="1"/>
    <col min="7165" max="7165" width="6.75" style="2" customWidth="1"/>
    <col min="7166" max="7166" width="8.625" style="2" customWidth="1"/>
    <col min="7167" max="7167" width="8.875" style="2" customWidth="1"/>
    <col min="7168" max="7168" width="3.5" style="2" customWidth="1"/>
    <col min="7169" max="7169" width="6.5" style="2" customWidth="1"/>
    <col min="7170" max="7170" width="9" style="2" customWidth="1"/>
    <col min="7171" max="7171" width="11.625" style="2" customWidth="1"/>
    <col min="7172" max="7172" width="5.5" style="2" customWidth="1"/>
    <col min="7173" max="7173" width="5.375" style="2" customWidth="1"/>
    <col min="7174" max="7174" width="8.125" style="2" customWidth="1"/>
    <col min="7175" max="7194" width="4.25" style="2" customWidth="1"/>
    <col min="7195" max="7419" width="9" style="2"/>
    <col min="7420" max="7420" width="2.125" style="2" customWidth="1"/>
    <col min="7421" max="7421" width="6.75" style="2" customWidth="1"/>
    <col min="7422" max="7422" width="8.625" style="2" customWidth="1"/>
    <col min="7423" max="7423" width="8.875" style="2" customWidth="1"/>
    <col min="7424" max="7424" width="3.5" style="2" customWidth="1"/>
    <col min="7425" max="7425" width="6.5" style="2" customWidth="1"/>
    <col min="7426" max="7426" width="9" style="2" customWidth="1"/>
    <col min="7427" max="7427" width="11.625" style="2" customWidth="1"/>
    <col min="7428" max="7428" width="5.5" style="2" customWidth="1"/>
    <col min="7429" max="7429" width="5.375" style="2" customWidth="1"/>
    <col min="7430" max="7430" width="8.125" style="2" customWidth="1"/>
    <col min="7431" max="7450" width="4.25" style="2" customWidth="1"/>
    <col min="7451" max="7675" width="9" style="2"/>
    <col min="7676" max="7676" width="2.125" style="2" customWidth="1"/>
    <col min="7677" max="7677" width="6.75" style="2" customWidth="1"/>
    <col min="7678" max="7678" width="8.625" style="2" customWidth="1"/>
    <col min="7679" max="7679" width="8.875" style="2" customWidth="1"/>
    <col min="7680" max="7680" width="3.5" style="2" customWidth="1"/>
    <col min="7681" max="7681" width="6.5" style="2" customWidth="1"/>
    <col min="7682" max="7682" width="9" style="2" customWidth="1"/>
    <col min="7683" max="7683" width="11.625" style="2" customWidth="1"/>
    <col min="7684" max="7684" width="5.5" style="2" customWidth="1"/>
    <col min="7685" max="7685" width="5.375" style="2" customWidth="1"/>
    <col min="7686" max="7686" width="8.125" style="2" customWidth="1"/>
    <col min="7687" max="7706" width="4.25" style="2" customWidth="1"/>
    <col min="7707" max="7931" width="9" style="2"/>
    <col min="7932" max="7932" width="2.125" style="2" customWidth="1"/>
    <col min="7933" max="7933" width="6.75" style="2" customWidth="1"/>
    <col min="7934" max="7934" width="8.625" style="2" customWidth="1"/>
    <col min="7935" max="7935" width="8.875" style="2" customWidth="1"/>
    <col min="7936" max="7936" width="3.5" style="2" customWidth="1"/>
    <col min="7937" max="7937" width="6.5" style="2" customWidth="1"/>
    <col min="7938" max="7938" width="9" style="2" customWidth="1"/>
    <col min="7939" max="7939" width="11.625" style="2" customWidth="1"/>
    <col min="7940" max="7940" width="5.5" style="2" customWidth="1"/>
    <col min="7941" max="7941" width="5.375" style="2" customWidth="1"/>
    <col min="7942" max="7942" width="8.125" style="2" customWidth="1"/>
    <col min="7943" max="7962" width="4.25" style="2" customWidth="1"/>
    <col min="7963" max="8187" width="9" style="2"/>
    <col min="8188" max="8188" width="2.125" style="2" customWidth="1"/>
    <col min="8189" max="8189" width="6.75" style="2" customWidth="1"/>
    <col min="8190" max="8190" width="8.625" style="2" customWidth="1"/>
    <col min="8191" max="8191" width="8.875" style="2" customWidth="1"/>
    <col min="8192" max="8192" width="3.5" style="2" customWidth="1"/>
    <col min="8193" max="8193" width="6.5" style="2" customWidth="1"/>
    <col min="8194" max="8194" width="9" style="2" customWidth="1"/>
    <col min="8195" max="8195" width="11.625" style="2" customWidth="1"/>
    <col min="8196" max="8196" width="5.5" style="2" customWidth="1"/>
    <col min="8197" max="8197" width="5.375" style="2" customWidth="1"/>
    <col min="8198" max="8198" width="8.125" style="2" customWidth="1"/>
    <col min="8199" max="8218" width="4.25" style="2" customWidth="1"/>
    <col min="8219" max="8443" width="9" style="2"/>
    <col min="8444" max="8444" width="2.125" style="2" customWidth="1"/>
    <col min="8445" max="8445" width="6.75" style="2" customWidth="1"/>
    <col min="8446" max="8446" width="8.625" style="2" customWidth="1"/>
    <col min="8447" max="8447" width="8.875" style="2" customWidth="1"/>
    <col min="8448" max="8448" width="3.5" style="2" customWidth="1"/>
    <col min="8449" max="8449" width="6.5" style="2" customWidth="1"/>
    <col min="8450" max="8450" width="9" style="2" customWidth="1"/>
    <col min="8451" max="8451" width="11.625" style="2" customWidth="1"/>
    <col min="8452" max="8452" width="5.5" style="2" customWidth="1"/>
    <col min="8453" max="8453" width="5.375" style="2" customWidth="1"/>
    <col min="8454" max="8454" width="8.125" style="2" customWidth="1"/>
    <col min="8455" max="8474" width="4.25" style="2" customWidth="1"/>
    <col min="8475" max="8699" width="9" style="2"/>
    <col min="8700" max="8700" width="2.125" style="2" customWidth="1"/>
    <col min="8701" max="8701" width="6.75" style="2" customWidth="1"/>
    <col min="8702" max="8702" width="8.625" style="2" customWidth="1"/>
    <col min="8703" max="8703" width="8.875" style="2" customWidth="1"/>
    <col min="8704" max="8704" width="3.5" style="2" customWidth="1"/>
    <col min="8705" max="8705" width="6.5" style="2" customWidth="1"/>
    <col min="8706" max="8706" width="9" style="2" customWidth="1"/>
    <col min="8707" max="8707" width="11.625" style="2" customWidth="1"/>
    <col min="8708" max="8708" width="5.5" style="2" customWidth="1"/>
    <col min="8709" max="8709" width="5.375" style="2" customWidth="1"/>
    <col min="8710" max="8710" width="8.125" style="2" customWidth="1"/>
    <col min="8711" max="8730" width="4.25" style="2" customWidth="1"/>
    <col min="8731" max="8955" width="9" style="2"/>
    <col min="8956" max="8956" width="2.125" style="2" customWidth="1"/>
    <col min="8957" max="8957" width="6.75" style="2" customWidth="1"/>
    <col min="8958" max="8958" width="8.625" style="2" customWidth="1"/>
    <col min="8959" max="8959" width="8.875" style="2" customWidth="1"/>
    <col min="8960" max="8960" width="3.5" style="2" customWidth="1"/>
    <col min="8961" max="8961" width="6.5" style="2" customWidth="1"/>
    <col min="8962" max="8962" width="9" style="2" customWidth="1"/>
    <col min="8963" max="8963" width="11.625" style="2" customWidth="1"/>
    <col min="8964" max="8964" width="5.5" style="2" customWidth="1"/>
    <col min="8965" max="8965" width="5.375" style="2" customWidth="1"/>
    <col min="8966" max="8966" width="8.125" style="2" customWidth="1"/>
    <col min="8967" max="8986" width="4.25" style="2" customWidth="1"/>
    <col min="8987" max="9211" width="9" style="2"/>
    <col min="9212" max="9212" width="2.125" style="2" customWidth="1"/>
    <col min="9213" max="9213" width="6.75" style="2" customWidth="1"/>
    <col min="9214" max="9214" width="8.625" style="2" customWidth="1"/>
    <col min="9215" max="9215" width="8.875" style="2" customWidth="1"/>
    <col min="9216" max="9216" width="3.5" style="2" customWidth="1"/>
    <col min="9217" max="9217" width="6.5" style="2" customWidth="1"/>
    <col min="9218" max="9218" width="9" style="2" customWidth="1"/>
    <col min="9219" max="9219" width="11.625" style="2" customWidth="1"/>
    <col min="9220" max="9220" width="5.5" style="2" customWidth="1"/>
    <col min="9221" max="9221" width="5.375" style="2" customWidth="1"/>
    <col min="9222" max="9222" width="8.125" style="2" customWidth="1"/>
    <col min="9223" max="9242" width="4.25" style="2" customWidth="1"/>
    <col min="9243" max="9467" width="9" style="2"/>
    <col min="9468" max="9468" width="2.125" style="2" customWidth="1"/>
    <col min="9469" max="9469" width="6.75" style="2" customWidth="1"/>
    <col min="9470" max="9470" width="8.625" style="2" customWidth="1"/>
    <col min="9471" max="9471" width="8.875" style="2" customWidth="1"/>
    <col min="9472" max="9472" width="3.5" style="2" customWidth="1"/>
    <col min="9473" max="9473" width="6.5" style="2" customWidth="1"/>
    <col min="9474" max="9474" width="9" style="2" customWidth="1"/>
    <col min="9475" max="9475" width="11.625" style="2" customWidth="1"/>
    <col min="9476" max="9476" width="5.5" style="2" customWidth="1"/>
    <col min="9477" max="9477" width="5.375" style="2" customWidth="1"/>
    <col min="9478" max="9478" width="8.125" style="2" customWidth="1"/>
    <col min="9479" max="9498" width="4.25" style="2" customWidth="1"/>
    <col min="9499" max="9723" width="9" style="2"/>
    <col min="9724" max="9724" width="2.125" style="2" customWidth="1"/>
    <col min="9725" max="9725" width="6.75" style="2" customWidth="1"/>
    <col min="9726" max="9726" width="8.625" style="2" customWidth="1"/>
    <col min="9727" max="9727" width="8.875" style="2" customWidth="1"/>
    <col min="9728" max="9728" width="3.5" style="2" customWidth="1"/>
    <col min="9729" max="9729" width="6.5" style="2" customWidth="1"/>
    <col min="9730" max="9730" width="9" style="2" customWidth="1"/>
    <col min="9731" max="9731" width="11.625" style="2" customWidth="1"/>
    <col min="9732" max="9732" width="5.5" style="2" customWidth="1"/>
    <col min="9733" max="9733" width="5.375" style="2" customWidth="1"/>
    <col min="9734" max="9734" width="8.125" style="2" customWidth="1"/>
    <col min="9735" max="9754" width="4.25" style="2" customWidth="1"/>
    <col min="9755" max="9979" width="9" style="2"/>
    <col min="9980" max="9980" width="2.125" style="2" customWidth="1"/>
    <col min="9981" max="9981" width="6.75" style="2" customWidth="1"/>
    <col min="9982" max="9982" width="8.625" style="2" customWidth="1"/>
    <col min="9983" max="9983" width="8.875" style="2" customWidth="1"/>
    <col min="9984" max="9984" width="3.5" style="2" customWidth="1"/>
    <col min="9985" max="9985" width="6.5" style="2" customWidth="1"/>
    <col min="9986" max="9986" width="9" style="2" customWidth="1"/>
    <col min="9987" max="9987" width="11.625" style="2" customWidth="1"/>
    <col min="9988" max="9988" width="5.5" style="2" customWidth="1"/>
    <col min="9989" max="9989" width="5.375" style="2" customWidth="1"/>
    <col min="9990" max="9990" width="8.125" style="2" customWidth="1"/>
    <col min="9991" max="10010" width="4.25" style="2" customWidth="1"/>
    <col min="10011" max="10235" width="9" style="2"/>
    <col min="10236" max="10236" width="2.125" style="2" customWidth="1"/>
    <col min="10237" max="10237" width="6.75" style="2" customWidth="1"/>
    <col min="10238" max="10238" width="8.625" style="2" customWidth="1"/>
    <col min="10239" max="10239" width="8.875" style="2" customWidth="1"/>
    <col min="10240" max="10240" width="3.5" style="2" customWidth="1"/>
    <col min="10241" max="10241" width="6.5" style="2" customWidth="1"/>
    <col min="10242" max="10242" width="9" style="2" customWidth="1"/>
    <col min="10243" max="10243" width="11.625" style="2" customWidth="1"/>
    <col min="10244" max="10244" width="5.5" style="2" customWidth="1"/>
    <col min="10245" max="10245" width="5.375" style="2" customWidth="1"/>
    <col min="10246" max="10246" width="8.125" style="2" customWidth="1"/>
    <col min="10247" max="10266" width="4.25" style="2" customWidth="1"/>
    <col min="10267" max="10491" width="9" style="2"/>
    <col min="10492" max="10492" width="2.125" style="2" customWidth="1"/>
    <col min="10493" max="10493" width="6.75" style="2" customWidth="1"/>
    <col min="10494" max="10494" width="8.625" style="2" customWidth="1"/>
    <col min="10495" max="10495" width="8.875" style="2" customWidth="1"/>
    <col min="10496" max="10496" width="3.5" style="2" customWidth="1"/>
    <col min="10497" max="10497" width="6.5" style="2" customWidth="1"/>
    <col min="10498" max="10498" width="9" style="2" customWidth="1"/>
    <col min="10499" max="10499" width="11.625" style="2" customWidth="1"/>
    <col min="10500" max="10500" width="5.5" style="2" customWidth="1"/>
    <col min="10501" max="10501" width="5.375" style="2" customWidth="1"/>
    <col min="10502" max="10502" width="8.125" style="2" customWidth="1"/>
    <col min="10503" max="10522" width="4.25" style="2" customWidth="1"/>
    <col min="10523" max="10747" width="9" style="2"/>
    <col min="10748" max="10748" width="2.125" style="2" customWidth="1"/>
    <col min="10749" max="10749" width="6.75" style="2" customWidth="1"/>
    <col min="10750" max="10750" width="8.625" style="2" customWidth="1"/>
    <col min="10751" max="10751" width="8.875" style="2" customWidth="1"/>
    <col min="10752" max="10752" width="3.5" style="2" customWidth="1"/>
    <col min="10753" max="10753" width="6.5" style="2" customWidth="1"/>
    <col min="10754" max="10754" width="9" style="2" customWidth="1"/>
    <col min="10755" max="10755" width="11.625" style="2" customWidth="1"/>
    <col min="10756" max="10756" width="5.5" style="2" customWidth="1"/>
    <col min="10757" max="10757" width="5.375" style="2" customWidth="1"/>
    <col min="10758" max="10758" width="8.125" style="2" customWidth="1"/>
    <col min="10759" max="10778" width="4.25" style="2" customWidth="1"/>
    <col min="10779" max="11003" width="9" style="2"/>
    <col min="11004" max="11004" width="2.125" style="2" customWidth="1"/>
    <col min="11005" max="11005" width="6.75" style="2" customWidth="1"/>
    <col min="11006" max="11006" width="8.625" style="2" customWidth="1"/>
    <col min="11007" max="11007" width="8.875" style="2" customWidth="1"/>
    <col min="11008" max="11008" width="3.5" style="2" customWidth="1"/>
    <col min="11009" max="11009" width="6.5" style="2" customWidth="1"/>
    <col min="11010" max="11010" width="9" style="2" customWidth="1"/>
    <col min="11011" max="11011" width="11.625" style="2" customWidth="1"/>
    <col min="11012" max="11012" width="5.5" style="2" customWidth="1"/>
    <col min="11013" max="11013" width="5.375" style="2" customWidth="1"/>
    <col min="11014" max="11014" width="8.125" style="2" customWidth="1"/>
    <col min="11015" max="11034" width="4.25" style="2" customWidth="1"/>
    <col min="11035" max="11259" width="9" style="2"/>
    <col min="11260" max="11260" width="2.125" style="2" customWidth="1"/>
    <col min="11261" max="11261" width="6.75" style="2" customWidth="1"/>
    <col min="11262" max="11262" width="8.625" style="2" customWidth="1"/>
    <col min="11263" max="11263" width="8.875" style="2" customWidth="1"/>
    <col min="11264" max="11264" width="3.5" style="2" customWidth="1"/>
    <col min="11265" max="11265" width="6.5" style="2" customWidth="1"/>
    <col min="11266" max="11266" width="9" style="2" customWidth="1"/>
    <col min="11267" max="11267" width="11.625" style="2" customWidth="1"/>
    <col min="11268" max="11268" width="5.5" style="2" customWidth="1"/>
    <col min="11269" max="11269" width="5.375" style="2" customWidth="1"/>
    <col min="11270" max="11270" width="8.125" style="2" customWidth="1"/>
    <col min="11271" max="11290" width="4.25" style="2" customWidth="1"/>
    <col min="11291" max="11515" width="9" style="2"/>
    <col min="11516" max="11516" width="2.125" style="2" customWidth="1"/>
    <col min="11517" max="11517" width="6.75" style="2" customWidth="1"/>
    <col min="11518" max="11518" width="8.625" style="2" customWidth="1"/>
    <col min="11519" max="11519" width="8.875" style="2" customWidth="1"/>
    <col min="11520" max="11520" width="3.5" style="2" customWidth="1"/>
    <col min="11521" max="11521" width="6.5" style="2" customWidth="1"/>
    <col min="11522" max="11522" width="9" style="2" customWidth="1"/>
    <col min="11523" max="11523" width="11.625" style="2" customWidth="1"/>
    <col min="11524" max="11524" width="5.5" style="2" customWidth="1"/>
    <col min="11525" max="11525" width="5.375" style="2" customWidth="1"/>
    <col min="11526" max="11526" width="8.125" style="2" customWidth="1"/>
    <col min="11527" max="11546" width="4.25" style="2" customWidth="1"/>
    <col min="11547" max="11771" width="9" style="2"/>
    <col min="11772" max="11772" width="2.125" style="2" customWidth="1"/>
    <col min="11773" max="11773" width="6.75" style="2" customWidth="1"/>
    <col min="11774" max="11774" width="8.625" style="2" customWidth="1"/>
    <col min="11775" max="11775" width="8.875" style="2" customWidth="1"/>
    <col min="11776" max="11776" width="3.5" style="2" customWidth="1"/>
    <col min="11777" max="11777" width="6.5" style="2" customWidth="1"/>
    <col min="11778" max="11778" width="9" style="2" customWidth="1"/>
    <col min="11779" max="11779" width="11.625" style="2" customWidth="1"/>
    <col min="11780" max="11780" width="5.5" style="2" customWidth="1"/>
    <col min="11781" max="11781" width="5.375" style="2" customWidth="1"/>
    <col min="11782" max="11782" width="8.125" style="2" customWidth="1"/>
    <col min="11783" max="11802" width="4.25" style="2" customWidth="1"/>
    <col min="11803" max="12027" width="9" style="2"/>
    <col min="12028" max="12028" width="2.125" style="2" customWidth="1"/>
    <col min="12029" max="12029" width="6.75" style="2" customWidth="1"/>
    <col min="12030" max="12030" width="8.625" style="2" customWidth="1"/>
    <col min="12031" max="12031" width="8.875" style="2" customWidth="1"/>
    <col min="12032" max="12032" width="3.5" style="2" customWidth="1"/>
    <col min="12033" max="12033" width="6.5" style="2" customWidth="1"/>
    <col min="12034" max="12034" width="9" style="2" customWidth="1"/>
    <col min="12035" max="12035" width="11.625" style="2" customWidth="1"/>
    <col min="12036" max="12036" width="5.5" style="2" customWidth="1"/>
    <col min="12037" max="12037" width="5.375" style="2" customWidth="1"/>
    <col min="12038" max="12038" width="8.125" style="2" customWidth="1"/>
    <col min="12039" max="12058" width="4.25" style="2" customWidth="1"/>
    <col min="12059" max="12283" width="9" style="2"/>
    <col min="12284" max="12284" width="2.125" style="2" customWidth="1"/>
    <col min="12285" max="12285" width="6.75" style="2" customWidth="1"/>
    <col min="12286" max="12286" width="8.625" style="2" customWidth="1"/>
    <col min="12287" max="12287" width="8.875" style="2" customWidth="1"/>
    <col min="12288" max="12288" width="3.5" style="2" customWidth="1"/>
    <col min="12289" max="12289" width="6.5" style="2" customWidth="1"/>
    <col min="12290" max="12290" width="9" style="2" customWidth="1"/>
    <col min="12291" max="12291" width="11.625" style="2" customWidth="1"/>
    <col min="12292" max="12292" width="5.5" style="2" customWidth="1"/>
    <col min="12293" max="12293" width="5.375" style="2" customWidth="1"/>
    <col min="12294" max="12294" width="8.125" style="2" customWidth="1"/>
    <col min="12295" max="12314" width="4.25" style="2" customWidth="1"/>
    <col min="12315" max="12539" width="9" style="2"/>
    <col min="12540" max="12540" width="2.125" style="2" customWidth="1"/>
    <col min="12541" max="12541" width="6.75" style="2" customWidth="1"/>
    <col min="12542" max="12542" width="8.625" style="2" customWidth="1"/>
    <col min="12543" max="12543" width="8.875" style="2" customWidth="1"/>
    <col min="12544" max="12544" width="3.5" style="2" customWidth="1"/>
    <col min="12545" max="12545" width="6.5" style="2" customWidth="1"/>
    <col min="12546" max="12546" width="9" style="2" customWidth="1"/>
    <col min="12547" max="12547" width="11.625" style="2" customWidth="1"/>
    <col min="12548" max="12548" width="5.5" style="2" customWidth="1"/>
    <col min="12549" max="12549" width="5.375" style="2" customWidth="1"/>
    <col min="12550" max="12550" width="8.125" style="2" customWidth="1"/>
    <col min="12551" max="12570" width="4.25" style="2" customWidth="1"/>
    <col min="12571" max="12795" width="9" style="2"/>
    <col min="12796" max="12796" width="2.125" style="2" customWidth="1"/>
    <col min="12797" max="12797" width="6.75" style="2" customWidth="1"/>
    <col min="12798" max="12798" width="8.625" style="2" customWidth="1"/>
    <col min="12799" max="12799" width="8.875" style="2" customWidth="1"/>
    <col min="12800" max="12800" width="3.5" style="2" customWidth="1"/>
    <col min="12801" max="12801" width="6.5" style="2" customWidth="1"/>
    <col min="12802" max="12802" width="9" style="2" customWidth="1"/>
    <col min="12803" max="12803" width="11.625" style="2" customWidth="1"/>
    <col min="12804" max="12804" width="5.5" style="2" customWidth="1"/>
    <col min="12805" max="12805" width="5.375" style="2" customWidth="1"/>
    <col min="12806" max="12806" width="8.125" style="2" customWidth="1"/>
    <col min="12807" max="12826" width="4.25" style="2" customWidth="1"/>
    <col min="12827" max="13051" width="9" style="2"/>
    <col min="13052" max="13052" width="2.125" style="2" customWidth="1"/>
    <col min="13053" max="13053" width="6.75" style="2" customWidth="1"/>
    <col min="13054" max="13054" width="8.625" style="2" customWidth="1"/>
    <col min="13055" max="13055" width="8.875" style="2" customWidth="1"/>
    <col min="13056" max="13056" width="3.5" style="2" customWidth="1"/>
    <col min="13057" max="13057" width="6.5" style="2" customWidth="1"/>
    <col min="13058" max="13058" width="9" style="2" customWidth="1"/>
    <col min="13059" max="13059" width="11.625" style="2" customWidth="1"/>
    <col min="13060" max="13060" width="5.5" style="2" customWidth="1"/>
    <col min="13061" max="13061" width="5.375" style="2" customWidth="1"/>
    <col min="13062" max="13062" width="8.125" style="2" customWidth="1"/>
    <col min="13063" max="13082" width="4.25" style="2" customWidth="1"/>
    <col min="13083" max="13307" width="9" style="2"/>
    <col min="13308" max="13308" width="2.125" style="2" customWidth="1"/>
    <col min="13309" max="13309" width="6.75" style="2" customWidth="1"/>
    <col min="13310" max="13310" width="8.625" style="2" customWidth="1"/>
    <col min="13311" max="13311" width="8.875" style="2" customWidth="1"/>
    <col min="13312" max="13312" width="3.5" style="2" customWidth="1"/>
    <col min="13313" max="13313" width="6.5" style="2" customWidth="1"/>
    <col min="13314" max="13314" width="9" style="2" customWidth="1"/>
    <col min="13315" max="13315" width="11.625" style="2" customWidth="1"/>
    <col min="13316" max="13316" width="5.5" style="2" customWidth="1"/>
    <col min="13317" max="13317" width="5.375" style="2" customWidth="1"/>
    <col min="13318" max="13318" width="8.125" style="2" customWidth="1"/>
    <col min="13319" max="13338" width="4.25" style="2" customWidth="1"/>
    <col min="13339" max="13563" width="9" style="2"/>
    <col min="13564" max="13564" width="2.125" style="2" customWidth="1"/>
    <col min="13565" max="13565" width="6.75" style="2" customWidth="1"/>
    <col min="13566" max="13566" width="8.625" style="2" customWidth="1"/>
    <col min="13567" max="13567" width="8.875" style="2" customWidth="1"/>
    <col min="13568" max="13568" width="3.5" style="2" customWidth="1"/>
    <col min="13569" max="13569" width="6.5" style="2" customWidth="1"/>
    <col min="13570" max="13570" width="9" style="2" customWidth="1"/>
    <col min="13571" max="13571" width="11.625" style="2" customWidth="1"/>
    <col min="13572" max="13572" width="5.5" style="2" customWidth="1"/>
    <col min="13573" max="13573" width="5.375" style="2" customWidth="1"/>
    <col min="13574" max="13574" width="8.125" style="2" customWidth="1"/>
    <col min="13575" max="13594" width="4.25" style="2" customWidth="1"/>
    <col min="13595" max="13819" width="9" style="2"/>
    <col min="13820" max="13820" width="2.125" style="2" customWidth="1"/>
    <col min="13821" max="13821" width="6.75" style="2" customWidth="1"/>
    <col min="13822" max="13822" width="8.625" style="2" customWidth="1"/>
    <col min="13823" max="13823" width="8.875" style="2" customWidth="1"/>
    <col min="13824" max="13824" width="3.5" style="2" customWidth="1"/>
    <col min="13825" max="13825" width="6.5" style="2" customWidth="1"/>
    <col min="13826" max="13826" width="9" style="2" customWidth="1"/>
    <col min="13827" max="13827" width="11.625" style="2" customWidth="1"/>
    <col min="13828" max="13828" width="5.5" style="2" customWidth="1"/>
    <col min="13829" max="13829" width="5.375" style="2" customWidth="1"/>
    <col min="13830" max="13830" width="8.125" style="2" customWidth="1"/>
    <col min="13831" max="13850" width="4.25" style="2" customWidth="1"/>
    <col min="13851" max="14075" width="9" style="2"/>
    <col min="14076" max="14076" width="2.125" style="2" customWidth="1"/>
    <col min="14077" max="14077" width="6.75" style="2" customWidth="1"/>
    <col min="14078" max="14078" width="8.625" style="2" customWidth="1"/>
    <col min="14079" max="14079" width="8.875" style="2" customWidth="1"/>
    <col min="14080" max="14080" width="3.5" style="2" customWidth="1"/>
    <col min="14081" max="14081" width="6.5" style="2" customWidth="1"/>
    <col min="14082" max="14082" width="9" style="2" customWidth="1"/>
    <col min="14083" max="14083" width="11.625" style="2" customWidth="1"/>
    <col min="14084" max="14084" width="5.5" style="2" customWidth="1"/>
    <col min="14085" max="14085" width="5.375" style="2" customWidth="1"/>
    <col min="14086" max="14086" width="8.125" style="2" customWidth="1"/>
    <col min="14087" max="14106" width="4.25" style="2" customWidth="1"/>
    <col min="14107" max="14331" width="9" style="2"/>
    <col min="14332" max="14332" width="2.125" style="2" customWidth="1"/>
    <col min="14333" max="14333" width="6.75" style="2" customWidth="1"/>
    <col min="14334" max="14334" width="8.625" style="2" customWidth="1"/>
    <col min="14335" max="14335" width="8.875" style="2" customWidth="1"/>
    <col min="14336" max="14336" width="3.5" style="2" customWidth="1"/>
    <col min="14337" max="14337" width="6.5" style="2" customWidth="1"/>
    <col min="14338" max="14338" width="9" style="2" customWidth="1"/>
    <col min="14339" max="14339" width="11.625" style="2" customWidth="1"/>
    <col min="14340" max="14340" width="5.5" style="2" customWidth="1"/>
    <col min="14341" max="14341" width="5.375" style="2" customWidth="1"/>
    <col min="14342" max="14342" width="8.125" style="2" customWidth="1"/>
    <col min="14343" max="14362" width="4.25" style="2" customWidth="1"/>
    <col min="14363" max="14587" width="9" style="2"/>
    <col min="14588" max="14588" width="2.125" style="2" customWidth="1"/>
    <col min="14589" max="14589" width="6.75" style="2" customWidth="1"/>
    <col min="14590" max="14590" width="8.625" style="2" customWidth="1"/>
    <col min="14591" max="14591" width="8.875" style="2" customWidth="1"/>
    <col min="14592" max="14592" width="3.5" style="2" customWidth="1"/>
    <col min="14593" max="14593" width="6.5" style="2" customWidth="1"/>
    <col min="14594" max="14594" width="9" style="2" customWidth="1"/>
    <col min="14595" max="14595" width="11.625" style="2" customWidth="1"/>
    <col min="14596" max="14596" width="5.5" style="2" customWidth="1"/>
    <col min="14597" max="14597" width="5.375" style="2" customWidth="1"/>
    <col min="14598" max="14598" width="8.125" style="2" customWidth="1"/>
    <col min="14599" max="14618" width="4.25" style="2" customWidth="1"/>
    <col min="14619" max="14843" width="9" style="2"/>
    <col min="14844" max="14844" width="2.125" style="2" customWidth="1"/>
    <col min="14845" max="14845" width="6.75" style="2" customWidth="1"/>
    <col min="14846" max="14846" width="8.625" style="2" customWidth="1"/>
    <col min="14847" max="14847" width="8.875" style="2" customWidth="1"/>
    <col min="14848" max="14848" width="3.5" style="2" customWidth="1"/>
    <col min="14849" max="14849" width="6.5" style="2" customWidth="1"/>
    <col min="14850" max="14850" width="9" style="2" customWidth="1"/>
    <col min="14851" max="14851" width="11.625" style="2" customWidth="1"/>
    <col min="14852" max="14852" width="5.5" style="2" customWidth="1"/>
    <col min="14853" max="14853" width="5.375" style="2" customWidth="1"/>
    <col min="14854" max="14854" width="8.125" style="2" customWidth="1"/>
    <col min="14855" max="14874" width="4.25" style="2" customWidth="1"/>
    <col min="14875" max="15099" width="9" style="2"/>
    <col min="15100" max="15100" width="2.125" style="2" customWidth="1"/>
    <col min="15101" max="15101" width="6.75" style="2" customWidth="1"/>
    <col min="15102" max="15102" width="8.625" style="2" customWidth="1"/>
    <col min="15103" max="15103" width="8.875" style="2" customWidth="1"/>
    <col min="15104" max="15104" width="3.5" style="2" customWidth="1"/>
    <col min="15105" max="15105" width="6.5" style="2" customWidth="1"/>
    <col min="15106" max="15106" width="9" style="2" customWidth="1"/>
    <col min="15107" max="15107" width="11.625" style="2" customWidth="1"/>
    <col min="15108" max="15108" width="5.5" style="2" customWidth="1"/>
    <col min="15109" max="15109" width="5.375" style="2" customWidth="1"/>
    <col min="15110" max="15110" width="8.125" style="2" customWidth="1"/>
    <col min="15111" max="15130" width="4.25" style="2" customWidth="1"/>
    <col min="15131" max="15355" width="9" style="2"/>
    <col min="15356" max="15356" width="2.125" style="2" customWidth="1"/>
    <col min="15357" max="15357" width="6.75" style="2" customWidth="1"/>
    <col min="15358" max="15358" width="8.625" style="2" customWidth="1"/>
    <col min="15359" max="15359" width="8.875" style="2" customWidth="1"/>
    <col min="15360" max="15360" width="3.5" style="2" customWidth="1"/>
    <col min="15361" max="15361" width="6.5" style="2" customWidth="1"/>
    <col min="15362" max="15362" width="9" style="2" customWidth="1"/>
    <col min="15363" max="15363" width="11.625" style="2" customWidth="1"/>
    <col min="15364" max="15364" width="5.5" style="2" customWidth="1"/>
    <col min="15365" max="15365" width="5.375" style="2" customWidth="1"/>
    <col min="15366" max="15366" width="8.125" style="2" customWidth="1"/>
    <col min="15367" max="15386" width="4.25" style="2" customWidth="1"/>
    <col min="15387" max="15611" width="9" style="2"/>
    <col min="15612" max="15612" width="2.125" style="2" customWidth="1"/>
    <col min="15613" max="15613" width="6.75" style="2" customWidth="1"/>
    <col min="15614" max="15614" width="8.625" style="2" customWidth="1"/>
    <col min="15615" max="15615" width="8.875" style="2" customWidth="1"/>
    <col min="15616" max="15616" width="3.5" style="2" customWidth="1"/>
    <col min="15617" max="15617" width="6.5" style="2" customWidth="1"/>
    <col min="15618" max="15618" width="9" style="2" customWidth="1"/>
    <col min="15619" max="15619" width="11.625" style="2" customWidth="1"/>
    <col min="15620" max="15620" width="5.5" style="2" customWidth="1"/>
    <col min="15621" max="15621" width="5.375" style="2" customWidth="1"/>
    <col min="15622" max="15622" width="8.125" style="2" customWidth="1"/>
    <col min="15623" max="15642" width="4.25" style="2" customWidth="1"/>
    <col min="15643" max="15867" width="9" style="2"/>
    <col min="15868" max="15868" width="2.125" style="2" customWidth="1"/>
    <col min="15869" max="15869" width="6.75" style="2" customWidth="1"/>
    <col min="15870" max="15870" width="8.625" style="2" customWidth="1"/>
    <col min="15871" max="15871" width="8.875" style="2" customWidth="1"/>
    <col min="15872" max="15872" width="3.5" style="2" customWidth="1"/>
    <col min="15873" max="15873" width="6.5" style="2" customWidth="1"/>
    <col min="15874" max="15874" width="9" style="2" customWidth="1"/>
    <col min="15875" max="15875" width="11.625" style="2" customWidth="1"/>
    <col min="15876" max="15876" width="5.5" style="2" customWidth="1"/>
    <col min="15877" max="15877" width="5.375" style="2" customWidth="1"/>
    <col min="15878" max="15878" width="8.125" style="2" customWidth="1"/>
    <col min="15879" max="15898" width="4.25" style="2" customWidth="1"/>
    <col min="15899" max="16123" width="9" style="2"/>
    <col min="16124" max="16124" width="2.125" style="2" customWidth="1"/>
    <col min="16125" max="16125" width="6.75" style="2" customWidth="1"/>
    <col min="16126" max="16126" width="8.625" style="2" customWidth="1"/>
    <col min="16127" max="16127" width="8.875" style="2" customWidth="1"/>
    <col min="16128" max="16128" width="3.5" style="2" customWidth="1"/>
    <col min="16129" max="16129" width="6.5" style="2" customWidth="1"/>
    <col min="16130" max="16130" width="9" style="2" customWidth="1"/>
    <col min="16131" max="16131" width="11.625" style="2" customWidth="1"/>
    <col min="16132" max="16132" width="5.5" style="2" customWidth="1"/>
    <col min="16133" max="16133" width="5.375" style="2" customWidth="1"/>
    <col min="16134" max="16134" width="8.125" style="2" customWidth="1"/>
    <col min="16135" max="16154" width="4.25" style="2" customWidth="1"/>
    <col min="16155" max="16384" width="9" style="2"/>
  </cols>
  <sheetData>
    <row r="1" spans="2:26" ht="15" customHeight="1" x14ac:dyDescent="0.3">
      <c r="C1" s="219" t="str">
        <f>IF(COUNTIF(tbl견적서발급[문서번호],nmD_문서번호)=0,"신규등록","수정")</f>
        <v>수정</v>
      </c>
      <c r="D1" s="219"/>
      <c r="E1" s="219"/>
      <c r="F1" s="219"/>
      <c r="G1" s="219"/>
      <c r="H1" s="219"/>
      <c r="I1" s="219"/>
      <c r="J1" s="219"/>
      <c r="K1" s="219"/>
    </row>
    <row r="2" spans="2:26" ht="15" customHeight="1" x14ac:dyDescent="0.25">
      <c r="I2" s="172" t="s">
        <v>266</v>
      </c>
      <c r="J2" s="172"/>
      <c r="K2" s="105" t="s">
        <v>276</v>
      </c>
    </row>
    <row r="3" spans="2:26" ht="37.5" customHeight="1" x14ac:dyDescent="0.7">
      <c r="C3" s="173" t="s">
        <v>6</v>
      </c>
      <c r="D3" s="173"/>
      <c r="E3" s="173"/>
      <c r="F3" s="173"/>
      <c r="G3" s="173"/>
      <c r="H3" s="173"/>
      <c r="I3" s="173"/>
      <c r="J3" s="173"/>
      <c r="K3" s="173"/>
    </row>
    <row r="4" spans="2:26" s="3" customFormat="1" ht="12" customHeight="1" x14ac:dyDescent="0.3">
      <c r="B4" s="85" t="s">
        <v>239</v>
      </c>
      <c r="C4" s="174"/>
      <c r="D4" s="174"/>
      <c r="E4" s="174"/>
      <c r="F4" s="174"/>
      <c r="G4" s="174"/>
      <c r="H4" s="174"/>
      <c r="I4" s="174"/>
      <c r="J4" s="174"/>
      <c r="K4" s="174"/>
      <c r="L4" s="4"/>
      <c r="M4" s="4"/>
      <c r="N4" s="4"/>
      <c r="O4" s="4"/>
      <c r="P4" s="4"/>
      <c r="Q4" s="4"/>
      <c r="R4" s="4"/>
      <c r="S4" s="4"/>
      <c r="T4" s="4"/>
      <c r="U4" s="4"/>
      <c r="V4" s="4"/>
      <c r="W4" s="4"/>
      <c r="X4" s="4"/>
      <c r="Y4" s="4"/>
    </row>
    <row r="5" spans="2:26" ht="22.5" customHeight="1" x14ac:dyDescent="0.3">
      <c r="B5" s="86">
        <v>11</v>
      </c>
      <c r="C5" s="220" t="s">
        <v>491</v>
      </c>
      <c r="D5" s="220"/>
      <c r="E5" s="220"/>
      <c r="F5" s="94" t="s">
        <v>7</v>
      </c>
      <c r="G5" s="96"/>
      <c r="H5" s="175" t="s">
        <v>270</v>
      </c>
      <c r="I5" s="175"/>
      <c r="J5" s="175"/>
      <c r="K5" s="175"/>
      <c r="L5" s="4"/>
      <c r="M5" s="4"/>
      <c r="N5" s="4"/>
      <c r="O5" s="4"/>
      <c r="P5" s="4"/>
      <c r="Q5" s="4"/>
      <c r="R5" s="4"/>
      <c r="S5" s="4"/>
      <c r="T5" s="4"/>
      <c r="U5" s="4"/>
      <c r="V5" s="4"/>
      <c r="W5" s="4"/>
      <c r="X5" s="4"/>
      <c r="Y5" s="4"/>
    </row>
    <row r="6" spans="2:26" ht="8.25" customHeight="1" thickBot="1" x14ac:dyDescent="0.35">
      <c r="C6"/>
      <c r="D6"/>
      <c r="E6"/>
      <c r="F6"/>
      <c r="G6" s="96"/>
      <c r="H6" s="98"/>
      <c r="I6" s="98"/>
      <c r="J6" s="192"/>
      <c r="K6" s="192"/>
      <c r="L6" s="4"/>
      <c r="M6" s="4"/>
      <c r="N6" s="4"/>
      <c r="O6" s="4"/>
      <c r="P6" s="4"/>
      <c r="Q6" s="4"/>
      <c r="R6" s="4"/>
      <c r="S6" s="4"/>
      <c r="T6" s="4"/>
      <c r="U6" s="4"/>
      <c r="V6" s="4"/>
      <c r="W6" s="4"/>
      <c r="X6" s="4"/>
      <c r="Y6" s="4"/>
      <c r="Z6" s="3"/>
    </row>
    <row r="7" spans="2:26" ht="18" customHeight="1" x14ac:dyDescent="0.3">
      <c r="C7" s="180" t="s">
        <v>10</v>
      </c>
      <c r="D7" s="181"/>
      <c r="E7" s="182" t="s">
        <v>492</v>
      </c>
      <c r="F7" s="183"/>
      <c r="G7" s="97"/>
      <c r="H7" s="184" t="s">
        <v>271</v>
      </c>
      <c r="I7" s="184"/>
      <c r="J7" s="184"/>
      <c r="K7" s="184"/>
      <c r="L7" s="4"/>
      <c r="M7" s="4"/>
      <c r="N7" s="4"/>
      <c r="O7" s="4"/>
      <c r="P7" s="4"/>
      <c r="Q7" s="4"/>
      <c r="R7" s="4"/>
      <c r="S7" s="3"/>
      <c r="T7" s="3"/>
      <c r="U7" s="3"/>
      <c r="V7" s="3"/>
      <c r="W7" s="4"/>
      <c r="X7" s="4"/>
      <c r="Y7" s="4"/>
      <c r="Z7" s="3"/>
    </row>
    <row r="8" spans="2:26" ht="18" customHeight="1" x14ac:dyDescent="0.3">
      <c r="C8" s="190" t="s">
        <v>268</v>
      </c>
      <c r="D8" s="191"/>
      <c r="E8" s="195" t="s">
        <v>493</v>
      </c>
      <c r="F8" s="196"/>
      <c r="G8" s="97"/>
      <c r="H8" s="184" t="s">
        <v>272</v>
      </c>
      <c r="I8" s="184"/>
      <c r="J8" s="184"/>
      <c r="K8" s="184"/>
      <c r="L8" s="5"/>
      <c r="M8" s="4"/>
      <c r="N8" s="4"/>
      <c r="O8" s="4"/>
      <c r="P8" s="4"/>
      <c r="Q8" s="4"/>
      <c r="R8" s="4"/>
      <c r="S8" s="4"/>
      <c r="T8" s="4"/>
      <c r="U8" s="4"/>
      <c r="V8" s="4"/>
      <c r="W8" s="4"/>
      <c r="X8" s="4"/>
      <c r="Y8" s="4"/>
      <c r="Z8" s="3"/>
    </row>
    <row r="9" spans="2:26" ht="18" customHeight="1" thickBot="1" x14ac:dyDescent="0.35">
      <c r="C9" s="193" t="s">
        <v>269</v>
      </c>
      <c r="D9" s="194"/>
      <c r="E9" s="197" t="s">
        <v>494</v>
      </c>
      <c r="F9" s="198"/>
      <c r="G9" s="97"/>
      <c r="H9" s="185" t="s">
        <v>273</v>
      </c>
      <c r="I9" s="185"/>
      <c r="J9" s="185"/>
      <c r="K9" s="185"/>
      <c r="L9" s="5"/>
      <c r="M9" s="87"/>
      <c r="N9" s="87"/>
      <c r="O9" s="87"/>
      <c r="P9" s="87"/>
      <c r="Q9" s="87"/>
      <c r="R9" s="87"/>
      <c r="S9" s="87"/>
      <c r="T9" s="87"/>
      <c r="U9" s="87"/>
      <c r="V9" s="87"/>
      <c r="W9" s="87"/>
      <c r="X9" s="87"/>
      <c r="Y9" s="87"/>
      <c r="Z9" s="3"/>
    </row>
    <row r="10" spans="2:26" ht="5.25" customHeight="1" thickBot="1" x14ac:dyDescent="0.35">
      <c r="G10" s="96"/>
      <c r="H10" s="186"/>
      <c r="I10" s="186"/>
      <c r="J10" s="186"/>
      <c r="K10" s="186"/>
      <c r="L10" s="4"/>
      <c r="M10" s="4"/>
      <c r="N10" s="4"/>
      <c r="O10" s="4"/>
      <c r="P10" s="4"/>
      <c r="Q10" s="4"/>
      <c r="R10" s="4"/>
      <c r="S10" s="6"/>
      <c r="T10" s="4"/>
      <c r="U10" s="4"/>
      <c r="V10" s="4"/>
      <c r="W10" s="4"/>
      <c r="X10" s="4"/>
      <c r="Y10" s="4"/>
      <c r="Z10" s="3"/>
    </row>
    <row r="11" spans="2:26" ht="18" customHeight="1" thickBot="1" x14ac:dyDescent="0.35">
      <c r="C11" s="189" t="s">
        <v>8</v>
      </c>
      <c r="D11" s="189"/>
      <c r="E11" s="189"/>
      <c r="F11" s="189"/>
      <c r="G11" s="4"/>
      <c r="H11" s="93" t="s">
        <v>10</v>
      </c>
      <c r="I11" s="187" t="s">
        <v>496</v>
      </c>
      <c r="J11" s="187"/>
      <c r="K11" s="188"/>
      <c r="L11" s="4"/>
      <c r="M11" s="4"/>
      <c r="N11" s="4"/>
      <c r="O11" s="4"/>
      <c r="P11" s="4"/>
      <c r="Q11" s="4"/>
      <c r="R11" s="4"/>
      <c r="S11" s="6"/>
      <c r="T11" s="4"/>
      <c r="U11" s="4"/>
      <c r="V11" s="4"/>
      <c r="W11" s="4"/>
      <c r="X11" s="4"/>
      <c r="Y11" s="4"/>
      <c r="Z11" s="3"/>
    </row>
    <row r="12" spans="2:26" ht="18" customHeight="1" x14ac:dyDescent="0.3">
      <c r="C12" s="176" t="s">
        <v>3</v>
      </c>
      <c r="D12" s="177"/>
      <c r="E12" s="178">
        <v>41960</v>
      </c>
      <c r="F12" s="179"/>
      <c r="H12" s="204" t="s">
        <v>268</v>
      </c>
      <c r="I12" s="202" t="s">
        <v>497</v>
      </c>
      <c r="J12" s="202"/>
      <c r="K12" s="203"/>
      <c r="L12" s="4"/>
      <c r="M12" s="4"/>
      <c r="N12" s="4"/>
      <c r="O12" s="4"/>
      <c r="P12" s="4"/>
      <c r="Q12" s="4"/>
      <c r="R12" s="4"/>
      <c r="S12" s="6"/>
      <c r="T12" s="4"/>
      <c r="U12" s="4"/>
      <c r="V12" s="4"/>
      <c r="W12" s="4"/>
      <c r="X12" s="4"/>
      <c r="Y12" s="4"/>
      <c r="Z12" s="3"/>
    </row>
    <row r="13" spans="2:26" ht="18" customHeight="1" x14ac:dyDescent="0.3">
      <c r="C13" s="217" t="s">
        <v>9</v>
      </c>
      <c r="D13" s="218"/>
      <c r="E13" s="215">
        <v>41963</v>
      </c>
      <c r="F13" s="216"/>
      <c r="H13" s="205"/>
      <c r="I13" s="215" t="s">
        <v>487</v>
      </c>
      <c r="J13" s="215"/>
      <c r="K13" s="216"/>
      <c r="L13" s="4"/>
      <c r="M13" s="4"/>
      <c r="N13" s="4"/>
      <c r="O13" s="4"/>
      <c r="P13" s="4"/>
      <c r="Q13" s="4"/>
      <c r="R13" s="4"/>
      <c r="S13" s="6"/>
      <c r="T13" s="4"/>
      <c r="U13" s="4"/>
      <c r="V13" s="4"/>
      <c r="W13" s="158"/>
      <c r="X13" s="158"/>
      <c r="Y13" s="158"/>
      <c r="Z13" s="3"/>
    </row>
    <row r="14" spans="2:26" ht="18" customHeight="1" thickBot="1" x14ac:dyDescent="0.35">
      <c r="C14" s="211" t="s">
        <v>1</v>
      </c>
      <c r="D14" s="212"/>
      <c r="E14" s="213" t="s">
        <v>495</v>
      </c>
      <c r="F14" s="214"/>
      <c r="H14" s="99" t="s">
        <v>269</v>
      </c>
      <c r="I14" s="206" t="s">
        <v>488</v>
      </c>
      <c r="J14" s="207"/>
      <c r="K14" s="208"/>
      <c r="L14" s="4"/>
      <c r="M14" s="4"/>
      <c r="N14" s="4"/>
      <c r="O14" s="4"/>
      <c r="P14" s="4"/>
      <c r="Q14" s="4"/>
      <c r="R14" s="4"/>
      <c r="S14" s="6"/>
      <c r="T14" s="4"/>
      <c r="U14" s="4"/>
      <c r="V14" s="4"/>
      <c r="W14" s="4"/>
      <c r="X14" s="4"/>
      <c r="Y14" s="4"/>
      <c r="Z14" s="3"/>
    </row>
    <row r="15" spans="2:26" ht="6.95" customHeight="1" thickBot="1" x14ac:dyDescent="0.35">
      <c r="C15" s="39"/>
      <c r="D15" s="39"/>
      <c r="E15" s="39"/>
      <c r="F15" s="39"/>
      <c r="G15" s="39"/>
      <c r="H15" s="39"/>
      <c r="I15" s="39"/>
      <c r="J15" s="39"/>
      <c r="K15" s="39"/>
      <c r="M15" s="4"/>
      <c r="N15" s="4"/>
      <c r="O15" s="4"/>
      <c r="P15" s="4"/>
      <c r="Q15" s="4"/>
      <c r="R15" s="4"/>
      <c r="S15" s="6"/>
      <c r="T15" s="4"/>
      <c r="U15" s="4"/>
      <c r="V15" s="4"/>
      <c r="W15" s="4"/>
      <c r="X15" s="4"/>
      <c r="Y15" s="4"/>
      <c r="Z15" s="3"/>
    </row>
    <row r="16" spans="2:26" ht="26.25" customHeight="1" thickBot="1" x14ac:dyDescent="0.35">
      <c r="C16" s="163" t="s">
        <v>275</v>
      </c>
      <c r="D16" s="164"/>
      <c r="E16" s="221" t="str">
        <f>"一金" &amp; NUMBERSTRING($I$16,1) &amp; "원정"</f>
        <v>一金일백오십오만칠천육백원정</v>
      </c>
      <c r="F16" s="222"/>
      <c r="G16" s="222"/>
      <c r="H16" s="222"/>
      <c r="I16" s="165">
        <f>SUM(H18:J32)</f>
        <v>1557600</v>
      </c>
      <c r="J16" s="165"/>
      <c r="K16" s="166"/>
      <c r="M16" s="4"/>
      <c r="N16" s="4"/>
      <c r="O16" s="4"/>
      <c r="P16" s="4"/>
      <c r="Q16" s="4"/>
      <c r="R16" s="4"/>
      <c r="S16" s="4"/>
      <c r="T16" s="4"/>
      <c r="U16" s="4"/>
      <c r="V16" s="4"/>
      <c r="W16" s="4"/>
      <c r="X16" s="4"/>
      <c r="Y16" s="4"/>
      <c r="Z16" s="3"/>
    </row>
    <row r="17" spans="1:26" ht="21" customHeight="1" x14ac:dyDescent="0.3">
      <c r="A17" s="7"/>
      <c r="B17" s="122" t="s">
        <v>263</v>
      </c>
      <c r="C17" s="106" t="s">
        <v>28</v>
      </c>
      <c r="D17" s="169" t="s">
        <v>262</v>
      </c>
      <c r="E17" s="168"/>
      <c r="F17" s="107" t="s">
        <v>11</v>
      </c>
      <c r="G17" s="107" t="s">
        <v>12</v>
      </c>
      <c r="H17" s="107" t="s">
        <v>4</v>
      </c>
      <c r="I17" s="167" t="s">
        <v>5</v>
      </c>
      <c r="J17" s="168"/>
      <c r="K17" s="95" t="s">
        <v>13</v>
      </c>
      <c r="L17" s="4"/>
      <c r="M17" s="4"/>
      <c r="N17" s="4"/>
      <c r="O17" s="4"/>
      <c r="P17" s="4"/>
      <c r="Q17" s="4"/>
      <c r="R17" s="4"/>
      <c r="S17" s="4"/>
      <c r="T17" s="4"/>
      <c r="U17" s="4"/>
      <c r="V17" s="4"/>
      <c r="W17" s="4"/>
      <c r="X17" s="4"/>
      <c r="Y17" s="4"/>
      <c r="Z17" s="3"/>
    </row>
    <row r="18" spans="1:26" ht="18" customHeight="1" x14ac:dyDescent="0.3">
      <c r="B18" s="123" t="s">
        <v>32</v>
      </c>
      <c r="C18" s="103">
        <f>IF(D18="","",COUNTA($D$18:E18))</f>
        <v>1</v>
      </c>
      <c r="D18" s="170" t="str">
        <f>IFERROR(INDEX(tbl제품[품목],MATCH(Main!B18,tbl제품[품목코드],0)),"")</f>
        <v>비주얼베이직 6.0 기능 완전 정복</v>
      </c>
      <c r="E18" s="171"/>
      <c r="F18" s="101">
        <v>10</v>
      </c>
      <c r="G18" s="104">
        <f>IFERROR(INDEX(tbl제품[단가],MATCH(Main!B18,tbl제품[품목코드],0)),"")</f>
        <v>18000</v>
      </c>
      <c r="H18" s="104">
        <f t="shared" ref="H18:H32" si="0">IFERROR(IF(F18="","",F18*G18),"")</f>
        <v>180000</v>
      </c>
      <c r="I18" s="159">
        <f t="shared" ref="I18:I32" si="1">IF(F18="","",H18*10%)</f>
        <v>18000</v>
      </c>
      <c r="J18" s="160"/>
      <c r="K18" s="102" t="s">
        <v>388</v>
      </c>
      <c r="L18" s="4"/>
      <c r="M18" s="4"/>
      <c r="N18" s="4"/>
      <c r="O18" s="4"/>
      <c r="P18" s="4"/>
      <c r="Q18" s="4"/>
      <c r="R18" s="4"/>
      <c r="S18" s="4"/>
      <c r="T18" s="4"/>
      <c r="U18" s="4"/>
      <c r="V18" s="4"/>
      <c r="W18" s="4"/>
      <c r="X18" s="4"/>
      <c r="Y18" s="4"/>
      <c r="Z18" s="3"/>
    </row>
    <row r="19" spans="1:26" ht="18" customHeight="1" x14ac:dyDescent="0.3">
      <c r="B19" s="123" t="s">
        <v>33</v>
      </c>
      <c r="C19" s="103">
        <f>IF(D19="","",COUNTA($D$18:E19))</f>
        <v>2</v>
      </c>
      <c r="D19" s="170" t="str">
        <f>IFERROR(INDEX(tbl제품[품목],MATCH(Main!B19,tbl제품[품목코드],0)),"")</f>
        <v>파워포인트 2007 기능 완전 정복</v>
      </c>
      <c r="E19" s="171"/>
      <c r="F19" s="101">
        <v>20</v>
      </c>
      <c r="G19" s="104">
        <f>IFERROR(INDEX(tbl제품[단가],MATCH(Main!B19,tbl제품[품목코드],0)),"")</f>
        <v>19800</v>
      </c>
      <c r="H19" s="104">
        <f t="shared" ref="H19:H23" si="2">IFERROR(IF(F19="","",F19*G19),"")</f>
        <v>396000</v>
      </c>
      <c r="I19" s="159">
        <f t="shared" ref="I19:I23" si="3">IF(F19="","",H19*10%)</f>
        <v>39600</v>
      </c>
      <c r="J19" s="160"/>
      <c r="K19" s="102"/>
      <c r="L19" s="108"/>
      <c r="M19" s="108"/>
      <c r="N19" s="108"/>
      <c r="O19" s="108"/>
      <c r="P19" s="108"/>
      <c r="Q19" s="108"/>
      <c r="R19" s="108"/>
      <c r="S19" s="108"/>
      <c r="T19" s="108"/>
      <c r="U19" s="108"/>
      <c r="V19" s="108"/>
      <c r="W19" s="108"/>
      <c r="X19" s="108"/>
      <c r="Y19" s="108"/>
      <c r="Z19" s="3"/>
    </row>
    <row r="20" spans="1:26" ht="18" customHeight="1" x14ac:dyDescent="0.3">
      <c r="B20" s="123" t="s">
        <v>34</v>
      </c>
      <c r="C20" s="103">
        <f>IF(D20="","",COUNTA($D$18:E20))</f>
        <v>3</v>
      </c>
      <c r="D20" s="170" t="str">
        <f>IFERROR(INDEX(tbl제품[품목],MATCH(Main!B20,tbl제품[품목코드],0)),"")</f>
        <v>장미가족의 내맘대로 포토샵</v>
      </c>
      <c r="E20" s="171"/>
      <c r="F20" s="101">
        <v>10</v>
      </c>
      <c r="G20" s="104">
        <f>IFERROR(INDEX(tbl제품[단가],MATCH(Main!B20,tbl제품[품목코드],0)),"")</f>
        <v>25000</v>
      </c>
      <c r="H20" s="104">
        <f t="shared" si="2"/>
        <v>250000</v>
      </c>
      <c r="I20" s="159">
        <f t="shared" si="3"/>
        <v>25000</v>
      </c>
      <c r="J20" s="160"/>
      <c r="K20" s="102"/>
      <c r="L20" s="108"/>
      <c r="M20" s="108"/>
      <c r="N20" s="108"/>
      <c r="O20" s="108"/>
      <c r="P20" s="108"/>
      <c r="Q20" s="108"/>
      <c r="R20" s="108"/>
      <c r="S20" s="108"/>
      <c r="T20" s="108"/>
      <c r="U20" s="108"/>
      <c r="V20" s="108"/>
      <c r="W20" s="108"/>
      <c r="X20" s="108"/>
      <c r="Y20" s="108"/>
      <c r="Z20" s="3"/>
    </row>
    <row r="21" spans="1:26" ht="18" customHeight="1" x14ac:dyDescent="0.3">
      <c r="B21" s="123" t="s">
        <v>35</v>
      </c>
      <c r="C21" s="103">
        <f>IF(D21="","",COUNTA($D$18:E21))</f>
        <v>4</v>
      </c>
      <c r="D21" s="170" t="str">
        <f>IFERROR(INDEX(tbl제품[품목],MATCH(Main!B21,tbl제품[품목코드],0)),"")</f>
        <v>컴퓨터 기능 완전 정복</v>
      </c>
      <c r="E21" s="171"/>
      <c r="F21" s="101">
        <v>20</v>
      </c>
      <c r="G21" s="104">
        <f>IFERROR(INDEX(tbl제품[단가],MATCH(Main!B21,tbl제품[품목코드],0)),"")</f>
        <v>18000</v>
      </c>
      <c r="H21" s="104">
        <f t="shared" si="2"/>
        <v>360000</v>
      </c>
      <c r="I21" s="159">
        <f t="shared" si="3"/>
        <v>36000</v>
      </c>
      <c r="J21" s="160"/>
      <c r="K21" s="102"/>
      <c r="L21" s="108"/>
      <c r="M21" s="108"/>
      <c r="N21" s="108"/>
      <c r="O21" s="108"/>
      <c r="P21" s="108"/>
      <c r="Q21" s="108"/>
      <c r="R21" s="108"/>
      <c r="S21" s="108"/>
      <c r="T21" s="108"/>
      <c r="U21" s="108"/>
      <c r="V21" s="108"/>
      <c r="W21" s="108"/>
      <c r="X21" s="108"/>
      <c r="Y21" s="108"/>
      <c r="Z21" s="3"/>
    </row>
    <row r="22" spans="1:26" ht="18" customHeight="1" x14ac:dyDescent="0.3">
      <c r="B22" s="123" t="s">
        <v>36</v>
      </c>
      <c r="C22" s="103">
        <f>IF(D22="","",COUNTA($D$18:E22))</f>
        <v>5</v>
      </c>
      <c r="D22" s="170" t="str">
        <f>IFERROR(INDEX(tbl제품[품목],MATCH(Main!B22,tbl제품[품목코드],0)),"")</f>
        <v>액세스 2013 기능 완전 정복</v>
      </c>
      <c r="E22" s="171"/>
      <c r="F22" s="101">
        <v>10</v>
      </c>
      <c r="G22" s="104">
        <f>IFERROR(INDEX(tbl제품[단가],MATCH(Main!B22,tbl제품[품목코드],0)),"")</f>
        <v>23000</v>
      </c>
      <c r="H22" s="104">
        <f t="shared" si="2"/>
        <v>230000</v>
      </c>
      <c r="I22" s="159">
        <f t="shared" si="3"/>
        <v>23000</v>
      </c>
      <c r="J22" s="160"/>
      <c r="K22" s="102"/>
      <c r="L22" s="108"/>
      <c r="M22" s="108"/>
      <c r="N22" s="108"/>
      <c r="O22" s="108"/>
      <c r="P22" s="108"/>
      <c r="Q22" s="108"/>
      <c r="R22" s="108"/>
      <c r="S22" s="108"/>
      <c r="T22" s="108"/>
      <c r="U22" s="108"/>
      <c r="V22" s="108"/>
      <c r="W22" s="108"/>
      <c r="X22" s="108"/>
      <c r="Y22" s="108"/>
      <c r="Z22" s="3"/>
    </row>
    <row r="23" spans="1:26" ht="18" customHeight="1" x14ac:dyDescent="0.3">
      <c r="B23" s="123"/>
      <c r="C23" s="103" t="str">
        <f>IF(D23="","",COUNTA($D$18:E23))</f>
        <v/>
      </c>
      <c r="D23" s="170" t="str">
        <f>IFERROR(INDEX(tbl제품[품목],MATCH(Main!B23,tbl제품[품목코드],0)),"")</f>
        <v/>
      </c>
      <c r="E23" s="171"/>
      <c r="F23" s="101"/>
      <c r="G23" s="104" t="str">
        <f>IFERROR(INDEX(tbl제품[단가],MATCH(Main!B23,tbl제품[품목코드],0)),"")</f>
        <v/>
      </c>
      <c r="H23" s="104" t="str">
        <f t="shared" si="2"/>
        <v/>
      </c>
      <c r="I23" s="159" t="str">
        <f t="shared" si="3"/>
        <v/>
      </c>
      <c r="J23" s="160"/>
      <c r="K23" s="102"/>
      <c r="L23" s="108"/>
      <c r="M23" s="108"/>
      <c r="N23" s="108"/>
      <c r="O23" s="108"/>
      <c r="P23" s="108"/>
      <c r="Q23" s="108"/>
      <c r="R23" s="108"/>
      <c r="S23" s="108"/>
      <c r="T23" s="108"/>
      <c r="U23" s="108"/>
      <c r="V23" s="108"/>
      <c r="W23" s="108"/>
      <c r="X23" s="108"/>
      <c r="Y23" s="108"/>
      <c r="Z23" s="3"/>
    </row>
    <row r="24" spans="1:26" ht="18" customHeight="1" x14ac:dyDescent="0.3">
      <c r="B24" s="123"/>
      <c r="C24" s="103" t="str">
        <f>IF(D24="","",COUNTA($D$18:E24))</f>
        <v/>
      </c>
      <c r="D24" s="170" t="str">
        <f>IFERROR(INDEX(tbl제품[품목],MATCH(Main!B24,tbl제품[품목코드],0)),"")</f>
        <v/>
      </c>
      <c r="E24" s="171"/>
      <c r="F24" s="101"/>
      <c r="G24" s="104" t="str">
        <f>IFERROR(INDEX(tbl제품[단가],MATCH(Main!B24,tbl제품[품목코드],0)),"")</f>
        <v/>
      </c>
      <c r="H24" s="104" t="str">
        <f t="shared" ref="H24:H31" si="4">IFERROR(IF(F24="","",F24*G24),"")</f>
        <v/>
      </c>
      <c r="I24" s="159" t="str">
        <f t="shared" ref="I24:I31" si="5">IF(F24="","",H24*10%)</f>
        <v/>
      </c>
      <c r="J24" s="160"/>
      <c r="K24" s="102"/>
      <c r="L24" s="108"/>
      <c r="M24" s="108"/>
      <c r="N24" s="108"/>
      <c r="O24" s="108"/>
      <c r="P24" s="108"/>
      <c r="Q24" s="108"/>
      <c r="R24" s="108"/>
      <c r="S24" s="108"/>
      <c r="T24" s="108"/>
      <c r="U24" s="108"/>
      <c r="V24" s="108"/>
      <c r="W24" s="108"/>
      <c r="X24" s="108"/>
      <c r="Y24" s="108"/>
      <c r="Z24" s="3"/>
    </row>
    <row r="25" spans="1:26" ht="18" customHeight="1" x14ac:dyDescent="0.3">
      <c r="B25" s="123"/>
      <c r="C25" s="103" t="str">
        <f>IF(D25="","",COUNTA($D$18:E25))</f>
        <v/>
      </c>
      <c r="D25" s="170" t="str">
        <f>IFERROR(INDEX(tbl제품[품목],MATCH(Main!B25,tbl제품[품목코드],0)),"")</f>
        <v/>
      </c>
      <c r="E25" s="171"/>
      <c r="F25" s="101"/>
      <c r="G25" s="104" t="str">
        <f>IFERROR(INDEX(tbl제품[단가],MATCH(Main!B25,tbl제품[품목코드],0)),"")</f>
        <v/>
      </c>
      <c r="H25" s="104" t="str">
        <f t="shared" si="4"/>
        <v/>
      </c>
      <c r="I25" s="159" t="str">
        <f t="shared" si="5"/>
        <v/>
      </c>
      <c r="J25" s="160"/>
      <c r="K25" s="102"/>
      <c r="L25" s="108"/>
      <c r="M25" s="108"/>
      <c r="N25" s="108"/>
      <c r="O25" s="108"/>
      <c r="P25" s="108"/>
      <c r="Q25" s="108"/>
      <c r="R25" s="108"/>
      <c r="S25" s="108"/>
      <c r="T25" s="108"/>
      <c r="U25" s="108"/>
      <c r="V25" s="108"/>
      <c r="W25" s="108"/>
      <c r="X25" s="108"/>
      <c r="Y25" s="108"/>
      <c r="Z25" s="3"/>
    </row>
    <row r="26" spans="1:26" ht="18" customHeight="1" x14ac:dyDescent="0.3">
      <c r="B26" s="123"/>
      <c r="C26" s="103" t="str">
        <f>IF(D26="","",COUNTA($D$18:E26))</f>
        <v/>
      </c>
      <c r="D26" s="170" t="str">
        <f>IFERROR(INDEX(tbl제품[품목],MATCH(Main!B26,tbl제품[품목코드],0)),"")</f>
        <v/>
      </c>
      <c r="E26" s="171"/>
      <c r="F26" s="101"/>
      <c r="G26" s="104" t="str">
        <f>IFERROR(INDEX(tbl제품[단가],MATCH(Main!B26,tbl제품[품목코드],0)),"")</f>
        <v/>
      </c>
      <c r="H26" s="104" t="str">
        <f t="shared" si="4"/>
        <v/>
      </c>
      <c r="I26" s="159" t="str">
        <f t="shared" si="5"/>
        <v/>
      </c>
      <c r="J26" s="160"/>
      <c r="K26" s="102"/>
      <c r="L26" s="108"/>
      <c r="M26" s="108"/>
      <c r="N26" s="108"/>
      <c r="O26" s="108"/>
      <c r="P26" s="108"/>
      <c r="Q26" s="108"/>
      <c r="R26" s="108"/>
      <c r="S26" s="108"/>
      <c r="T26" s="108"/>
      <c r="U26" s="108"/>
      <c r="V26" s="108"/>
      <c r="W26" s="108"/>
      <c r="X26" s="108"/>
      <c r="Y26" s="108"/>
      <c r="Z26" s="3"/>
    </row>
    <row r="27" spans="1:26" ht="18" customHeight="1" x14ac:dyDescent="0.3">
      <c r="B27" s="123"/>
      <c r="C27" s="103" t="str">
        <f>IF(D27="","",COUNTA($D$18:E27))</f>
        <v/>
      </c>
      <c r="D27" s="170" t="str">
        <f>IFERROR(INDEX(tbl제품[품목],MATCH(Main!B27,tbl제품[품목코드],0)),"")</f>
        <v/>
      </c>
      <c r="E27" s="171"/>
      <c r="F27" s="101"/>
      <c r="G27" s="104" t="str">
        <f>IFERROR(INDEX(tbl제품[단가],MATCH(Main!B27,tbl제품[품목코드],0)),"")</f>
        <v/>
      </c>
      <c r="H27" s="104" t="str">
        <f t="shared" si="4"/>
        <v/>
      </c>
      <c r="I27" s="159" t="str">
        <f t="shared" si="5"/>
        <v/>
      </c>
      <c r="J27" s="160"/>
      <c r="K27" s="102"/>
      <c r="L27" s="108"/>
      <c r="M27" s="108"/>
      <c r="N27" s="108"/>
      <c r="O27" s="108"/>
      <c r="P27" s="108"/>
      <c r="Q27" s="108"/>
      <c r="R27" s="108"/>
      <c r="S27" s="108"/>
      <c r="T27" s="108"/>
      <c r="U27" s="108"/>
      <c r="V27" s="108"/>
      <c r="W27" s="108"/>
      <c r="X27" s="108"/>
      <c r="Y27" s="108"/>
      <c r="Z27" s="3"/>
    </row>
    <row r="28" spans="1:26" ht="18" customHeight="1" x14ac:dyDescent="0.3">
      <c r="B28" s="123"/>
      <c r="C28" s="103" t="str">
        <f>IF(D28="","",COUNTA($D$18:E28))</f>
        <v/>
      </c>
      <c r="D28" s="170" t="str">
        <f>IFERROR(INDEX(tbl제품[품목],MATCH(Main!B28,tbl제품[품목코드],0)),"")</f>
        <v/>
      </c>
      <c r="E28" s="171"/>
      <c r="F28" s="101"/>
      <c r="G28" s="104" t="str">
        <f>IFERROR(INDEX(tbl제품[단가],MATCH(Main!B28,tbl제품[품목코드],0)),"")</f>
        <v/>
      </c>
      <c r="H28" s="104" t="str">
        <f t="shared" si="4"/>
        <v/>
      </c>
      <c r="I28" s="159" t="str">
        <f t="shared" si="5"/>
        <v/>
      </c>
      <c r="J28" s="160"/>
      <c r="K28" s="102"/>
      <c r="L28" s="108"/>
      <c r="M28" s="108"/>
      <c r="N28" s="108"/>
      <c r="O28" s="108"/>
      <c r="P28" s="108"/>
      <c r="Q28" s="108"/>
      <c r="R28" s="108"/>
      <c r="S28" s="108"/>
      <c r="T28" s="108"/>
      <c r="U28" s="108"/>
      <c r="V28" s="108"/>
      <c r="W28" s="108"/>
      <c r="X28" s="108"/>
      <c r="Y28" s="108"/>
      <c r="Z28" s="3"/>
    </row>
    <row r="29" spans="1:26" ht="18" customHeight="1" x14ac:dyDescent="0.3">
      <c r="B29" s="123"/>
      <c r="C29" s="103" t="str">
        <f>IF(D29="","",COUNTA($D$18:E29))</f>
        <v/>
      </c>
      <c r="D29" s="170" t="str">
        <f>IFERROR(INDEX(tbl제품[품목],MATCH(Main!B29,tbl제품[품목코드],0)),"")</f>
        <v/>
      </c>
      <c r="E29" s="171"/>
      <c r="F29" s="101"/>
      <c r="G29" s="104" t="str">
        <f>IFERROR(INDEX(tbl제품[단가],MATCH(Main!B29,tbl제품[품목코드],0)),"")</f>
        <v/>
      </c>
      <c r="H29" s="104" t="str">
        <f t="shared" si="4"/>
        <v/>
      </c>
      <c r="I29" s="159" t="str">
        <f t="shared" si="5"/>
        <v/>
      </c>
      <c r="J29" s="160"/>
      <c r="K29" s="102"/>
      <c r="L29" s="108"/>
      <c r="M29" s="108"/>
      <c r="N29" s="108"/>
      <c r="O29" s="108"/>
      <c r="P29" s="108"/>
      <c r="Q29" s="108"/>
      <c r="R29" s="108"/>
      <c r="S29" s="108"/>
      <c r="T29" s="108"/>
      <c r="U29" s="108"/>
      <c r="V29" s="108"/>
      <c r="W29" s="108"/>
      <c r="X29" s="108"/>
      <c r="Y29" s="108"/>
      <c r="Z29" s="3"/>
    </row>
    <row r="30" spans="1:26" ht="18" customHeight="1" x14ac:dyDescent="0.3">
      <c r="B30" s="123"/>
      <c r="C30" s="103" t="str">
        <f>IF(D30="","",COUNTA($D$18:E30))</f>
        <v/>
      </c>
      <c r="D30" s="170" t="str">
        <f>IFERROR(INDEX(tbl제품[품목],MATCH(Main!B30,tbl제품[품목코드],0)),"")</f>
        <v/>
      </c>
      <c r="E30" s="171"/>
      <c r="F30" s="101"/>
      <c r="G30" s="104" t="str">
        <f>IFERROR(INDEX(tbl제품[단가],MATCH(Main!B30,tbl제품[품목코드],0)),"")</f>
        <v/>
      </c>
      <c r="H30" s="104" t="str">
        <f t="shared" si="4"/>
        <v/>
      </c>
      <c r="I30" s="159" t="str">
        <f t="shared" si="5"/>
        <v/>
      </c>
      <c r="J30" s="160"/>
      <c r="K30" s="102"/>
      <c r="L30" s="108"/>
      <c r="M30" s="108"/>
      <c r="N30" s="108"/>
      <c r="O30" s="108"/>
      <c r="P30" s="108"/>
      <c r="Q30" s="108"/>
      <c r="R30" s="108"/>
      <c r="S30" s="108"/>
      <c r="T30" s="108"/>
      <c r="U30" s="108"/>
      <c r="V30" s="108"/>
      <c r="W30" s="108"/>
      <c r="X30" s="108"/>
      <c r="Y30" s="108"/>
      <c r="Z30" s="3"/>
    </row>
    <row r="31" spans="1:26" ht="18" customHeight="1" x14ac:dyDescent="0.3">
      <c r="B31" s="123"/>
      <c r="C31" s="103" t="str">
        <f>IF(D31="","",COUNTA($D$18:E31))</f>
        <v/>
      </c>
      <c r="D31" s="170" t="str">
        <f>IFERROR(INDEX(tbl제품[품목],MATCH(Main!B31,tbl제품[품목코드],0)),"")</f>
        <v/>
      </c>
      <c r="E31" s="171"/>
      <c r="F31" s="101"/>
      <c r="G31" s="104" t="str">
        <f>IFERROR(INDEX(tbl제품[단가],MATCH(Main!B31,tbl제품[품목코드],0)),"")</f>
        <v/>
      </c>
      <c r="H31" s="104" t="str">
        <f t="shared" si="4"/>
        <v/>
      </c>
      <c r="I31" s="159" t="str">
        <f t="shared" si="5"/>
        <v/>
      </c>
      <c r="J31" s="160"/>
      <c r="K31" s="102"/>
      <c r="L31" s="108"/>
      <c r="M31" s="108"/>
      <c r="N31" s="108"/>
      <c r="O31" s="108"/>
      <c r="P31" s="108"/>
      <c r="Q31" s="108"/>
      <c r="R31" s="108"/>
      <c r="S31" s="108"/>
      <c r="T31" s="108"/>
      <c r="U31" s="108"/>
      <c r="V31" s="108"/>
      <c r="W31" s="108"/>
      <c r="X31" s="108"/>
      <c r="Y31" s="108"/>
      <c r="Z31" s="3"/>
    </row>
    <row r="32" spans="1:26" ht="18" customHeight="1" thickBot="1" x14ac:dyDescent="0.35">
      <c r="B32" s="124"/>
      <c r="C32" s="118" t="str">
        <f>IF(D32="","",COUNTA($D$18:E32))</f>
        <v/>
      </c>
      <c r="D32" s="209" t="str">
        <f>IFERROR(INDEX(tbl제품[품목],MATCH(Main!B32,tbl제품[품목코드],0)),"")</f>
        <v/>
      </c>
      <c r="E32" s="210"/>
      <c r="F32" s="119"/>
      <c r="G32" s="120" t="str">
        <f>IFERROR(INDEX(tbl제품[단가],MATCH(Main!B32,tbl제품[품목코드],0)),"")</f>
        <v/>
      </c>
      <c r="H32" s="120" t="str">
        <f t="shared" si="0"/>
        <v/>
      </c>
      <c r="I32" s="161" t="str">
        <f t="shared" si="1"/>
        <v/>
      </c>
      <c r="J32" s="162"/>
      <c r="K32" s="121"/>
      <c r="L32" s="40"/>
      <c r="M32" s="40"/>
      <c r="N32" s="40"/>
      <c r="O32" s="40"/>
      <c r="P32" s="40"/>
      <c r="Q32" s="40"/>
      <c r="R32" s="40"/>
      <c r="S32" s="40"/>
      <c r="T32" s="40"/>
      <c r="U32" s="40"/>
      <c r="V32" s="40"/>
      <c r="W32" s="40"/>
      <c r="X32" s="40"/>
      <c r="Y32" s="40"/>
      <c r="Z32" s="3"/>
    </row>
    <row r="33" spans="3:11" customFormat="1" ht="18" customHeight="1" x14ac:dyDescent="0.3"/>
    <row r="34" spans="3:11" ht="12" customHeight="1" thickBot="1" x14ac:dyDescent="0.35">
      <c r="C34" s="8" t="s">
        <v>274</v>
      </c>
      <c r="D34" s="3"/>
      <c r="E34" s="3"/>
      <c r="F34" s="3"/>
      <c r="G34" s="3"/>
      <c r="H34" s="3"/>
      <c r="I34" s="3"/>
      <c r="J34" s="3"/>
      <c r="K34" s="3"/>
    </row>
    <row r="35" spans="3:11" ht="57" customHeight="1" thickBot="1" x14ac:dyDescent="0.35">
      <c r="C35" s="199"/>
      <c r="D35" s="200"/>
      <c r="E35" s="200"/>
      <c r="F35" s="200"/>
      <c r="G35" s="200"/>
      <c r="H35" s="200"/>
      <c r="I35" s="200"/>
      <c r="J35" s="200"/>
      <c r="K35" s="201"/>
    </row>
    <row r="36" spans="3:11" x14ac:dyDescent="0.3">
      <c r="C36" s="3"/>
      <c r="D36" s="9"/>
      <c r="E36" s="3"/>
      <c r="F36" s="3"/>
      <c r="G36" s="3"/>
      <c r="H36" s="3"/>
      <c r="I36" s="3"/>
      <c r="J36" s="3"/>
      <c r="K36" s="3"/>
    </row>
    <row r="37" spans="3:11" x14ac:dyDescent="0.3">
      <c r="C37" s="3"/>
      <c r="D37" s="3"/>
      <c r="E37" s="3"/>
      <c r="F37" s="3"/>
      <c r="G37" s="3"/>
      <c r="H37" s="3"/>
      <c r="I37" s="3"/>
      <c r="J37" s="3"/>
      <c r="K37" s="3"/>
    </row>
    <row r="38" spans="3:11" x14ac:dyDescent="0.3">
      <c r="C38" s="3"/>
      <c r="D38" s="3"/>
      <c r="E38" s="3"/>
      <c r="F38" s="3"/>
      <c r="G38" s="3"/>
      <c r="H38" s="3"/>
      <c r="I38" s="3"/>
      <c r="J38" s="3"/>
      <c r="K38" s="3"/>
    </row>
  </sheetData>
  <sheetProtection formatCells="0" selectLockedCells="1"/>
  <mergeCells count="66">
    <mergeCell ref="C1:K1"/>
    <mergeCell ref="D31:E31"/>
    <mergeCell ref="I31:J31"/>
    <mergeCell ref="D20:E20"/>
    <mergeCell ref="I20:J20"/>
    <mergeCell ref="D21:E21"/>
    <mergeCell ref="I21:J21"/>
    <mergeCell ref="D22:E22"/>
    <mergeCell ref="I22:J22"/>
    <mergeCell ref="D28:E28"/>
    <mergeCell ref="I28:J28"/>
    <mergeCell ref="D24:E24"/>
    <mergeCell ref="I24:J24"/>
    <mergeCell ref="D25:E25"/>
    <mergeCell ref="C5:E5"/>
    <mergeCell ref="E16:H16"/>
    <mergeCell ref="C35:K35"/>
    <mergeCell ref="I12:K12"/>
    <mergeCell ref="H12:H13"/>
    <mergeCell ref="I14:K14"/>
    <mergeCell ref="D32:E32"/>
    <mergeCell ref="C14:D14"/>
    <mergeCell ref="E14:F14"/>
    <mergeCell ref="I13:K13"/>
    <mergeCell ref="C13:D13"/>
    <mergeCell ref="E13:F13"/>
    <mergeCell ref="D27:E27"/>
    <mergeCell ref="I27:J27"/>
    <mergeCell ref="D26:E26"/>
    <mergeCell ref="I26:J26"/>
    <mergeCell ref="D30:E30"/>
    <mergeCell ref="I30:J30"/>
    <mergeCell ref="J6:K6"/>
    <mergeCell ref="H7:K7"/>
    <mergeCell ref="I25:J25"/>
    <mergeCell ref="D19:E19"/>
    <mergeCell ref="C9:D9"/>
    <mergeCell ref="E8:F8"/>
    <mergeCell ref="E9:F9"/>
    <mergeCell ref="I19:J19"/>
    <mergeCell ref="D23:E23"/>
    <mergeCell ref="I23:J23"/>
    <mergeCell ref="I2:J2"/>
    <mergeCell ref="C3:K3"/>
    <mergeCell ref="C4:K4"/>
    <mergeCell ref="H5:K5"/>
    <mergeCell ref="D29:E29"/>
    <mergeCell ref="I29:J29"/>
    <mergeCell ref="C12:D12"/>
    <mergeCell ref="E12:F12"/>
    <mergeCell ref="C7:D7"/>
    <mergeCell ref="E7:F7"/>
    <mergeCell ref="H8:K8"/>
    <mergeCell ref="H9:K9"/>
    <mergeCell ref="H10:K10"/>
    <mergeCell ref="I11:K11"/>
    <mergeCell ref="C11:F11"/>
    <mergeCell ref="C8:D8"/>
    <mergeCell ref="W13:Y13"/>
    <mergeCell ref="I18:J18"/>
    <mergeCell ref="I32:J32"/>
    <mergeCell ref="C16:D16"/>
    <mergeCell ref="I16:K16"/>
    <mergeCell ref="I17:J17"/>
    <mergeCell ref="D17:E17"/>
    <mergeCell ref="D18:E18"/>
  </mergeCells>
  <phoneticPr fontId="1" type="noConversion"/>
  <conditionalFormatting sqref="C1:K1">
    <cfRule type="cellIs" dxfId="53" priority="1" operator="equal">
      <formula>"신규등록"</formula>
    </cfRule>
  </conditionalFormatting>
  <dataValidations disablePrompts="1" count="1">
    <dataValidation type="list" allowBlank="1" showInputMessage="1" showErrorMessage="1" sqref="B18:B33">
      <formula1>INDIRECT("tbl제품[품목코드]")</formula1>
    </dataValidation>
  </dataValidations>
  <hyperlinks>
    <hyperlink ref="I14" r:id="rId1" display="ddd@gilbut.co.kr"/>
  </hyperlinks>
  <printOptions horizontalCentered="1"/>
  <pageMargins left="0.19685039370078741" right="0.19685039370078741" top="0.9055118110236221" bottom="0.51181102362204722" header="0.51181102362204722" footer="0.23622047244094491"/>
  <pageSetup paperSize="9" orientation="portrait" horizontalDpi="300" verticalDpi="300" r:id="rId2"/>
  <headerFooter alignWithMargins="0"/>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sheetPr>
  <dimension ref="A1:R10"/>
  <sheetViews>
    <sheetView showGridLines="0" workbookViewId="0">
      <selection activeCell="L27" sqref="L27"/>
    </sheetView>
  </sheetViews>
  <sheetFormatPr defaultRowHeight="16.5" x14ac:dyDescent="0.3"/>
  <cols>
    <col min="1" max="1" width="1.375" style="14" customWidth="1"/>
    <col min="2" max="2" width="8.125" style="14" customWidth="1"/>
    <col min="3" max="3" width="11.125" style="14" customWidth="1"/>
    <col min="4" max="4" width="13.125" style="14" customWidth="1"/>
    <col min="5" max="5" width="8.75" style="14" bestFit="1" customWidth="1"/>
    <col min="6" max="6" width="9.25" style="14" customWidth="1"/>
    <col min="7" max="7" width="14.125" style="23" customWidth="1"/>
    <col min="8" max="8" width="9.875" style="23" customWidth="1"/>
    <col min="9" max="9" width="11.5" style="23" customWidth="1"/>
    <col min="10" max="10" width="9.875" style="14" customWidth="1"/>
    <col min="12" max="12" width="10.25" bestFit="1" customWidth="1"/>
    <col min="13" max="14" width="11.375" bestFit="1" customWidth="1"/>
    <col min="15" max="15" width="18.125" bestFit="1" customWidth="1"/>
    <col min="16" max="16" width="14.375" customWidth="1"/>
    <col min="18" max="18" width="10.5" style="24" customWidth="1"/>
    <col min="19" max="19" width="14.625" style="14" bestFit="1" customWidth="1"/>
    <col min="20" max="260" width="9" style="14"/>
    <col min="261" max="261" width="1.375" style="14" customWidth="1"/>
    <col min="262" max="262" width="8.75" style="14" customWidth="1"/>
    <col min="263" max="263" width="9.875" style="14" customWidth="1"/>
    <col min="264" max="264" width="13.125" style="14" customWidth="1"/>
    <col min="265" max="265" width="6" style="14" customWidth="1"/>
    <col min="266" max="266" width="8" style="14" customWidth="1"/>
    <col min="267" max="267" width="10.625" style="14" customWidth="1"/>
    <col min="268" max="268" width="8.75" style="14" customWidth="1"/>
    <col min="269" max="269" width="6.375" style="14" customWidth="1"/>
    <col min="270" max="270" width="8.75" style="14" customWidth="1"/>
    <col min="271" max="271" width="13.125" style="14" customWidth="1"/>
    <col min="272" max="272" width="8" style="14" customWidth="1"/>
    <col min="273" max="273" width="9.875" style="14" customWidth="1"/>
    <col min="274" max="275" width="9.125" style="14" customWidth="1"/>
    <col min="276" max="516" width="9" style="14"/>
    <col min="517" max="517" width="1.375" style="14" customWidth="1"/>
    <col min="518" max="518" width="8.75" style="14" customWidth="1"/>
    <col min="519" max="519" width="9.875" style="14" customWidth="1"/>
    <col min="520" max="520" width="13.125" style="14" customWidth="1"/>
    <col min="521" max="521" width="6" style="14" customWidth="1"/>
    <col min="522" max="522" width="8" style="14" customWidth="1"/>
    <col min="523" max="523" width="10.625" style="14" customWidth="1"/>
    <col min="524" max="524" width="8.75" style="14" customWidth="1"/>
    <col min="525" max="525" width="6.375" style="14" customWidth="1"/>
    <col min="526" max="526" width="8.75" style="14" customWidth="1"/>
    <col min="527" max="527" width="13.125" style="14" customWidth="1"/>
    <col min="528" max="528" width="8" style="14" customWidth="1"/>
    <col min="529" max="529" width="9.875" style="14" customWidth="1"/>
    <col min="530" max="531" width="9.125" style="14" customWidth="1"/>
    <col min="532" max="772" width="9" style="14"/>
    <col min="773" max="773" width="1.375" style="14" customWidth="1"/>
    <col min="774" max="774" width="8.75" style="14" customWidth="1"/>
    <col min="775" max="775" width="9.875" style="14" customWidth="1"/>
    <col min="776" max="776" width="13.125" style="14" customWidth="1"/>
    <col min="777" max="777" width="6" style="14" customWidth="1"/>
    <col min="778" max="778" width="8" style="14" customWidth="1"/>
    <col min="779" max="779" width="10.625" style="14" customWidth="1"/>
    <col min="780" max="780" width="8.75" style="14" customWidth="1"/>
    <col min="781" max="781" width="6.375" style="14" customWidth="1"/>
    <col min="782" max="782" width="8.75" style="14" customWidth="1"/>
    <col min="783" max="783" width="13.125" style="14" customWidth="1"/>
    <col min="784" max="784" width="8" style="14" customWidth="1"/>
    <col min="785" max="785" width="9.875" style="14" customWidth="1"/>
    <col min="786" max="787" width="9.125" style="14" customWidth="1"/>
    <col min="788" max="1028" width="9" style="14"/>
    <col min="1029" max="1029" width="1.375" style="14" customWidth="1"/>
    <col min="1030" max="1030" width="8.75" style="14" customWidth="1"/>
    <col min="1031" max="1031" width="9.875" style="14" customWidth="1"/>
    <col min="1032" max="1032" width="13.125" style="14" customWidth="1"/>
    <col min="1033" max="1033" width="6" style="14" customWidth="1"/>
    <col min="1034" max="1034" width="8" style="14" customWidth="1"/>
    <col min="1035" max="1035" width="10.625" style="14" customWidth="1"/>
    <col min="1036" max="1036" width="8.75" style="14" customWidth="1"/>
    <col min="1037" max="1037" width="6.375" style="14" customWidth="1"/>
    <col min="1038" max="1038" width="8.75" style="14" customWidth="1"/>
    <col min="1039" max="1039" width="13.125" style="14" customWidth="1"/>
    <col min="1040" max="1040" width="8" style="14" customWidth="1"/>
    <col min="1041" max="1041" width="9.875" style="14" customWidth="1"/>
    <col min="1042" max="1043" width="9.125" style="14" customWidth="1"/>
    <col min="1044" max="1284" width="9" style="14"/>
    <col min="1285" max="1285" width="1.375" style="14" customWidth="1"/>
    <col min="1286" max="1286" width="8.75" style="14" customWidth="1"/>
    <col min="1287" max="1287" width="9.875" style="14" customWidth="1"/>
    <col min="1288" max="1288" width="13.125" style="14" customWidth="1"/>
    <col min="1289" max="1289" width="6" style="14" customWidth="1"/>
    <col min="1290" max="1290" width="8" style="14" customWidth="1"/>
    <col min="1291" max="1291" width="10.625" style="14" customWidth="1"/>
    <col min="1292" max="1292" width="8.75" style="14" customWidth="1"/>
    <col min="1293" max="1293" width="6.375" style="14" customWidth="1"/>
    <col min="1294" max="1294" width="8.75" style="14" customWidth="1"/>
    <col min="1295" max="1295" width="13.125" style="14" customWidth="1"/>
    <col min="1296" max="1296" width="8" style="14" customWidth="1"/>
    <col min="1297" max="1297" width="9.875" style="14" customWidth="1"/>
    <col min="1298" max="1299" width="9.125" style="14" customWidth="1"/>
    <col min="1300" max="1540" width="9" style="14"/>
    <col min="1541" max="1541" width="1.375" style="14" customWidth="1"/>
    <col min="1542" max="1542" width="8.75" style="14" customWidth="1"/>
    <col min="1543" max="1543" width="9.875" style="14" customWidth="1"/>
    <col min="1544" max="1544" width="13.125" style="14" customWidth="1"/>
    <col min="1545" max="1545" width="6" style="14" customWidth="1"/>
    <col min="1546" max="1546" width="8" style="14" customWidth="1"/>
    <col min="1547" max="1547" width="10.625" style="14" customWidth="1"/>
    <col min="1548" max="1548" width="8.75" style="14" customWidth="1"/>
    <col min="1549" max="1549" width="6.375" style="14" customWidth="1"/>
    <col min="1550" max="1550" width="8.75" style="14" customWidth="1"/>
    <col min="1551" max="1551" width="13.125" style="14" customWidth="1"/>
    <col min="1552" max="1552" width="8" style="14" customWidth="1"/>
    <col min="1553" max="1553" width="9.875" style="14" customWidth="1"/>
    <col min="1554" max="1555" width="9.125" style="14" customWidth="1"/>
    <col min="1556" max="1796" width="9" style="14"/>
    <col min="1797" max="1797" width="1.375" style="14" customWidth="1"/>
    <col min="1798" max="1798" width="8.75" style="14" customWidth="1"/>
    <col min="1799" max="1799" width="9.875" style="14" customWidth="1"/>
    <col min="1800" max="1800" width="13.125" style="14" customWidth="1"/>
    <col min="1801" max="1801" width="6" style="14" customWidth="1"/>
    <col min="1802" max="1802" width="8" style="14" customWidth="1"/>
    <col min="1803" max="1803" width="10.625" style="14" customWidth="1"/>
    <col min="1804" max="1804" width="8.75" style="14" customWidth="1"/>
    <col min="1805" max="1805" width="6.375" style="14" customWidth="1"/>
    <col min="1806" max="1806" width="8.75" style="14" customWidth="1"/>
    <col min="1807" max="1807" width="13.125" style="14" customWidth="1"/>
    <col min="1808" max="1808" width="8" style="14" customWidth="1"/>
    <col min="1809" max="1809" width="9.875" style="14" customWidth="1"/>
    <col min="1810" max="1811" width="9.125" style="14" customWidth="1"/>
    <col min="1812" max="2052" width="9" style="14"/>
    <col min="2053" max="2053" width="1.375" style="14" customWidth="1"/>
    <col min="2054" max="2054" width="8.75" style="14" customWidth="1"/>
    <col min="2055" max="2055" width="9.875" style="14" customWidth="1"/>
    <col min="2056" max="2056" width="13.125" style="14" customWidth="1"/>
    <col min="2057" max="2057" width="6" style="14" customWidth="1"/>
    <col min="2058" max="2058" width="8" style="14" customWidth="1"/>
    <col min="2059" max="2059" width="10.625" style="14" customWidth="1"/>
    <col min="2060" max="2060" width="8.75" style="14" customWidth="1"/>
    <col min="2061" max="2061" width="6.375" style="14" customWidth="1"/>
    <col min="2062" max="2062" width="8.75" style="14" customWidth="1"/>
    <col min="2063" max="2063" width="13.125" style="14" customWidth="1"/>
    <col min="2064" max="2064" width="8" style="14" customWidth="1"/>
    <col min="2065" max="2065" width="9.875" style="14" customWidth="1"/>
    <col min="2066" max="2067" width="9.125" style="14" customWidth="1"/>
    <col min="2068" max="2308" width="9" style="14"/>
    <col min="2309" max="2309" width="1.375" style="14" customWidth="1"/>
    <col min="2310" max="2310" width="8.75" style="14" customWidth="1"/>
    <col min="2311" max="2311" width="9.875" style="14" customWidth="1"/>
    <col min="2312" max="2312" width="13.125" style="14" customWidth="1"/>
    <col min="2313" max="2313" width="6" style="14" customWidth="1"/>
    <col min="2314" max="2314" width="8" style="14" customWidth="1"/>
    <col min="2315" max="2315" width="10.625" style="14" customWidth="1"/>
    <col min="2316" max="2316" width="8.75" style="14" customWidth="1"/>
    <col min="2317" max="2317" width="6.375" style="14" customWidth="1"/>
    <col min="2318" max="2318" width="8.75" style="14" customWidth="1"/>
    <col min="2319" max="2319" width="13.125" style="14" customWidth="1"/>
    <col min="2320" max="2320" width="8" style="14" customWidth="1"/>
    <col min="2321" max="2321" width="9.875" style="14" customWidth="1"/>
    <col min="2322" max="2323" width="9.125" style="14" customWidth="1"/>
    <col min="2324" max="2564" width="9" style="14"/>
    <col min="2565" max="2565" width="1.375" style="14" customWidth="1"/>
    <col min="2566" max="2566" width="8.75" style="14" customWidth="1"/>
    <col min="2567" max="2567" width="9.875" style="14" customWidth="1"/>
    <col min="2568" max="2568" width="13.125" style="14" customWidth="1"/>
    <col min="2569" max="2569" width="6" style="14" customWidth="1"/>
    <col min="2570" max="2570" width="8" style="14" customWidth="1"/>
    <col min="2571" max="2571" width="10.625" style="14" customWidth="1"/>
    <col min="2572" max="2572" width="8.75" style="14" customWidth="1"/>
    <col min="2573" max="2573" width="6.375" style="14" customWidth="1"/>
    <col min="2574" max="2574" width="8.75" style="14" customWidth="1"/>
    <col min="2575" max="2575" width="13.125" style="14" customWidth="1"/>
    <col min="2576" max="2576" width="8" style="14" customWidth="1"/>
    <col min="2577" max="2577" width="9.875" style="14" customWidth="1"/>
    <col min="2578" max="2579" width="9.125" style="14" customWidth="1"/>
    <col min="2580" max="2820" width="9" style="14"/>
    <col min="2821" max="2821" width="1.375" style="14" customWidth="1"/>
    <col min="2822" max="2822" width="8.75" style="14" customWidth="1"/>
    <col min="2823" max="2823" width="9.875" style="14" customWidth="1"/>
    <col min="2824" max="2824" width="13.125" style="14" customWidth="1"/>
    <col min="2825" max="2825" width="6" style="14" customWidth="1"/>
    <col min="2826" max="2826" width="8" style="14" customWidth="1"/>
    <col min="2827" max="2827" width="10.625" style="14" customWidth="1"/>
    <col min="2828" max="2828" width="8.75" style="14" customWidth="1"/>
    <col min="2829" max="2829" width="6.375" style="14" customWidth="1"/>
    <col min="2830" max="2830" width="8.75" style="14" customWidth="1"/>
    <col min="2831" max="2831" width="13.125" style="14" customWidth="1"/>
    <col min="2832" max="2832" width="8" style="14" customWidth="1"/>
    <col min="2833" max="2833" width="9.875" style="14" customWidth="1"/>
    <col min="2834" max="2835" width="9.125" style="14" customWidth="1"/>
    <col min="2836" max="3076" width="9" style="14"/>
    <col min="3077" max="3077" width="1.375" style="14" customWidth="1"/>
    <col min="3078" max="3078" width="8.75" style="14" customWidth="1"/>
    <col min="3079" max="3079" width="9.875" style="14" customWidth="1"/>
    <col min="3080" max="3080" width="13.125" style="14" customWidth="1"/>
    <col min="3081" max="3081" width="6" style="14" customWidth="1"/>
    <col min="3082" max="3082" width="8" style="14" customWidth="1"/>
    <col min="3083" max="3083" width="10.625" style="14" customWidth="1"/>
    <col min="3084" max="3084" width="8.75" style="14" customWidth="1"/>
    <col min="3085" max="3085" width="6.375" style="14" customWidth="1"/>
    <col min="3086" max="3086" width="8.75" style="14" customWidth="1"/>
    <col min="3087" max="3087" width="13.125" style="14" customWidth="1"/>
    <col min="3088" max="3088" width="8" style="14" customWidth="1"/>
    <col min="3089" max="3089" width="9.875" style="14" customWidth="1"/>
    <col min="3090" max="3091" width="9.125" style="14" customWidth="1"/>
    <col min="3092" max="3332" width="9" style="14"/>
    <col min="3333" max="3333" width="1.375" style="14" customWidth="1"/>
    <col min="3334" max="3334" width="8.75" style="14" customWidth="1"/>
    <col min="3335" max="3335" width="9.875" style="14" customWidth="1"/>
    <col min="3336" max="3336" width="13.125" style="14" customWidth="1"/>
    <col min="3337" max="3337" width="6" style="14" customWidth="1"/>
    <col min="3338" max="3338" width="8" style="14" customWidth="1"/>
    <col min="3339" max="3339" width="10.625" style="14" customWidth="1"/>
    <col min="3340" max="3340" width="8.75" style="14" customWidth="1"/>
    <col min="3341" max="3341" width="6.375" style="14" customWidth="1"/>
    <col min="3342" max="3342" width="8.75" style="14" customWidth="1"/>
    <col min="3343" max="3343" width="13.125" style="14" customWidth="1"/>
    <col min="3344" max="3344" width="8" style="14" customWidth="1"/>
    <col min="3345" max="3345" width="9.875" style="14" customWidth="1"/>
    <col min="3346" max="3347" width="9.125" style="14" customWidth="1"/>
    <col min="3348" max="3588" width="9" style="14"/>
    <col min="3589" max="3589" width="1.375" style="14" customWidth="1"/>
    <col min="3590" max="3590" width="8.75" style="14" customWidth="1"/>
    <col min="3591" max="3591" width="9.875" style="14" customWidth="1"/>
    <col min="3592" max="3592" width="13.125" style="14" customWidth="1"/>
    <col min="3593" max="3593" width="6" style="14" customWidth="1"/>
    <col min="3594" max="3594" width="8" style="14" customWidth="1"/>
    <col min="3595" max="3595" width="10.625" style="14" customWidth="1"/>
    <col min="3596" max="3596" width="8.75" style="14" customWidth="1"/>
    <col min="3597" max="3597" width="6.375" style="14" customWidth="1"/>
    <col min="3598" max="3598" width="8.75" style="14" customWidth="1"/>
    <col min="3599" max="3599" width="13.125" style="14" customWidth="1"/>
    <col min="3600" max="3600" width="8" style="14" customWidth="1"/>
    <col min="3601" max="3601" width="9.875" style="14" customWidth="1"/>
    <col min="3602" max="3603" width="9.125" style="14" customWidth="1"/>
    <col min="3604" max="3844" width="9" style="14"/>
    <col min="3845" max="3845" width="1.375" style="14" customWidth="1"/>
    <col min="3846" max="3846" width="8.75" style="14" customWidth="1"/>
    <col min="3847" max="3847" width="9.875" style="14" customWidth="1"/>
    <col min="3848" max="3848" width="13.125" style="14" customWidth="1"/>
    <col min="3849" max="3849" width="6" style="14" customWidth="1"/>
    <col min="3850" max="3850" width="8" style="14" customWidth="1"/>
    <col min="3851" max="3851" width="10.625" style="14" customWidth="1"/>
    <col min="3852" max="3852" width="8.75" style="14" customWidth="1"/>
    <col min="3853" max="3853" width="6.375" style="14" customWidth="1"/>
    <col min="3854" max="3854" width="8.75" style="14" customWidth="1"/>
    <col min="3855" max="3855" width="13.125" style="14" customWidth="1"/>
    <col min="3856" max="3856" width="8" style="14" customWidth="1"/>
    <col min="3857" max="3857" width="9.875" style="14" customWidth="1"/>
    <col min="3858" max="3859" width="9.125" style="14" customWidth="1"/>
    <col min="3860" max="4100" width="9" style="14"/>
    <col min="4101" max="4101" width="1.375" style="14" customWidth="1"/>
    <col min="4102" max="4102" width="8.75" style="14" customWidth="1"/>
    <col min="4103" max="4103" width="9.875" style="14" customWidth="1"/>
    <col min="4104" max="4104" width="13.125" style="14" customWidth="1"/>
    <col min="4105" max="4105" width="6" style="14" customWidth="1"/>
    <col min="4106" max="4106" width="8" style="14" customWidth="1"/>
    <col min="4107" max="4107" width="10.625" style="14" customWidth="1"/>
    <col min="4108" max="4108" width="8.75" style="14" customWidth="1"/>
    <col min="4109" max="4109" width="6.375" style="14" customWidth="1"/>
    <col min="4110" max="4110" width="8.75" style="14" customWidth="1"/>
    <col min="4111" max="4111" width="13.125" style="14" customWidth="1"/>
    <col min="4112" max="4112" width="8" style="14" customWidth="1"/>
    <col min="4113" max="4113" width="9.875" style="14" customWidth="1"/>
    <col min="4114" max="4115" width="9.125" style="14" customWidth="1"/>
    <col min="4116" max="4356" width="9" style="14"/>
    <col min="4357" max="4357" width="1.375" style="14" customWidth="1"/>
    <col min="4358" max="4358" width="8.75" style="14" customWidth="1"/>
    <col min="4359" max="4359" width="9.875" style="14" customWidth="1"/>
    <col min="4360" max="4360" width="13.125" style="14" customWidth="1"/>
    <col min="4361" max="4361" width="6" style="14" customWidth="1"/>
    <col min="4362" max="4362" width="8" style="14" customWidth="1"/>
    <col min="4363" max="4363" width="10.625" style="14" customWidth="1"/>
    <col min="4364" max="4364" width="8.75" style="14" customWidth="1"/>
    <col min="4365" max="4365" width="6.375" style="14" customWidth="1"/>
    <col min="4366" max="4366" width="8.75" style="14" customWidth="1"/>
    <col min="4367" max="4367" width="13.125" style="14" customWidth="1"/>
    <col min="4368" max="4368" width="8" style="14" customWidth="1"/>
    <col min="4369" max="4369" width="9.875" style="14" customWidth="1"/>
    <col min="4370" max="4371" width="9.125" style="14" customWidth="1"/>
    <col min="4372" max="4612" width="9" style="14"/>
    <col min="4613" max="4613" width="1.375" style="14" customWidth="1"/>
    <col min="4614" max="4614" width="8.75" style="14" customWidth="1"/>
    <col min="4615" max="4615" width="9.875" style="14" customWidth="1"/>
    <col min="4616" max="4616" width="13.125" style="14" customWidth="1"/>
    <col min="4617" max="4617" width="6" style="14" customWidth="1"/>
    <col min="4618" max="4618" width="8" style="14" customWidth="1"/>
    <col min="4619" max="4619" width="10.625" style="14" customWidth="1"/>
    <col min="4620" max="4620" width="8.75" style="14" customWidth="1"/>
    <col min="4621" max="4621" width="6.375" style="14" customWidth="1"/>
    <col min="4622" max="4622" width="8.75" style="14" customWidth="1"/>
    <col min="4623" max="4623" width="13.125" style="14" customWidth="1"/>
    <col min="4624" max="4624" width="8" style="14" customWidth="1"/>
    <col min="4625" max="4625" width="9.875" style="14" customWidth="1"/>
    <col min="4626" max="4627" width="9.125" style="14" customWidth="1"/>
    <col min="4628" max="4868" width="9" style="14"/>
    <col min="4869" max="4869" width="1.375" style="14" customWidth="1"/>
    <col min="4870" max="4870" width="8.75" style="14" customWidth="1"/>
    <col min="4871" max="4871" width="9.875" style="14" customWidth="1"/>
    <col min="4872" max="4872" width="13.125" style="14" customWidth="1"/>
    <col min="4873" max="4873" width="6" style="14" customWidth="1"/>
    <col min="4874" max="4874" width="8" style="14" customWidth="1"/>
    <col min="4875" max="4875" width="10.625" style="14" customWidth="1"/>
    <col min="4876" max="4876" width="8.75" style="14" customWidth="1"/>
    <col min="4877" max="4877" width="6.375" style="14" customWidth="1"/>
    <col min="4878" max="4878" width="8.75" style="14" customWidth="1"/>
    <col min="4879" max="4879" width="13.125" style="14" customWidth="1"/>
    <col min="4880" max="4880" width="8" style="14" customWidth="1"/>
    <col min="4881" max="4881" width="9.875" style="14" customWidth="1"/>
    <col min="4882" max="4883" width="9.125" style="14" customWidth="1"/>
    <col min="4884" max="5124" width="9" style="14"/>
    <col min="5125" max="5125" width="1.375" style="14" customWidth="1"/>
    <col min="5126" max="5126" width="8.75" style="14" customWidth="1"/>
    <col min="5127" max="5127" width="9.875" style="14" customWidth="1"/>
    <col min="5128" max="5128" width="13.125" style="14" customWidth="1"/>
    <col min="5129" max="5129" width="6" style="14" customWidth="1"/>
    <col min="5130" max="5130" width="8" style="14" customWidth="1"/>
    <col min="5131" max="5131" width="10.625" style="14" customWidth="1"/>
    <col min="5132" max="5132" width="8.75" style="14" customWidth="1"/>
    <col min="5133" max="5133" width="6.375" style="14" customWidth="1"/>
    <col min="5134" max="5134" width="8.75" style="14" customWidth="1"/>
    <col min="5135" max="5135" width="13.125" style="14" customWidth="1"/>
    <col min="5136" max="5136" width="8" style="14" customWidth="1"/>
    <col min="5137" max="5137" width="9.875" style="14" customWidth="1"/>
    <col min="5138" max="5139" width="9.125" style="14" customWidth="1"/>
    <col min="5140" max="5380" width="9" style="14"/>
    <col min="5381" max="5381" width="1.375" style="14" customWidth="1"/>
    <col min="5382" max="5382" width="8.75" style="14" customWidth="1"/>
    <col min="5383" max="5383" width="9.875" style="14" customWidth="1"/>
    <col min="5384" max="5384" width="13.125" style="14" customWidth="1"/>
    <col min="5385" max="5385" width="6" style="14" customWidth="1"/>
    <col min="5386" max="5386" width="8" style="14" customWidth="1"/>
    <col min="5387" max="5387" width="10.625" style="14" customWidth="1"/>
    <col min="5388" max="5388" width="8.75" style="14" customWidth="1"/>
    <col min="5389" max="5389" width="6.375" style="14" customWidth="1"/>
    <col min="5390" max="5390" width="8.75" style="14" customWidth="1"/>
    <col min="5391" max="5391" width="13.125" style="14" customWidth="1"/>
    <col min="5392" max="5392" width="8" style="14" customWidth="1"/>
    <col min="5393" max="5393" width="9.875" style="14" customWidth="1"/>
    <col min="5394" max="5395" width="9.125" style="14" customWidth="1"/>
    <col min="5396" max="5636" width="9" style="14"/>
    <col min="5637" max="5637" width="1.375" style="14" customWidth="1"/>
    <col min="5638" max="5638" width="8.75" style="14" customWidth="1"/>
    <col min="5639" max="5639" width="9.875" style="14" customWidth="1"/>
    <col min="5640" max="5640" width="13.125" style="14" customWidth="1"/>
    <col min="5641" max="5641" width="6" style="14" customWidth="1"/>
    <col min="5642" max="5642" width="8" style="14" customWidth="1"/>
    <col min="5643" max="5643" width="10.625" style="14" customWidth="1"/>
    <col min="5644" max="5644" width="8.75" style="14" customWidth="1"/>
    <col min="5645" max="5645" width="6.375" style="14" customWidth="1"/>
    <col min="5646" max="5646" width="8.75" style="14" customWidth="1"/>
    <col min="5647" max="5647" width="13.125" style="14" customWidth="1"/>
    <col min="5648" max="5648" width="8" style="14" customWidth="1"/>
    <col min="5649" max="5649" width="9.875" style="14" customWidth="1"/>
    <col min="5650" max="5651" width="9.125" style="14" customWidth="1"/>
    <col min="5652" max="5892" width="9" style="14"/>
    <col min="5893" max="5893" width="1.375" style="14" customWidth="1"/>
    <col min="5894" max="5894" width="8.75" style="14" customWidth="1"/>
    <col min="5895" max="5895" width="9.875" style="14" customWidth="1"/>
    <col min="5896" max="5896" width="13.125" style="14" customWidth="1"/>
    <col min="5897" max="5897" width="6" style="14" customWidth="1"/>
    <col min="5898" max="5898" width="8" style="14" customWidth="1"/>
    <col min="5899" max="5899" width="10.625" style="14" customWidth="1"/>
    <col min="5900" max="5900" width="8.75" style="14" customWidth="1"/>
    <col min="5901" max="5901" width="6.375" style="14" customWidth="1"/>
    <col min="5902" max="5902" width="8.75" style="14" customWidth="1"/>
    <col min="5903" max="5903" width="13.125" style="14" customWidth="1"/>
    <col min="5904" max="5904" width="8" style="14" customWidth="1"/>
    <col min="5905" max="5905" width="9.875" style="14" customWidth="1"/>
    <col min="5906" max="5907" width="9.125" style="14" customWidth="1"/>
    <col min="5908" max="6148" width="9" style="14"/>
    <col min="6149" max="6149" width="1.375" style="14" customWidth="1"/>
    <col min="6150" max="6150" width="8.75" style="14" customWidth="1"/>
    <col min="6151" max="6151" width="9.875" style="14" customWidth="1"/>
    <col min="6152" max="6152" width="13.125" style="14" customWidth="1"/>
    <col min="6153" max="6153" width="6" style="14" customWidth="1"/>
    <col min="6154" max="6154" width="8" style="14" customWidth="1"/>
    <col min="6155" max="6155" width="10.625" style="14" customWidth="1"/>
    <col min="6156" max="6156" width="8.75" style="14" customWidth="1"/>
    <col min="6157" max="6157" width="6.375" style="14" customWidth="1"/>
    <col min="6158" max="6158" width="8.75" style="14" customWidth="1"/>
    <col min="6159" max="6159" width="13.125" style="14" customWidth="1"/>
    <col min="6160" max="6160" width="8" style="14" customWidth="1"/>
    <col min="6161" max="6161" width="9.875" style="14" customWidth="1"/>
    <col min="6162" max="6163" width="9.125" style="14" customWidth="1"/>
    <col min="6164" max="6404" width="9" style="14"/>
    <col min="6405" max="6405" width="1.375" style="14" customWidth="1"/>
    <col min="6406" max="6406" width="8.75" style="14" customWidth="1"/>
    <col min="6407" max="6407" width="9.875" style="14" customWidth="1"/>
    <col min="6408" max="6408" width="13.125" style="14" customWidth="1"/>
    <col min="6409" max="6409" width="6" style="14" customWidth="1"/>
    <col min="6410" max="6410" width="8" style="14" customWidth="1"/>
    <col min="6411" max="6411" width="10.625" style="14" customWidth="1"/>
    <col min="6412" max="6412" width="8.75" style="14" customWidth="1"/>
    <col min="6413" max="6413" width="6.375" style="14" customWidth="1"/>
    <col min="6414" max="6414" width="8.75" style="14" customWidth="1"/>
    <col min="6415" max="6415" width="13.125" style="14" customWidth="1"/>
    <col min="6416" max="6416" width="8" style="14" customWidth="1"/>
    <col min="6417" max="6417" width="9.875" style="14" customWidth="1"/>
    <col min="6418" max="6419" width="9.125" style="14" customWidth="1"/>
    <col min="6420" max="6660" width="9" style="14"/>
    <col min="6661" max="6661" width="1.375" style="14" customWidth="1"/>
    <col min="6662" max="6662" width="8.75" style="14" customWidth="1"/>
    <col min="6663" max="6663" width="9.875" style="14" customWidth="1"/>
    <col min="6664" max="6664" width="13.125" style="14" customWidth="1"/>
    <col min="6665" max="6665" width="6" style="14" customWidth="1"/>
    <col min="6666" max="6666" width="8" style="14" customWidth="1"/>
    <col min="6667" max="6667" width="10.625" style="14" customWidth="1"/>
    <col min="6668" max="6668" width="8.75" style="14" customWidth="1"/>
    <col min="6669" max="6669" width="6.375" style="14" customWidth="1"/>
    <col min="6670" max="6670" width="8.75" style="14" customWidth="1"/>
    <col min="6671" max="6671" width="13.125" style="14" customWidth="1"/>
    <col min="6672" max="6672" width="8" style="14" customWidth="1"/>
    <col min="6673" max="6673" width="9.875" style="14" customWidth="1"/>
    <col min="6674" max="6675" width="9.125" style="14" customWidth="1"/>
    <col min="6676" max="6916" width="9" style="14"/>
    <col min="6917" max="6917" width="1.375" style="14" customWidth="1"/>
    <col min="6918" max="6918" width="8.75" style="14" customWidth="1"/>
    <col min="6919" max="6919" width="9.875" style="14" customWidth="1"/>
    <col min="6920" max="6920" width="13.125" style="14" customWidth="1"/>
    <col min="6921" max="6921" width="6" style="14" customWidth="1"/>
    <col min="6922" max="6922" width="8" style="14" customWidth="1"/>
    <col min="6923" max="6923" width="10.625" style="14" customWidth="1"/>
    <col min="6924" max="6924" width="8.75" style="14" customWidth="1"/>
    <col min="6925" max="6925" width="6.375" style="14" customWidth="1"/>
    <col min="6926" max="6926" width="8.75" style="14" customWidth="1"/>
    <col min="6927" max="6927" width="13.125" style="14" customWidth="1"/>
    <col min="6928" max="6928" width="8" style="14" customWidth="1"/>
    <col min="6929" max="6929" width="9.875" style="14" customWidth="1"/>
    <col min="6930" max="6931" width="9.125" style="14" customWidth="1"/>
    <col min="6932" max="7172" width="9" style="14"/>
    <col min="7173" max="7173" width="1.375" style="14" customWidth="1"/>
    <col min="7174" max="7174" width="8.75" style="14" customWidth="1"/>
    <col min="7175" max="7175" width="9.875" style="14" customWidth="1"/>
    <col min="7176" max="7176" width="13.125" style="14" customWidth="1"/>
    <col min="7177" max="7177" width="6" style="14" customWidth="1"/>
    <col min="7178" max="7178" width="8" style="14" customWidth="1"/>
    <col min="7179" max="7179" width="10.625" style="14" customWidth="1"/>
    <col min="7180" max="7180" width="8.75" style="14" customWidth="1"/>
    <col min="7181" max="7181" width="6.375" style="14" customWidth="1"/>
    <col min="7182" max="7182" width="8.75" style="14" customWidth="1"/>
    <col min="7183" max="7183" width="13.125" style="14" customWidth="1"/>
    <col min="7184" max="7184" width="8" style="14" customWidth="1"/>
    <col min="7185" max="7185" width="9.875" style="14" customWidth="1"/>
    <col min="7186" max="7187" width="9.125" style="14" customWidth="1"/>
    <col min="7188" max="7428" width="9" style="14"/>
    <col min="7429" max="7429" width="1.375" style="14" customWidth="1"/>
    <col min="7430" max="7430" width="8.75" style="14" customWidth="1"/>
    <col min="7431" max="7431" width="9.875" style="14" customWidth="1"/>
    <col min="7432" max="7432" width="13.125" style="14" customWidth="1"/>
    <col min="7433" max="7433" width="6" style="14" customWidth="1"/>
    <col min="7434" max="7434" width="8" style="14" customWidth="1"/>
    <col min="7435" max="7435" width="10.625" style="14" customWidth="1"/>
    <col min="7436" max="7436" width="8.75" style="14" customWidth="1"/>
    <col min="7437" max="7437" width="6.375" style="14" customWidth="1"/>
    <col min="7438" max="7438" width="8.75" style="14" customWidth="1"/>
    <col min="7439" max="7439" width="13.125" style="14" customWidth="1"/>
    <col min="7440" max="7440" width="8" style="14" customWidth="1"/>
    <col min="7441" max="7441" width="9.875" style="14" customWidth="1"/>
    <col min="7442" max="7443" width="9.125" style="14" customWidth="1"/>
    <col min="7444" max="7684" width="9" style="14"/>
    <col min="7685" max="7685" width="1.375" style="14" customWidth="1"/>
    <col min="7686" max="7686" width="8.75" style="14" customWidth="1"/>
    <col min="7687" max="7687" width="9.875" style="14" customWidth="1"/>
    <col min="7688" max="7688" width="13.125" style="14" customWidth="1"/>
    <col min="7689" max="7689" width="6" style="14" customWidth="1"/>
    <col min="7690" max="7690" width="8" style="14" customWidth="1"/>
    <col min="7691" max="7691" width="10.625" style="14" customWidth="1"/>
    <col min="7692" max="7692" width="8.75" style="14" customWidth="1"/>
    <col min="7693" max="7693" width="6.375" style="14" customWidth="1"/>
    <col min="7694" max="7694" width="8.75" style="14" customWidth="1"/>
    <col min="7695" max="7695" width="13.125" style="14" customWidth="1"/>
    <col min="7696" max="7696" width="8" style="14" customWidth="1"/>
    <col min="7697" max="7697" width="9.875" style="14" customWidth="1"/>
    <col min="7698" max="7699" width="9.125" style="14" customWidth="1"/>
    <col min="7700" max="7940" width="9" style="14"/>
    <col min="7941" max="7941" width="1.375" style="14" customWidth="1"/>
    <col min="7942" max="7942" width="8.75" style="14" customWidth="1"/>
    <col min="7943" max="7943" width="9.875" style="14" customWidth="1"/>
    <col min="7944" max="7944" width="13.125" style="14" customWidth="1"/>
    <col min="7945" max="7945" width="6" style="14" customWidth="1"/>
    <col min="7946" max="7946" width="8" style="14" customWidth="1"/>
    <col min="7947" max="7947" width="10.625" style="14" customWidth="1"/>
    <col min="7948" max="7948" width="8.75" style="14" customWidth="1"/>
    <col min="7949" max="7949" width="6.375" style="14" customWidth="1"/>
    <col min="7950" max="7950" width="8.75" style="14" customWidth="1"/>
    <col min="7951" max="7951" width="13.125" style="14" customWidth="1"/>
    <col min="7952" max="7952" width="8" style="14" customWidth="1"/>
    <col min="7953" max="7953" width="9.875" style="14" customWidth="1"/>
    <col min="7954" max="7955" width="9.125" style="14" customWidth="1"/>
    <col min="7956" max="8196" width="9" style="14"/>
    <col min="8197" max="8197" width="1.375" style="14" customWidth="1"/>
    <col min="8198" max="8198" width="8.75" style="14" customWidth="1"/>
    <col min="8199" max="8199" width="9.875" style="14" customWidth="1"/>
    <col min="8200" max="8200" width="13.125" style="14" customWidth="1"/>
    <col min="8201" max="8201" width="6" style="14" customWidth="1"/>
    <col min="8202" max="8202" width="8" style="14" customWidth="1"/>
    <col min="8203" max="8203" width="10.625" style="14" customWidth="1"/>
    <col min="8204" max="8204" width="8.75" style="14" customWidth="1"/>
    <col min="8205" max="8205" width="6.375" style="14" customWidth="1"/>
    <col min="8206" max="8206" width="8.75" style="14" customWidth="1"/>
    <col min="8207" max="8207" width="13.125" style="14" customWidth="1"/>
    <col min="8208" max="8208" width="8" style="14" customWidth="1"/>
    <col min="8209" max="8209" width="9.875" style="14" customWidth="1"/>
    <col min="8210" max="8211" width="9.125" style="14" customWidth="1"/>
    <col min="8212" max="8452" width="9" style="14"/>
    <col min="8453" max="8453" width="1.375" style="14" customWidth="1"/>
    <col min="8454" max="8454" width="8.75" style="14" customWidth="1"/>
    <col min="8455" max="8455" width="9.875" style="14" customWidth="1"/>
    <col min="8456" max="8456" width="13.125" style="14" customWidth="1"/>
    <col min="8457" max="8457" width="6" style="14" customWidth="1"/>
    <col min="8458" max="8458" width="8" style="14" customWidth="1"/>
    <col min="8459" max="8459" width="10.625" style="14" customWidth="1"/>
    <col min="8460" max="8460" width="8.75" style="14" customWidth="1"/>
    <col min="8461" max="8461" width="6.375" style="14" customWidth="1"/>
    <col min="8462" max="8462" width="8.75" style="14" customWidth="1"/>
    <col min="8463" max="8463" width="13.125" style="14" customWidth="1"/>
    <col min="8464" max="8464" width="8" style="14" customWidth="1"/>
    <col min="8465" max="8465" width="9.875" style="14" customWidth="1"/>
    <col min="8466" max="8467" width="9.125" style="14" customWidth="1"/>
    <col min="8468" max="8708" width="9" style="14"/>
    <col min="8709" max="8709" width="1.375" style="14" customWidth="1"/>
    <col min="8710" max="8710" width="8.75" style="14" customWidth="1"/>
    <col min="8711" max="8711" width="9.875" style="14" customWidth="1"/>
    <col min="8712" max="8712" width="13.125" style="14" customWidth="1"/>
    <col min="8713" max="8713" width="6" style="14" customWidth="1"/>
    <col min="8714" max="8714" width="8" style="14" customWidth="1"/>
    <col min="8715" max="8715" width="10.625" style="14" customWidth="1"/>
    <col min="8716" max="8716" width="8.75" style="14" customWidth="1"/>
    <col min="8717" max="8717" width="6.375" style="14" customWidth="1"/>
    <col min="8718" max="8718" width="8.75" style="14" customWidth="1"/>
    <col min="8719" max="8719" width="13.125" style="14" customWidth="1"/>
    <col min="8720" max="8720" width="8" style="14" customWidth="1"/>
    <col min="8721" max="8721" width="9.875" style="14" customWidth="1"/>
    <col min="8722" max="8723" width="9.125" style="14" customWidth="1"/>
    <col min="8724" max="8964" width="9" style="14"/>
    <col min="8965" max="8965" width="1.375" style="14" customWidth="1"/>
    <col min="8966" max="8966" width="8.75" style="14" customWidth="1"/>
    <col min="8967" max="8967" width="9.875" style="14" customWidth="1"/>
    <col min="8968" max="8968" width="13.125" style="14" customWidth="1"/>
    <col min="8969" max="8969" width="6" style="14" customWidth="1"/>
    <col min="8970" max="8970" width="8" style="14" customWidth="1"/>
    <col min="8971" max="8971" width="10.625" style="14" customWidth="1"/>
    <col min="8972" max="8972" width="8.75" style="14" customWidth="1"/>
    <col min="8973" max="8973" width="6.375" style="14" customWidth="1"/>
    <col min="8974" max="8974" width="8.75" style="14" customWidth="1"/>
    <col min="8975" max="8975" width="13.125" style="14" customWidth="1"/>
    <col min="8976" max="8976" width="8" style="14" customWidth="1"/>
    <col min="8977" max="8977" width="9.875" style="14" customWidth="1"/>
    <col min="8978" max="8979" width="9.125" style="14" customWidth="1"/>
    <col min="8980" max="9220" width="9" style="14"/>
    <col min="9221" max="9221" width="1.375" style="14" customWidth="1"/>
    <col min="9222" max="9222" width="8.75" style="14" customWidth="1"/>
    <col min="9223" max="9223" width="9.875" style="14" customWidth="1"/>
    <col min="9224" max="9224" width="13.125" style="14" customWidth="1"/>
    <col min="9225" max="9225" width="6" style="14" customWidth="1"/>
    <col min="9226" max="9226" width="8" style="14" customWidth="1"/>
    <col min="9227" max="9227" width="10.625" style="14" customWidth="1"/>
    <col min="9228" max="9228" width="8.75" style="14" customWidth="1"/>
    <col min="9229" max="9229" width="6.375" style="14" customWidth="1"/>
    <col min="9230" max="9230" width="8.75" style="14" customWidth="1"/>
    <col min="9231" max="9231" width="13.125" style="14" customWidth="1"/>
    <col min="9232" max="9232" width="8" style="14" customWidth="1"/>
    <col min="9233" max="9233" width="9.875" style="14" customWidth="1"/>
    <col min="9234" max="9235" width="9.125" style="14" customWidth="1"/>
    <col min="9236" max="9476" width="9" style="14"/>
    <col min="9477" max="9477" width="1.375" style="14" customWidth="1"/>
    <col min="9478" max="9478" width="8.75" style="14" customWidth="1"/>
    <col min="9479" max="9479" width="9.875" style="14" customWidth="1"/>
    <col min="9480" max="9480" width="13.125" style="14" customWidth="1"/>
    <col min="9481" max="9481" width="6" style="14" customWidth="1"/>
    <col min="9482" max="9482" width="8" style="14" customWidth="1"/>
    <col min="9483" max="9483" width="10.625" style="14" customWidth="1"/>
    <col min="9484" max="9484" width="8.75" style="14" customWidth="1"/>
    <col min="9485" max="9485" width="6.375" style="14" customWidth="1"/>
    <col min="9486" max="9486" width="8.75" style="14" customWidth="1"/>
    <col min="9487" max="9487" width="13.125" style="14" customWidth="1"/>
    <col min="9488" max="9488" width="8" style="14" customWidth="1"/>
    <col min="9489" max="9489" width="9.875" style="14" customWidth="1"/>
    <col min="9490" max="9491" width="9.125" style="14" customWidth="1"/>
    <col min="9492" max="9732" width="9" style="14"/>
    <col min="9733" max="9733" width="1.375" style="14" customWidth="1"/>
    <col min="9734" max="9734" width="8.75" style="14" customWidth="1"/>
    <col min="9735" max="9735" width="9.875" style="14" customWidth="1"/>
    <col min="9736" max="9736" width="13.125" style="14" customWidth="1"/>
    <col min="9737" max="9737" width="6" style="14" customWidth="1"/>
    <col min="9738" max="9738" width="8" style="14" customWidth="1"/>
    <col min="9739" max="9739" width="10.625" style="14" customWidth="1"/>
    <col min="9740" max="9740" width="8.75" style="14" customWidth="1"/>
    <col min="9741" max="9741" width="6.375" style="14" customWidth="1"/>
    <col min="9742" max="9742" width="8.75" style="14" customWidth="1"/>
    <col min="9743" max="9743" width="13.125" style="14" customWidth="1"/>
    <col min="9744" max="9744" width="8" style="14" customWidth="1"/>
    <col min="9745" max="9745" width="9.875" style="14" customWidth="1"/>
    <col min="9746" max="9747" width="9.125" style="14" customWidth="1"/>
    <col min="9748" max="9988" width="9" style="14"/>
    <col min="9989" max="9989" width="1.375" style="14" customWidth="1"/>
    <col min="9990" max="9990" width="8.75" style="14" customWidth="1"/>
    <col min="9991" max="9991" width="9.875" style="14" customWidth="1"/>
    <col min="9992" max="9992" width="13.125" style="14" customWidth="1"/>
    <col min="9993" max="9993" width="6" style="14" customWidth="1"/>
    <col min="9994" max="9994" width="8" style="14" customWidth="1"/>
    <col min="9995" max="9995" width="10.625" style="14" customWidth="1"/>
    <col min="9996" max="9996" width="8.75" style="14" customWidth="1"/>
    <col min="9997" max="9997" width="6.375" style="14" customWidth="1"/>
    <col min="9998" max="9998" width="8.75" style="14" customWidth="1"/>
    <col min="9999" max="9999" width="13.125" style="14" customWidth="1"/>
    <col min="10000" max="10000" width="8" style="14" customWidth="1"/>
    <col min="10001" max="10001" width="9.875" style="14" customWidth="1"/>
    <col min="10002" max="10003" width="9.125" style="14" customWidth="1"/>
    <col min="10004" max="10244" width="9" style="14"/>
    <col min="10245" max="10245" width="1.375" style="14" customWidth="1"/>
    <col min="10246" max="10246" width="8.75" style="14" customWidth="1"/>
    <col min="10247" max="10247" width="9.875" style="14" customWidth="1"/>
    <col min="10248" max="10248" width="13.125" style="14" customWidth="1"/>
    <col min="10249" max="10249" width="6" style="14" customWidth="1"/>
    <col min="10250" max="10250" width="8" style="14" customWidth="1"/>
    <col min="10251" max="10251" width="10.625" style="14" customWidth="1"/>
    <col min="10252" max="10252" width="8.75" style="14" customWidth="1"/>
    <col min="10253" max="10253" width="6.375" style="14" customWidth="1"/>
    <col min="10254" max="10254" width="8.75" style="14" customWidth="1"/>
    <col min="10255" max="10255" width="13.125" style="14" customWidth="1"/>
    <col min="10256" max="10256" width="8" style="14" customWidth="1"/>
    <col min="10257" max="10257" width="9.875" style="14" customWidth="1"/>
    <col min="10258" max="10259" width="9.125" style="14" customWidth="1"/>
    <col min="10260" max="10500" width="9" style="14"/>
    <col min="10501" max="10501" width="1.375" style="14" customWidth="1"/>
    <col min="10502" max="10502" width="8.75" style="14" customWidth="1"/>
    <col min="10503" max="10503" width="9.875" style="14" customWidth="1"/>
    <col min="10504" max="10504" width="13.125" style="14" customWidth="1"/>
    <col min="10505" max="10505" width="6" style="14" customWidth="1"/>
    <col min="10506" max="10506" width="8" style="14" customWidth="1"/>
    <col min="10507" max="10507" width="10.625" style="14" customWidth="1"/>
    <col min="10508" max="10508" width="8.75" style="14" customWidth="1"/>
    <col min="10509" max="10509" width="6.375" style="14" customWidth="1"/>
    <col min="10510" max="10510" width="8.75" style="14" customWidth="1"/>
    <col min="10511" max="10511" width="13.125" style="14" customWidth="1"/>
    <col min="10512" max="10512" width="8" style="14" customWidth="1"/>
    <col min="10513" max="10513" width="9.875" style="14" customWidth="1"/>
    <col min="10514" max="10515" width="9.125" style="14" customWidth="1"/>
    <col min="10516" max="10756" width="9" style="14"/>
    <col min="10757" max="10757" width="1.375" style="14" customWidth="1"/>
    <col min="10758" max="10758" width="8.75" style="14" customWidth="1"/>
    <col min="10759" max="10759" width="9.875" style="14" customWidth="1"/>
    <col min="10760" max="10760" width="13.125" style="14" customWidth="1"/>
    <col min="10761" max="10761" width="6" style="14" customWidth="1"/>
    <col min="10762" max="10762" width="8" style="14" customWidth="1"/>
    <col min="10763" max="10763" width="10.625" style="14" customWidth="1"/>
    <col min="10764" max="10764" width="8.75" style="14" customWidth="1"/>
    <col min="10765" max="10765" width="6.375" style="14" customWidth="1"/>
    <col min="10766" max="10766" width="8.75" style="14" customWidth="1"/>
    <col min="10767" max="10767" width="13.125" style="14" customWidth="1"/>
    <col min="10768" max="10768" width="8" style="14" customWidth="1"/>
    <col min="10769" max="10769" width="9.875" style="14" customWidth="1"/>
    <col min="10770" max="10771" width="9.125" style="14" customWidth="1"/>
    <col min="10772" max="11012" width="9" style="14"/>
    <col min="11013" max="11013" width="1.375" style="14" customWidth="1"/>
    <col min="11014" max="11014" width="8.75" style="14" customWidth="1"/>
    <col min="11015" max="11015" width="9.875" style="14" customWidth="1"/>
    <col min="11016" max="11016" width="13.125" style="14" customWidth="1"/>
    <col min="11017" max="11017" width="6" style="14" customWidth="1"/>
    <col min="11018" max="11018" width="8" style="14" customWidth="1"/>
    <col min="11019" max="11019" width="10.625" style="14" customWidth="1"/>
    <col min="11020" max="11020" width="8.75" style="14" customWidth="1"/>
    <col min="11021" max="11021" width="6.375" style="14" customWidth="1"/>
    <col min="11022" max="11022" width="8.75" style="14" customWidth="1"/>
    <col min="11023" max="11023" width="13.125" style="14" customWidth="1"/>
    <col min="11024" max="11024" width="8" style="14" customWidth="1"/>
    <col min="11025" max="11025" width="9.875" style="14" customWidth="1"/>
    <col min="11026" max="11027" width="9.125" style="14" customWidth="1"/>
    <col min="11028" max="11268" width="9" style="14"/>
    <col min="11269" max="11269" width="1.375" style="14" customWidth="1"/>
    <col min="11270" max="11270" width="8.75" style="14" customWidth="1"/>
    <col min="11271" max="11271" width="9.875" style="14" customWidth="1"/>
    <col min="11272" max="11272" width="13.125" style="14" customWidth="1"/>
    <col min="11273" max="11273" width="6" style="14" customWidth="1"/>
    <col min="11274" max="11274" width="8" style="14" customWidth="1"/>
    <col min="11275" max="11275" width="10.625" style="14" customWidth="1"/>
    <col min="11276" max="11276" width="8.75" style="14" customWidth="1"/>
    <col min="11277" max="11277" width="6.375" style="14" customWidth="1"/>
    <col min="11278" max="11278" width="8.75" style="14" customWidth="1"/>
    <col min="11279" max="11279" width="13.125" style="14" customWidth="1"/>
    <col min="11280" max="11280" width="8" style="14" customWidth="1"/>
    <col min="11281" max="11281" width="9.875" style="14" customWidth="1"/>
    <col min="11282" max="11283" width="9.125" style="14" customWidth="1"/>
    <col min="11284" max="11524" width="9" style="14"/>
    <col min="11525" max="11525" width="1.375" style="14" customWidth="1"/>
    <col min="11526" max="11526" width="8.75" style="14" customWidth="1"/>
    <col min="11527" max="11527" width="9.875" style="14" customWidth="1"/>
    <col min="11528" max="11528" width="13.125" style="14" customWidth="1"/>
    <col min="11529" max="11529" width="6" style="14" customWidth="1"/>
    <col min="11530" max="11530" width="8" style="14" customWidth="1"/>
    <col min="11531" max="11531" width="10.625" style="14" customWidth="1"/>
    <col min="11532" max="11532" width="8.75" style="14" customWidth="1"/>
    <col min="11533" max="11533" width="6.375" style="14" customWidth="1"/>
    <col min="11534" max="11534" width="8.75" style="14" customWidth="1"/>
    <col min="11535" max="11535" width="13.125" style="14" customWidth="1"/>
    <col min="11536" max="11536" width="8" style="14" customWidth="1"/>
    <col min="11537" max="11537" width="9.875" style="14" customWidth="1"/>
    <col min="11538" max="11539" width="9.125" style="14" customWidth="1"/>
    <col min="11540" max="11780" width="9" style="14"/>
    <col min="11781" max="11781" width="1.375" style="14" customWidth="1"/>
    <col min="11782" max="11782" width="8.75" style="14" customWidth="1"/>
    <col min="11783" max="11783" width="9.875" style="14" customWidth="1"/>
    <col min="11784" max="11784" width="13.125" style="14" customWidth="1"/>
    <col min="11785" max="11785" width="6" style="14" customWidth="1"/>
    <col min="11786" max="11786" width="8" style="14" customWidth="1"/>
    <col min="11787" max="11787" width="10.625" style="14" customWidth="1"/>
    <col min="11788" max="11788" width="8.75" style="14" customWidth="1"/>
    <col min="11789" max="11789" width="6.375" style="14" customWidth="1"/>
    <col min="11790" max="11790" width="8.75" style="14" customWidth="1"/>
    <col min="11791" max="11791" width="13.125" style="14" customWidth="1"/>
    <col min="11792" max="11792" width="8" style="14" customWidth="1"/>
    <col min="11793" max="11793" width="9.875" style="14" customWidth="1"/>
    <col min="11794" max="11795" width="9.125" style="14" customWidth="1"/>
    <col min="11796" max="12036" width="9" style="14"/>
    <col min="12037" max="12037" width="1.375" style="14" customWidth="1"/>
    <col min="12038" max="12038" width="8.75" style="14" customWidth="1"/>
    <col min="12039" max="12039" width="9.875" style="14" customWidth="1"/>
    <col min="12040" max="12040" width="13.125" style="14" customWidth="1"/>
    <col min="12041" max="12041" width="6" style="14" customWidth="1"/>
    <col min="12042" max="12042" width="8" style="14" customWidth="1"/>
    <col min="12043" max="12043" width="10.625" style="14" customWidth="1"/>
    <col min="12044" max="12044" width="8.75" style="14" customWidth="1"/>
    <col min="12045" max="12045" width="6.375" style="14" customWidth="1"/>
    <col min="12046" max="12046" width="8.75" style="14" customWidth="1"/>
    <col min="12047" max="12047" width="13.125" style="14" customWidth="1"/>
    <col min="12048" max="12048" width="8" style="14" customWidth="1"/>
    <col min="12049" max="12049" width="9.875" style="14" customWidth="1"/>
    <col min="12050" max="12051" width="9.125" style="14" customWidth="1"/>
    <col min="12052" max="12292" width="9" style="14"/>
    <col min="12293" max="12293" width="1.375" style="14" customWidth="1"/>
    <col min="12294" max="12294" width="8.75" style="14" customWidth="1"/>
    <col min="12295" max="12295" width="9.875" style="14" customWidth="1"/>
    <col min="12296" max="12296" width="13.125" style="14" customWidth="1"/>
    <col min="12297" max="12297" width="6" style="14" customWidth="1"/>
    <col min="12298" max="12298" width="8" style="14" customWidth="1"/>
    <col min="12299" max="12299" width="10.625" style="14" customWidth="1"/>
    <col min="12300" max="12300" width="8.75" style="14" customWidth="1"/>
    <col min="12301" max="12301" width="6.375" style="14" customWidth="1"/>
    <col min="12302" max="12302" width="8.75" style="14" customWidth="1"/>
    <col min="12303" max="12303" width="13.125" style="14" customWidth="1"/>
    <col min="12304" max="12304" width="8" style="14" customWidth="1"/>
    <col min="12305" max="12305" width="9.875" style="14" customWidth="1"/>
    <col min="12306" max="12307" width="9.125" style="14" customWidth="1"/>
    <col min="12308" max="12548" width="9" style="14"/>
    <col min="12549" max="12549" width="1.375" style="14" customWidth="1"/>
    <col min="12550" max="12550" width="8.75" style="14" customWidth="1"/>
    <col min="12551" max="12551" width="9.875" style="14" customWidth="1"/>
    <col min="12552" max="12552" width="13.125" style="14" customWidth="1"/>
    <col min="12553" max="12553" width="6" style="14" customWidth="1"/>
    <col min="12554" max="12554" width="8" style="14" customWidth="1"/>
    <col min="12555" max="12555" width="10.625" style="14" customWidth="1"/>
    <col min="12556" max="12556" width="8.75" style="14" customWidth="1"/>
    <col min="12557" max="12557" width="6.375" style="14" customWidth="1"/>
    <col min="12558" max="12558" width="8.75" style="14" customWidth="1"/>
    <col min="12559" max="12559" width="13.125" style="14" customWidth="1"/>
    <col min="12560" max="12560" width="8" style="14" customWidth="1"/>
    <col min="12561" max="12561" width="9.875" style="14" customWidth="1"/>
    <col min="12562" max="12563" width="9.125" style="14" customWidth="1"/>
    <col min="12564" max="12804" width="9" style="14"/>
    <col min="12805" max="12805" width="1.375" style="14" customWidth="1"/>
    <col min="12806" max="12806" width="8.75" style="14" customWidth="1"/>
    <col min="12807" max="12807" width="9.875" style="14" customWidth="1"/>
    <col min="12808" max="12808" width="13.125" style="14" customWidth="1"/>
    <col min="12809" max="12809" width="6" style="14" customWidth="1"/>
    <col min="12810" max="12810" width="8" style="14" customWidth="1"/>
    <col min="12811" max="12811" width="10.625" style="14" customWidth="1"/>
    <col min="12812" max="12812" width="8.75" style="14" customWidth="1"/>
    <col min="12813" max="12813" width="6.375" style="14" customWidth="1"/>
    <col min="12814" max="12814" width="8.75" style="14" customWidth="1"/>
    <col min="12815" max="12815" width="13.125" style="14" customWidth="1"/>
    <col min="12816" max="12816" width="8" style="14" customWidth="1"/>
    <col min="12817" max="12817" width="9.875" style="14" customWidth="1"/>
    <col min="12818" max="12819" width="9.125" style="14" customWidth="1"/>
    <col min="12820" max="13060" width="9" style="14"/>
    <col min="13061" max="13061" width="1.375" style="14" customWidth="1"/>
    <col min="13062" max="13062" width="8.75" style="14" customWidth="1"/>
    <col min="13063" max="13063" width="9.875" style="14" customWidth="1"/>
    <col min="13064" max="13064" width="13.125" style="14" customWidth="1"/>
    <col min="13065" max="13065" width="6" style="14" customWidth="1"/>
    <col min="13066" max="13066" width="8" style="14" customWidth="1"/>
    <col min="13067" max="13067" width="10.625" style="14" customWidth="1"/>
    <col min="13068" max="13068" width="8.75" style="14" customWidth="1"/>
    <col min="13069" max="13069" width="6.375" style="14" customWidth="1"/>
    <col min="13070" max="13070" width="8.75" style="14" customWidth="1"/>
    <col min="13071" max="13071" width="13.125" style="14" customWidth="1"/>
    <col min="13072" max="13072" width="8" style="14" customWidth="1"/>
    <col min="13073" max="13073" width="9.875" style="14" customWidth="1"/>
    <col min="13074" max="13075" width="9.125" style="14" customWidth="1"/>
    <col min="13076" max="13316" width="9" style="14"/>
    <col min="13317" max="13317" width="1.375" style="14" customWidth="1"/>
    <col min="13318" max="13318" width="8.75" style="14" customWidth="1"/>
    <col min="13319" max="13319" width="9.875" style="14" customWidth="1"/>
    <col min="13320" max="13320" width="13.125" style="14" customWidth="1"/>
    <col min="13321" max="13321" width="6" style="14" customWidth="1"/>
    <col min="13322" max="13322" width="8" style="14" customWidth="1"/>
    <col min="13323" max="13323" width="10.625" style="14" customWidth="1"/>
    <col min="13324" max="13324" width="8.75" style="14" customWidth="1"/>
    <col min="13325" max="13325" width="6.375" style="14" customWidth="1"/>
    <col min="13326" max="13326" width="8.75" style="14" customWidth="1"/>
    <col min="13327" max="13327" width="13.125" style="14" customWidth="1"/>
    <col min="13328" max="13328" width="8" style="14" customWidth="1"/>
    <col min="13329" max="13329" width="9.875" style="14" customWidth="1"/>
    <col min="13330" max="13331" width="9.125" style="14" customWidth="1"/>
    <col min="13332" max="13572" width="9" style="14"/>
    <col min="13573" max="13573" width="1.375" style="14" customWidth="1"/>
    <col min="13574" max="13574" width="8.75" style="14" customWidth="1"/>
    <col min="13575" max="13575" width="9.875" style="14" customWidth="1"/>
    <col min="13576" max="13576" width="13.125" style="14" customWidth="1"/>
    <col min="13577" max="13577" width="6" style="14" customWidth="1"/>
    <col min="13578" max="13578" width="8" style="14" customWidth="1"/>
    <col min="13579" max="13579" width="10.625" style="14" customWidth="1"/>
    <col min="13580" max="13580" width="8.75" style="14" customWidth="1"/>
    <col min="13581" max="13581" width="6.375" style="14" customWidth="1"/>
    <col min="13582" max="13582" width="8.75" style="14" customWidth="1"/>
    <col min="13583" max="13583" width="13.125" style="14" customWidth="1"/>
    <col min="13584" max="13584" width="8" style="14" customWidth="1"/>
    <col min="13585" max="13585" width="9.875" style="14" customWidth="1"/>
    <col min="13586" max="13587" width="9.125" style="14" customWidth="1"/>
    <col min="13588" max="13828" width="9" style="14"/>
    <col min="13829" max="13829" width="1.375" style="14" customWidth="1"/>
    <col min="13830" max="13830" width="8.75" style="14" customWidth="1"/>
    <col min="13831" max="13831" width="9.875" style="14" customWidth="1"/>
    <col min="13832" max="13832" width="13.125" style="14" customWidth="1"/>
    <col min="13833" max="13833" width="6" style="14" customWidth="1"/>
    <col min="13834" max="13834" width="8" style="14" customWidth="1"/>
    <col min="13835" max="13835" width="10.625" style="14" customWidth="1"/>
    <col min="13836" max="13836" width="8.75" style="14" customWidth="1"/>
    <col min="13837" max="13837" width="6.375" style="14" customWidth="1"/>
    <col min="13838" max="13838" width="8.75" style="14" customWidth="1"/>
    <col min="13839" max="13839" width="13.125" style="14" customWidth="1"/>
    <col min="13840" max="13840" width="8" style="14" customWidth="1"/>
    <col min="13841" max="13841" width="9.875" style="14" customWidth="1"/>
    <col min="13842" max="13843" width="9.125" style="14" customWidth="1"/>
    <col min="13844" max="14084" width="9" style="14"/>
    <col min="14085" max="14085" width="1.375" style="14" customWidth="1"/>
    <col min="14086" max="14086" width="8.75" style="14" customWidth="1"/>
    <col min="14087" max="14087" width="9.875" style="14" customWidth="1"/>
    <col min="14088" max="14088" width="13.125" style="14" customWidth="1"/>
    <col min="14089" max="14089" width="6" style="14" customWidth="1"/>
    <col min="14090" max="14090" width="8" style="14" customWidth="1"/>
    <col min="14091" max="14091" width="10.625" style="14" customWidth="1"/>
    <col min="14092" max="14092" width="8.75" style="14" customWidth="1"/>
    <col min="14093" max="14093" width="6.375" style="14" customWidth="1"/>
    <col min="14094" max="14094" width="8.75" style="14" customWidth="1"/>
    <col min="14095" max="14095" width="13.125" style="14" customWidth="1"/>
    <col min="14096" max="14096" width="8" style="14" customWidth="1"/>
    <col min="14097" max="14097" width="9.875" style="14" customWidth="1"/>
    <col min="14098" max="14099" width="9.125" style="14" customWidth="1"/>
    <col min="14100" max="14340" width="9" style="14"/>
    <col min="14341" max="14341" width="1.375" style="14" customWidth="1"/>
    <col min="14342" max="14342" width="8.75" style="14" customWidth="1"/>
    <col min="14343" max="14343" width="9.875" style="14" customWidth="1"/>
    <col min="14344" max="14344" width="13.125" style="14" customWidth="1"/>
    <col min="14345" max="14345" width="6" style="14" customWidth="1"/>
    <col min="14346" max="14346" width="8" style="14" customWidth="1"/>
    <col min="14347" max="14347" width="10.625" style="14" customWidth="1"/>
    <col min="14348" max="14348" width="8.75" style="14" customWidth="1"/>
    <col min="14349" max="14349" width="6.375" style="14" customWidth="1"/>
    <col min="14350" max="14350" width="8.75" style="14" customWidth="1"/>
    <col min="14351" max="14351" width="13.125" style="14" customWidth="1"/>
    <col min="14352" max="14352" width="8" style="14" customWidth="1"/>
    <col min="14353" max="14353" width="9.875" style="14" customWidth="1"/>
    <col min="14354" max="14355" width="9.125" style="14" customWidth="1"/>
    <col min="14356" max="14596" width="9" style="14"/>
    <col min="14597" max="14597" width="1.375" style="14" customWidth="1"/>
    <col min="14598" max="14598" width="8.75" style="14" customWidth="1"/>
    <col min="14599" max="14599" width="9.875" style="14" customWidth="1"/>
    <col min="14600" max="14600" width="13.125" style="14" customWidth="1"/>
    <col min="14601" max="14601" width="6" style="14" customWidth="1"/>
    <col min="14602" max="14602" width="8" style="14" customWidth="1"/>
    <col min="14603" max="14603" width="10.625" style="14" customWidth="1"/>
    <col min="14604" max="14604" width="8.75" style="14" customWidth="1"/>
    <col min="14605" max="14605" width="6.375" style="14" customWidth="1"/>
    <col min="14606" max="14606" width="8.75" style="14" customWidth="1"/>
    <col min="14607" max="14607" width="13.125" style="14" customWidth="1"/>
    <col min="14608" max="14608" width="8" style="14" customWidth="1"/>
    <col min="14609" max="14609" width="9.875" style="14" customWidth="1"/>
    <col min="14610" max="14611" width="9.125" style="14" customWidth="1"/>
    <col min="14612" max="14852" width="9" style="14"/>
    <col min="14853" max="14853" width="1.375" style="14" customWidth="1"/>
    <col min="14854" max="14854" width="8.75" style="14" customWidth="1"/>
    <col min="14855" max="14855" width="9.875" style="14" customWidth="1"/>
    <col min="14856" max="14856" width="13.125" style="14" customWidth="1"/>
    <col min="14857" max="14857" width="6" style="14" customWidth="1"/>
    <col min="14858" max="14858" width="8" style="14" customWidth="1"/>
    <col min="14859" max="14859" width="10.625" style="14" customWidth="1"/>
    <col min="14860" max="14860" width="8.75" style="14" customWidth="1"/>
    <col min="14861" max="14861" width="6.375" style="14" customWidth="1"/>
    <col min="14862" max="14862" width="8.75" style="14" customWidth="1"/>
    <col min="14863" max="14863" width="13.125" style="14" customWidth="1"/>
    <col min="14864" max="14864" width="8" style="14" customWidth="1"/>
    <col min="14865" max="14865" width="9.875" style="14" customWidth="1"/>
    <col min="14866" max="14867" width="9.125" style="14" customWidth="1"/>
    <col min="14868" max="15108" width="9" style="14"/>
    <col min="15109" max="15109" width="1.375" style="14" customWidth="1"/>
    <col min="15110" max="15110" width="8.75" style="14" customWidth="1"/>
    <col min="15111" max="15111" width="9.875" style="14" customWidth="1"/>
    <col min="15112" max="15112" width="13.125" style="14" customWidth="1"/>
    <col min="15113" max="15113" width="6" style="14" customWidth="1"/>
    <col min="15114" max="15114" width="8" style="14" customWidth="1"/>
    <col min="15115" max="15115" width="10.625" style="14" customWidth="1"/>
    <col min="15116" max="15116" width="8.75" style="14" customWidth="1"/>
    <col min="15117" max="15117" width="6.375" style="14" customWidth="1"/>
    <col min="15118" max="15118" width="8.75" style="14" customWidth="1"/>
    <col min="15119" max="15119" width="13.125" style="14" customWidth="1"/>
    <col min="15120" max="15120" width="8" style="14" customWidth="1"/>
    <col min="15121" max="15121" width="9.875" style="14" customWidth="1"/>
    <col min="15122" max="15123" width="9.125" style="14" customWidth="1"/>
    <col min="15124" max="15364" width="9" style="14"/>
    <col min="15365" max="15365" width="1.375" style="14" customWidth="1"/>
    <col min="15366" max="15366" width="8.75" style="14" customWidth="1"/>
    <col min="15367" max="15367" width="9.875" style="14" customWidth="1"/>
    <col min="15368" max="15368" width="13.125" style="14" customWidth="1"/>
    <col min="15369" max="15369" width="6" style="14" customWidth="1"/>
    <col min="15370" max="15370" width="8" style="14" customWidth="1"/>
    <col min="15371" max="15371" width="10.625" style="14" customWidth="1"/>
    <col min="15372" max="15372" width="8.75" style="14" customWidth="1"/>
    <col min="15373" max="15373" width="6.375" style="14" customWidth="1"/>
    <col min="15374" max="15374" width="8.75" style="14" customWidth="1"/>
    <col min="15375" max="15375" width="13.125" style="14" customWidth="1"/>
    <col min="15376" max="15376" width="8" style="14" customWidth="1"/>
    <col min="15377" max="15377" width="9.875" style="14" customWidth="1"/>
    <col min="15378" max="15379" width="9.125" style="14" customWidth="1"/>
    <col min="15380" max="15620" width="9" style="14"/>
    <col min="15621" max="15621" width="1.375" style="14" customWidth="1"/>
    <col min="15622" max="15622" width="8.75" style="14" customWidth="1"/>
    <col min="15623" max="15623" width="9.875" style="14" customWidth="1"/>
    <col min="15624" max="15624" width="13.125" style="14" customWidth="1"/>
    <col min="15625" max="15625" width="6" style="14" customWidth="1"/>
    <col min="15626" max="15626" width="8" style="14" customWidth="1"/>
    <col min="15627" max="15627" width="10.625" style="14" customWidth="1"/>
    <col min="15628" max="15628" width="8.75" style="14" customWidth="1"/>
    <col min="15629" max="15629" width="6.375" style="14" customWidth="1"/>
    <col min="15630" max="15630" width="8.75" style="14" customWidth="1"/>
    <col min="15631" max="15631" width="13.125" style="14" customWidth="1"/>
    <col min="15632" max="15632" width="8" style="14" customWidth="1"/>
    <col min="15633" max="15633" width="9.875" style="14" customWidth="1"/>
    <col min="15634" max="15635" width="9.125" style="14" customWidth="1"/>
    <col min="15636" max="15876" width="9" style="14"/>
    <col min="15877" max="15877" width="1.375" style="14" customWidth="1"/>
    <col min="15878" max="15878" width="8.75" style="14" customWidth="1"/>
    <col min="15879" max="15879" width="9.875" style="14" customWidth="1"/>
    <col min="15880" max="15880" width="13.125" style="14" customWidth="1"/>
    <col min="15881" max="15881" width="6" style="14" customWidth="1"/>
    <col min="15882" max="15882" width="8" style="14" customWidth="1"/>
    <col min="15883" max="15883" width="10.625" style="14" customWidth="1"/>
    <col min="15884" max="15884" width="8.75" style="14" customWidth="1"/>
    <col min="15885" max="15885" width="6.375" style="14" customWidth="1"/>
    <col min="15886" max="15886" width="8.75" style="14" customWidth="1"/>
    <col min="15887" max="15887" width="13.125" style="14" customWidth="1"/>
    <col min="15888" max="15888" width="8" style="14" customWidth="1"/>
    <col min="15889" max="15889" width="9.875" style="14" customWidth="1"/>
    <col min="15890" max="15891" width="9.125" style="14" customWidth="1"/>
    <col min="15892" max="16132" width="9" style="14"/>
    <col min="16133" max="16133" width="1.375" style="14" customWidth="1"/>
    <col min="16134" max="16134" width="8.75" style="14" customWidth="1"/>
    <col min="16135" max="16135" width="9.875" style="14" customWidth="1"/>
    <col min="16136" max="16136" width="13.125" style="14" customWidth="1"/>
    <col min="16137" max="16137" width="6" style="14" customWidth="1"/>
    <col min="16138" max="16138" width="8" style="14" customWidth="1"/>
    <col min="16139" max="16139" width="10.625" style="14" customWidth="1"/>
    <col min="16140" max="16140" width="8.75" style="14" customWidth="1"/>
    <col min="16141" max="16141" width="6.375" style="14" customWidth="1"/>
    <col min="16142" max="16142" width="8.75" style="14" customWidth="1"/>
    <col min="16143" max="16143" width="13.125" style="14" customWidth="1"/>
    <col min="16144" max="16144" width="8" style="14" customWidth="1"/>
    <col min="16145" max="16145" width="9.875" style="14" customWidth="1"/>
    <col min="16146" max="16147" width="9.125" style="14" customWidth="1"/>
    <col min="16148" max="16384" width="9" style="14"/>
  </cols>
  <sheetData>
    <row r="1" spans="1:18" ht="13.5" x14ac:dyDescent="0.3">
      <c r="A1" s="25" t="s">
        <v>41</v>
      </c>
      <c r="B1" s="25"/>
      <c r="D1" s="11" t="s">
        <v>14</v>
      </c>
      <c r="E1" s="10"/>
      <c r="F1" s="10"/>
      <c r="G1" s="12"/>
      <c r="H1" s="12"/>
      <c r="I1" s="12"/>
      <c r="J1" s="10"/>
      <c r="K1" s="13"/>
      <c r="L1" s="13"/>
      <c r="M1" s="13"/>
      <c r="N1" s="13"/>
      <c r="O1" s="13"/>
      <c r="P1" s="10"/>
      <c r="Q1" s="14"/>
      <c r="R1" s="14"/>
    </row>
    <row r="2" spans="1:18" ht="13.5" x14ac:dyDescent="0.3">
      <c r="A2" s="25" t="s">
        <v>241</v>
      </c>
      <c r="B2" s="25"/>
      <c r="D2" s="15" t="s">
        <v>15</v>
      </c>
      <c r="E2" s="10"/>
      <c r="F2" s="10"/>
      <c r="G2" s="12"/>
      <c r="H2" s="12"/>
      <c r="I2" s="12"/>
      <c r="J2" s="10"/>
      <c r="K2" s="13"/>
      <c r="L2" s="13"/>
      <c r="M2" s="13"/>
      <c r="N2" s="13"/>
      <c r="O2" s="13"/>
      <c r="P2" s="10"/>
      <c r="Q2" s="14"/>
      <c r="R2" s="14"/>
    </row>
    <row r="3" spans="1:18" ht="13.5" x14ac:dyDescent="0.3">
      <c r="A3" s="25" t="s">
        <v>242</v>
      </c>
      <c r="B3" s="25"/>
      <c r="D3" s="27" t="s">
        <v>248</v>
      </c>
      <c r="E3" s="27"/>
      <c r="F3" s="27"/>
      <c r="G3" s="27"/>
      <c r="H3" s="27"/>
      <c r="I3" s="27"/>
      <c r="J3" s="27"/>
      <c r="K3" s="27"/>
      <c r="L3" s="27"/>
      <c r="M3" s="27"/>
      <c r="N3" s="27"/>
      <c r="O3" s="27"/>
      <c r="P3" s="27"/>
      <c r="Q3" s="14"/>
      <c r="R3" s="14"/>
    </row>
    <row r="4" spans="1:18" ht="13.5" x14ac:dyDescent="0.3">
      <c r="A4" s="16"/>
      <c r="B4" s="17"/>
      <c r="C4" s="18"/>
      <c r="D4" s="19"/>
      <c r="E4" s="19"/>
      <c r="F4" s="16"/>
      <c r="G4" s="20"/>
      <c r="H4" s="20"/>
      <c r="I4" s="20"/>
      <c r="J4" s="21"/>
      <c r="K4" s="22"/>
      <c r="L4" s="22"/>
      <c r="M4" s="22"/>
      <c r="N4" s="22"/>
      <c r="O4" s="22"/>
      <c r="P4" s="10"/>
      <c r="Q4" s="14"/>
      <c r="R4" s="14"/>
    </row>
    <row r="5" spans="1:18" ht="20.100000000000001" customHeight="1" x14ac:dyDescent="0.3">
      <c r="A5" s="16"/>
      <c r="B5" s="64" t="s">
        <v>266</v>
      </c>
      <c r="C5" s="65" t="s">
        <v>16</v>
      </c>
      <c r="D5" s="65" t="s">
        <v>17</v>
      </c>
      <c r="E5" s="65" t="s">
        <v>10</v>
      </c>
      <c r="F5" s="66" t="s">
        <v>268</v>
      </c>
      <c r="G5" s="67" t="s">
        <v>384</v>
      </c>
      <c r="H5" s="67" t="s">
        <v>260</v>
      </c>
      <c r="I5" s="67" t="s">
        <v>280</v>
      </c>
      <c r="J5" s="66" t="s">
        <v>259</v>
      </c>
      <c r="K5" s="68" t="s">
        <v>18</v>
      </c>
      <c r="L5" s="68" t="s">
        <v>282</v>
      </c>
      <c r="M5" s="68" t="s">
        <v>284</v>
      </c>
      <c r="N5" s="68" t="s">
        <v>283</v>
      </c>
      <c r="O5" s="68" t="s">
        <v>285</v>
      </c>
      <c r="P5" s="66" t="s">
        <v>13</v>
      </c>
      <c r="Q5" s="14"/>
      <c r="R5" s="14"/>
    </row>
    <row r="6" spans="1:18" x14ac:dyDescent="0.3">
      <c r="B6" s="43" t="s">
        <v>276</v>
      </c>
      <c r="C6" s="43">
        <v>11</v>
      </c>
      <c r="D6" s="42" t="str">
        <f>IFERROR(INDEX(tbl거래처[거래처명],MATCH(견적서발급!C6,tbl거래처[거래처코드],0)),"")</f>
        <v>동서석유화학㈜</v>
      </c>
      <c r="E6" s="27" t="s">
        <v>19</v>
      </c>
      <c r="F6" s="27" t="s">
        <v>20</v>
      </c>
      <c r="G6" s="100" t="s">
        <v>278</v>
      </c>
      <c r="H6" s="49">
        <v>41960</v>
      </c>
      <c r="I6" s="49">
        <v>41963</v>
      </c>
      <c r="J6" s="43" t="s">
        <v>21</v>
      </c>
      <c r="K6" s="28">
        <v>1416000</v>
      </c>
      <c r="L6" s="28" t="s">
        <v>286</v>
      </c>
      <c r="M6" s="28" t="s">
        <v>287</v>
      </c>
      <c r="N6" s="28" t="s">
        <v>289</v>
      </c>
      <c r="O6" t="s">
        <v>291</v>
      </c>
      <c r="P6" s="27"/>
      <c r="Q6" s="14"/>
      <c r="R6" s="14"/>
    </row>
    <row r="7" spans="1:18" x14ac:dyDescent="0.3">
      <c r="B7" s="43" t="s">
        <v>277</v>
      </c>
      <c r="C7" s="43">
        <v>17</v>
      </c>
      <c r="D7" s="42" t="str">
        <f>IFERROR(INDEX(tbl거래처[거래처명],MATCH(견적서발급!C7,tbl거래처[거래처코드],0)),"")</f>
        <v>현대약품공업㈜</v>
      </c>
      <c r="E7" s="27" t="s">
        <v>23</v>
      </c>
      <c r="F7" s="27" t="s">
        <v>24</v>
      </c>
      <c r="G7" s="100" t="s">
        <v>279</v>
      </c>
      <c r="H7" s="49">
        <v>41961</v>
      </c>
      <c r="I7" s="49">
        <v>41968</v>
      </c>
      <c r="J7" s="43" t="s">
        <v>25</v>
      </c>
      <c r="K7" s="28">
        <v>1720000</v>
      </c>
      <c r="L7" s="28" t="s">
        <v>281</v>
      </c>
      <c r="M7" s="28" t="s">
        <v>288</v>
      </c>
      <c r="N7" s="28" t="s">
        <v>290</v>
      </c>
      <c r="O7" t="s">
        <v>292</v>
      </c>
      <c r="P7" s="27" t="s">
        <v>389</v>
      </c>
      <c r="Q7" s="14"/>
      <c r="R7" s="14"/>
    </row>
    <row r="8" spans="1:18" x14ac:dyDescent="0.3">
      <c r="B8" s="43" t="s">
        <v>480</v>
      </c>
      <c r="C8" s="43">
        <v>15</v>
      </c>
      <c r="D8" s="42" t="s">
        <v>481</v>
      </c>
      <c r="E8" s="27" t="s">
        <v>482</v>
      </c>
      <c r="F8" s="27" t="s">
        <v>483</v>
      </c>
      <c r="G8" s="100" t="s">
        <v>484</v>
      </c>
      <c r="H8" s="49">
        <v>41961</v>
      </c>
      <c r="I8" s="49">
        <v>41969</v>
      </c>
      <c r="J8" s="43" t="s">
        <v>485</v>
      </c>
      <c r="K8" s="28">
        <v>2765400</v>
      </c>
      <c r="L8" s="28" t="s">
        <v>476</v>
      </c>
      <c r="M8" s="28" t="s">
        <v>478</v>
      </c>
      <c r="N8" s="28" t="s">
        <v>477</v>
      </c>
      <c r="O8" t="s">
        <v>479</v>
      </c>
      <c r="P8" s="27"/>
      <c r="Q8" s="14"/>
      <c r="R8" s="14"/>
    </row>
    <row r="9" spans="1:18" x14ac:dyDescent="0.3">
      <c r="B9" s="43" t="s">
        <v>392</v>
      </c>
      <c r="C9" s="43">
        <v>17</v>
      </c>
      <c r="D9" s="42" t="s">
        <v>22</v>
      </c>
      <c r="E9" s="27" t="s">
        <v>23</v>
      </c>
      <c r="F9" s="27" t="s">
        <v>455</v>
      </c>
      <c r="G9" s="100" t="s">
        <v>362</v>
      </c>
      <c r="H9" s="49">
        <v>41771</v>
      </c>
      <c r="I9" s="49">
        <v>41722</v>
      </c>
      <c r="J9" s="43" t="s">
        <v>456</v>
      </c>
      <c r="K9" s="28">
        <v>1233100</v>
      </c>
      <c r="L9" s="28" t="s">
        <v>457</v>
      </c>
      <c r="M9" s="28" t="s">
        <v>458</v>
      </c>
      <c r="N9" s="28" t="s">
        <v>459</v>
      </c>
      <c r="O9" s="28" t="s">
        <v>460</v>
      </c>
      <c r="P9" s="28"/>
    </row>
    <row r="10" spans="1:18" x14ac:dyDescent="0.3">
      <c r="B10" s="43" t="s">
        <v>466</v>
      </c>
      <c r="C10" s="43">
        <v>24</v>
      </c>
      <c r="D10" s="42" t="s">
        <v>467</v>
      </c>
      <c r="E10" s="27" t="s">
        <v>468</v>
      </c>
      <c r="F10" s="27" t="s">
        <v>469</v>
      </c>
      <c r="G10" s="100" t="s">
        <v>470</v>
      </c>
      <c r="H10" s="49">
        <v>41772</v>
      </c>
      <c r="I10" s="49">
        <v>41787</v>
      </c>
      <c r="J10" s="43" t="s">
        <v>471</v>
      </c>
      <c r="K10" s="28">
        <v>2789622</v>
      </c>
      <c r="L10" s="28" t="s">
        <v>472</v>
      </c>
      <c r="M10" s="28" t="s">
        <v>473</v>
      </c>
      <c r="N10" s="28" t="s">
        <v>474</v>
      </c>
      <c r="O10" s="28" t="s">
        <v>475</v>
      </c>
      <c r="P10" s="28"/>
    </row>
  </sheetData>
  <phoneticPr fontId="1" type="noConversion"/>
  <pageMargins left="0.75" right="0.75" top="1" bottom="1" header="0.5" footer="0.5"/>
  <pageSetup paperSize="9"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A1:H30"/>
  <sheetViews>
    <sheetView showGridLines="0" workbookViewId="0">
      <pane ySplit="5" topLeftCell="A6" activePane="bottomLeft" state="frozen"/>
      <selection activeCell="B15" sqref="B15:D15"/>
      <selection pane="bottomLeft" activeCell="K33" sqref="K33"/>
    </sheetView>
  </sheetViews>
  <sheetFormatPr defaultRowHeight="13.5" x14ac:dyDescent="0.3"/>
  <cols>
    <col min="1" max="1" width="1.375" style="14" customWidth="1"/>
    <col min="2" max="2" width="11.125" style="14" customWidth="1"/>
    <col min="3" max="3" width="11.25" style="14" customWidth="1"/>
    <col min="4" max="4" width="9.375" style="14" customWidth="1"/>
    <col min="5" max="5" width="31" style="14" customWidth="1"/>
    <col min="6" max="6" width="7.875" style="14" customWidth="1"/>
    <col min="7" max="7" width="7.875" style="24" customWidth="1"/>
    <col min="8" max="255" width="9" style="14"/>
    <col min="256" max="256" width="1.375" style="14" customWidth="1"/>
    <col min="257" max="257" width="13.125" style="14" customWidth="1"/>
    <col min="258" max="258" width="8.75" style="14" customWidth="1"/>
    <col min="259" max="259" width="13.125" style="14" customWidth="1"/>
    <col min="260" max="260" width="31" style="14" customWidth="1"/>
    <col min="261" max="261" width="7.125" style="14" bestFit="1" customWidth="1"/>
    <col min="262" max="262" width="7.25" style="14" bestFit="1" customWidth="1"/>
    <col min="263" max="511" width="9" style="14"/>
    <col min="512" max="512" width="1.375" style="14" customWidth="1"/>
    <col min="513" max="513" width="13.125" style="14" customWidth="1"/>
    <col min="514" max="514" width="8.75" style="14" customWidth="1"/>
    <col min="515" max="515" width="13.125" style="14" customWidth="1"/>
    <col min="516" max="516" width="31" style="14" customWidth="1"/>
    <col min="517" max="517" width="7.125" style="14" bestFit="1" customWidth="1"/>
    <col min="518" max="518" width="7.25" style="14" bestFit="1" customWidth="1"/>
    <col min="519" max="767" width="9" style="14"/>
    <col min="768" max="768" width="1.375" style="14" customWidth="1"/>
    <col min="769" max="769" width="13.125" style="14" customWidth="1"/>
    <col min="770" max="770" width="8.75" style="14" customWidth="1"/>
    <col min="771" max="771" width="13.125" style="14" customWidth="1"/>
    <col min="772" max="772" width="31" style="14" customWidth="1"/>
    <col min="773" max="773" width="7.125" style="14" bestFit="1" customWidth="1"/>
    <col min="774" max="774" width="7.25" style="14" bestFit="1" customWidth="1"/>
    <col min="775" max="1023" width="9" style="14"/>
    <col min="1024" max="1024" width="1.375" style="14" customWidth="1"/>
    <col min="1025" max="1025" width="13.125" style="14" customWidth="1"/>
    <col min="1026" max="1026" width="8.75" style="14" customWidth="1"/>
    <col min="1027" max="1027" width="13.125" style="14" customWidth="1"/>
    <col min="1028" max="1028" width="31" style="14" customWidth="1"/>
    <col min="1029" max="1029" width="7.125" style="14" bestFit="1" customWidth="1"/>
    <col min="1030" max="1030" width="7.25" style="14" bestFit="1" customWidth="1"/>
    <col min="1031" max="1279" width="9" style="14"/>
    <col min="1280" max="1280" width="1.375" style="14" customWidth="1"/>
    <col min="1281" max="1281" width="13.125" style="14" customWidth="1"/>
    <col min="1282" max="1282" width="8.75" style="14" customWidth="1"/>
    <col min="1283" max="1283" width="13.125" style="14" customWidth="1"/>
    <col min="1284" max="1284" width="31" style="14" customWidth="1"/>
    <col min="1285" max="1285" width="7.125" style="14" bestFit="1" customWidth="1"/>
    <col min="1286" max="1286" width="7.25" style="14" bestFit="1" customWidth="1"/>
    <col min="1287" max="1535" width="9" style="14"/>
    <col min="1536" max="1536" width="1.375" style="14" customWidth="1"/>
    <col min="1537" max="1537" width="13.125" style="14" customWidth="1"/>
    <col min="1538" max="1538" width="8.75" style="14" customWidth="1"/>
    <col min="1539" max="1539" width="13.125" style="14" customWidth="1"/>
    <col min="1540" max="1540" width="31" style="14" customWidth="1"/>
    <col min="1541" max="1541" width="7.125" style="14" bestFit="1" customWidth="1"/>
    <col min="1542" max="1542" width="7.25" style="14" bestFit="1" customWidth="1"/>
    <col min="1543" max="1791" width="9" style="14"/>
    <col min="1792" max="1792" width="1.375" style="14" customWidth="1"/>
    <col min="1793" max="1793" width="13.125" style="14" customWidth="1"/>
    <col min="1794" max="1794" width="8.75" style="14" customWidth="1"/>
    <col min="1795" max="1795" width="13.125" style="14" customWidth="1"/>
    <col min="1796" max="1796" width="31" style="14" customWidth="1"/>
    <col min="1797" max="1797" width="7.125" style="14" bestFit="1" customWidth="1"/>
    <col min="1798" max="1798" width="7.25" style="14" bestFit="1" customWidth="1"/>
    <col min="1799" max="2047" width="9" style="14"/>
    <col min="2048" max="2048" width="1.375" style="14" customWidth="1"/>
    <col min="2049" max="2049" width="13.125" style="14" customWidth="1"/>
    <col min="2050" max="2050" width="8.75" style="14" customWidth="1"/>
    <col min="2051" max="2051" width="13.125" style="14" customWidth="1"/>
    <col min="2052" max="2052" width="31" style="14" customWidth="1"/>
    <col min="2053" max="2053" width="7.125" style="14" bestFit="1" customWidth="1"/>
    <col min="2054" max="2054" width="7.25" style="14" bestFit="1" customWidth="1"/>
    <col min="2055" max="2303" width="9" style="14"/>
    <col min="2304" max="2304" width="1.375" style="14" customWidth="1"/>
    <col min="2305" max="2305" width="13.125" style="14" customWidth="1"/>
    <col min="2306" max="2306" width="8.75" style="14" customWidth="1"/>
    <col min="2307" max="2307" width="13.125" style="14" customWidth="1"/>
    <col min="2308" max="2308" width="31" style="14" customWidth="1"/>
    <col min="2309" max="2309" width="7.125" style="14" bestFit="1" customWidth="1"/>
    <col min="2310" max="2310" width="7.25" style="14" bestFit="1" customWidth="1"/>
    <col min="2311" max="2559" width="9" style="14"/>
    <col min="2560" max="2560" width="1.375" style="14" customWidth="1"/>
    <col min="2561" max="2561" width="13.125" style="14" customWidth="1"/>
    <col min="2562" max="2562" width="8.75" style="14" customWidth="1"/>
    <col min="2563" max="2563" width="13.125" style="14" customWidth="1"/>
    <col min="2564" max="2564" width="31" style="14" customWidth="1"/>
    <col min="2565" max="2565" width="7.125" style="14" bestFit="1" customWidth="1"/>
    <col min="2566" max="2566" width="7.25" style="14" bestFit="1" customWidth="1"/>
    <col min="2567" max="2815" width="9" style="14"/>
    <col min="2816" max="2816" width="1.375" style="14" customWidth="1"/>
    <col min="2817" max="2817" width="13.125" style="14" customWidth="1"/>
    <col min="2818" max="2818" width="8.75" style="14" customWidth="1"/>
    <col min="2819" max="2819" width="13.125" style="14" customWidth="1"/>
    <col min="2820" max="2820" width="31" style="14" customWidth="1"/>
    <col min="2821" max="2821" width="7.125" style="14" bestFit="1" customWidth="1"/>
    <col min="2822" max="2822" width="7.25" style="14" bestFit="1" customWidth="1"/>
    <col min="2823" max="3071" width="9" style="14"/>
    <col min="3072" max="3072" width="1.375" style="14" customWidth="1"/>
    <col min="3073" max="3073" width="13.125" style="14" customWidth="1"/>
    <col min="3074" max="3074" width="8.75" style="14" customWidth="1"/>
    <col min="3075" max="3075" width="13.125" style="14" customWidth="1"/>
    <col min="3076" max="3076" width="31" style="14" customWidth="1"/>
    <col min="3077" max="3077" width="7.125" style="14" bestFit="1" customWidth="1"/>
    <col min="3078" max="3078" width="7.25" style="14" bestFit="1" customWidth="1"/>
    <col min="3079" max="3327" width="9" style="14"/>
    <col min="3328" max="3328" width="1.375" style="14" customWidth="1"/>
    <col min="3329" max="3329" width="13.125" style="14" customWidth="1"/>
    <col min="3330" max="3330" width="8.75" style="14" customWidth="1"/>
    <col min="3331" max="3331" width="13.125" style="14" customWidth="1"/>
    <col min="3332" max="3332" width="31" style="14" customWidth="1"/>
    <col min="3333" max="3333" width="7.125" style="14" bestFit="1" customWidth="1"/>
    <col min="3334" max="3334" width="7.25" style="14" bestFit="1" customWidth="1"/>
    <col min="3335" max="3583" width="9" style="14"/>
    <col min="3584" max="3584" width="1.375" style="14" customWidth="1"/>
    <col min="3585" max="3585" width="13.125" style="14" customWidth="1"/>
    <col min="3586" max="3586" width="8.75" style="14" customWidth="1"/>
    <col min="3587" max="3587" width="13.125" style="14" customWidth="1"/>
    <col min="3588" max="3588" width="31" style="14" customWidth="1"/>
    <col min="3589" max="3589" width="7.125" style="14" bestFit="1" customWidth="1"/>
    <col min="3590" max="3590" width="7.25" style="14" bestFit="1" customWidth="1"/>
    <col min="3591" max="3839" width="9" style="14"/>
    <col min="3840" max="3840" width="1.375" style="14" customWidth="1"/>
    <col min="3841" max="3841" width="13.125" style="14" customWidth="1"/>
    <col min="3842" max="3842" width="8.75" style="14" customWidth="1"/>
    <col min="3843" max="3843" width="13.125" style="14" customWidth="1"/>
    <col min="3844" max="3844" width="31" style="14" customWidth="1"/>
    <col min="3845" max="3845" width="7.125" style="14" bestFit="1" customWidth="1"/>
    <col min="3846" max="3846" width="7.25" style="14" bestFit="1" customWidth="1"/>
    <col min="3847" max="4095" width="9" style="14"/>
    <col min="4096" max="4096" width="1.375" style="14" customWidth="1"/>
    <col min="4097" max="4097" width="13.125" style="14" customWidth="1"/>
    <col min="4098" max="4098" width="8.75" style="14" customWidth="1"/>
    <col min="4099" max="4099" width="13.125" style="14" customWidth="1"/>
    <col min="4100" max="4100" width="31" style="14" customWidth="1"/>
    <col min="4101" max="4101" width="7.125" style="14" bestFit="1" customWidth="1"/>
    <col min="4102" max="4102" width="7.25" style="14" bestFit="1" customWidth="1"/>
    <col min="4103" max="4351" width="9" style="14"/>
    <col min="4352" max="4352" width="1.375" style="14" customWidth="1"/>
    <col min="4353" max="4353" width="13.125" style="14" customWidth="1"/>
    <col min="4354" max="4354" width="8.75" style="14" customWidth="1"/>
    <col min="4355" max="4355" width="13.125" style="14" customWidth="1"/>
    <col min="4356" max="4356" width="31" style="14" customWidth="1"/>
    <col min="4357" max="4357" width="7.125" style="14" bestFit="1" customWidth="1"/>
    <col min="4358" max="4358" width="7.25" style="14" bestFit="1" customWidth="1"/>
    <col min="4359" max="4607" width="9" style="14"/>
    <col min="4608" max="4608" width="1.375" style="14" customWidth="1"/>
    <col min="4609" max="4609" width="13.125" style="14" customWidth="1"/>
    <col min="4610" max="4610" width="8.75" style="14" customWidth="1"/>
    <col min="4611" max="4611" width="13.125" style="14" customWidth="1"/>
    <col min="4612" max="4612" width="31" style="14" customWidth="1"/>
    <col min="4613" max="4613" width="7.125" style="14" bestFit="1" customWidth="1"/>
    <col min="4614" max="4614" width="7.25" style="14" bestFit="1" customWidth="1"/>
    <col min="4615" max="4863" width="9" style="14"/>
    <col min="4864" max="4864" width="1.375" style="14" customWidth="1"/>
    <col min="4865" max="4865" width="13.125" style="14" customWidth="1"/>
    <col min="4866" max="4866" width="8.75" style="14" customWidth="1"/>
    <col min="4867" max="4867" width="13.125" style="14" customWidth="1"/>
    <col min="4868" max="4868" width="31" style="14" customWidth="1"/>
    <col min="4869" max="4869" width="7.125" style="14" bestFit="1" customWidth="1"/>
    <col min="4870" max="4870" width="7.25" style="14" bestFit="1" customWidth="1"/>
    <col min="4871" max="5119" width="9" style="14"/>
    <col min="5120" max="5120" width="1.375" style="14" customWidth="1"/>
    <col min="5121" max="5121" width="13.125" style="14" customWidth="1"/>
    <col min="5122" max="5122" width="8.75" style="14" customWidth="1"/>
    <col min="5123" max="5123" width="13.125" style="14" customWidth="1"/>
    <col min="5124" max="5124" width="31" style="14" customWidth="1"/>
    <col min="5125" max="5125" width="7.125" style="14" bestFit="1" customWidth="1"/>
    <col min="5126" max="5126" width="7.25" style="14" bestFit="1" customWidth="1"/>
    <col min="5127" max="5375" width="9" style="14"/>
    <col min="5376" max="5376" width="1.375" style="14" customWidth="1"/>
    <col min="5377" max="5377" width="13.125" style="14" customWidth="1"/>
    <col min="5378" max="5378" width="8.75" style="14" customWidth="1"/>
    <col min="5379" max="5379" width="13.125" style="14" customWidth="1"/>
    <col min="5380" max="5380" width="31" style="14" customWidth="1"/>
    <col min="5381" max="5381" width="7.125" style="14" bestFit="1" customWidth="1"/>
    <col min="5382" max="5382" width="7.25" style="14" bestFit="1" customWidth="1"/>
    <col min="5383" max="5631" width="9" style="14"/>
    <col min="5632" max="5632" width="1.375" style="14" customWidth="1"/>
    <col min="5633" max="5633" width="13.125" style="14" customWidth="1"/>
    <col min="5634" max="5634" width="8.75" style="14" customWidth="1"/>
    <col min="5635" max="5635" width="13.125" style="14" customWidth="1"/>
    <col min="5636" max="5636" width="31" style="14" customWidth="1"/>
    <col min="5637" max="5637" width="7.125" style="14" bestFit="1" customWidth="1"/>
    <col min="5638" max="5638" width="7.25" style="14" bestFit="1" customWidth="1"/>
    <col min="5639" max="5887" width="9" style="14"/>
    <col min="5888" max="5888" width="1.375" style="14" customWidth="1"/>
    <col min="5889" max="5889" width="13.125" style="14" customWidth="1"/>
    <col min="5890" max="5890" width="8.75" style="14" customWidth="1"/>
    <col min="5891" max="5891" width="13.125" style="14" customWidth="1"/>
    <col min="5892" max="5892" width="31" style="14" customWidth="1"/>
    <col min="5893" max="5893" width="7.125" style="14" bestFit="1" customWidth="1"/>
    <col min="5894" max="5894" width="7.25" style="14" bestFit="1" customWidth="1"/>
    <col min="5895" max="6143" width="9" style="14"/>
    <col min="6144" max="6144" width="1.375" style="14" customWidth="1"/>
    <col min="6145" max="6145" width="13.125" style="14" customWidth="1"/>
    <col min="6146" max="6146" width="8.75" style="14" customWidth="1"/>
    <col min="6147" max="6147" width="13.125" style="14" customWidth="1"/>
    <col min="6148" max="6148" width="31" style="14" customWidth="1"/>
    <col min="6149" max="6149" width="7.125" style="14" bestFit="1" customWidth="1"/>
    <col min="6150" max="6150" width="7.25" style="14" bestFit="1" customWidth="1"/>
    <col min="6151" max="6399" width="9" style="14"/>
    <col min="6400" max="6400" width="1.375" style="14" customWidth="1"/>
    <col min="6401" max="6401" width="13.125" style="14" customWidth="1"/>
    <col min="6402" max="6402" width="8.75" style="14" customWidth="1"/>
    <col min="6403" max="6403" width="13.125" style="14" customWidth="1"/>
    <col min="6404" max="6404" width="31" style="14" customWidth="1"/>
    <col min="6405" max="6405" width="7.125" style="14" bestFit="1" customWidth="1"/>
    <col min="6406" max="6406" width="7.25" style="14" bestFit="1" customWidth="1"/>
    <col min="6407" max="6655" width="9" style="14"/>
    <col min="6656" max="6656" width="1.375" style="14" customWidth="1"/>
    <col min="6657" max="6657" width="13.125" style="14" customWidth="1"/>
    <col min="6658" max="6658" width="8.75" style="14" customWidth="1"/>
    <col min="6659" max="6659" width="13.125" style="14" customWidth="1"/>
    <col min="6660" max="6660" width="31" style="14" customWidth="1"/>
    <col min="6661" max="6661" width="7.125" style="14" bestFit="1" customWidth="1"/>
    <col min="6662" max="6662" width="7.25" style="14" bestFit="1" customWidth="1"/>
    <col min="6663" max="6911" width="9" style="14"/>
    <col min="6912" max="6912" width="1.375" style="14" customWidth="1"/>
    <col min="6913" max="6913" width="13.125" style="14" customWidth="1"/>
    <col min="6914" max="6914" width="8.75" style="14" customWidth="1"/>
    <col min="6915" max="6915" width="13.125" style="14" customWidth="1"/>
    <col min="6916" max="6916" width="31" style="14" customWidth="1"/>
    <col min="6917" max="6917" width="7.125" style="14" bestFit="1" customWidth="1"/>
    <col min="6918" max="6918" width="7.25" style="14" bestFit="1" customWidth="1"/>
    <col min="6919" max="7167" width="9" style="14"/>
    <col min="7168" max="7168" width="1.375" style="14" customWidth="1"/>
    <col min="7169" max="7169" width="13.125" style="14" customWidth="1"/>
    <col min="7170" max="7170" width="8.75" style="14" customWidth="1"/>
    <col min="7171" max="7171" width="13.125" style="14" customWidth="1"/>
    <col min="7172" max="7172" width="31" style="14" customWidth="1"/>
    <col min="7173" max="7173" width="7.125" style="14" bestFit="1" customWidth="1"/>
    <col min="7174" max="7174" width="7.25" style="14" bestFit="1" customWidth="1"/>
    <col min="7175" max="7423" width="9" style="14"/>
    <col min="7424" max="7424" width="1.375" style="14" customWidth="1"/>
    <col min="7425" max="7425" width="13.125" style="14" customWidth="1"/>
    <col min="7426" max="7426" width="8.75" style="14" customWidth="1"/>
    <col min="7427" max="7427" width="13.125" style="14" customWidth="1"/>
    <col min="7428" max="7428" width="31" style="14" customWidth="1"/>
    <col min="7429" max="7429" width="7.125" style="14" bestFit="1" customWidth="1"/>
    <col min="7430" max="7430" width="7.25" style="14" bestFit="1" customWidth="1"/>
    <col min="7431" max="7679" width="9" style="14"/>
    <col min="7680" max="7680" width="1.375" style="14" customWidth="1"/>
    <col min="7681" max="7681" width="13.125" style="14" customWidth="1"/>
    <col min="7682" max="7682" width="8.75" style="14" customWidth="1"/>
    <col min="7683" max="7683" width="13.125" style="14" customWidth="1"/>
    <col min="7684" max="7684" width="31" style="14" customWidth="1"/>
    <col min="7685" max="7685" width="7.125" style="14" bestFit="1" customWidth="1"/>
    <col min="7686" max="7686" width="7.25" style="14" bestFit="1" customWidth="1"/>
    <col min="7687" max="7935" width="9" style="14"/>
    <col min="7936" max="7936" width="1.375" style="14" customWidth="1"/>
    <col min="7937" max="7937" width="13.125" style="14" customWidth="1"/>
    <col min="7938" max="7938" width="8.75" style="14" customWidth="1"/>
    <col min="7939" max="7939" width="13.125" style="14" customWidth="1"/>
    <col min="7940" max="7940" width="31" style="14" customWidth="1"/>
    <col min="7941" max="7941" width="7.125" style="14" bestFit="1" customWidth="1"/>
    <col min="7942" max="7942" width="7.25" style="14" bestFit="1" customWidth="1"/>
    <col min="7943" max="8191" width="9" style="14"/>
    <col min="8192" max="8192" width="1.375" style="14" customWidth="1"/>
    <col min="8193" max="8193" width="13.125" style="14" customWidth="1"/>
    <col min="8194" max="8194" width="8.75" style="14" customWidth="1"/>
    <col min="8195" max="8195" width="13.125" style="14" customWidth="1"/>
    <col min="8196" max="8196" width="31" style="14" customWidth="1"/>
    <col min="8197" max="8197" width="7.125" style="14" bestFit="1" customWidth="1"/>
    <col min="8198" max="8198" width="7.25" style="14" bestFit="1" customWidth="1"/>
    <col min="8199" max="8447" width="9" style="14"/>
    <col min="8448" max="8448" width="1.375" style="14" customWidth="1"/>
    <col min="8449" max="8449" width="13.125" style="14" customWidth="1"/>
    <col min="8450" max="8450" width="8.75" style="14" customWidth="1"/>
    <col min="8451" max="8451" width="13.125" style="14" customWidth="1"/>
    <col min="8452" max="8452" width="31" style="14" customWidth="1"/>
    <col min="8453" max="8453" width="7.125" style="14" bestFit="1" customWidth="1"/>
    <col min="8454" max="8454" width="7.25" style="14" bestFit="1" customWidth="1"/>
    <col min="8455" max="8703" width="9" style="14"/>
    <col min="8704" max="8704" width="1.375" style="14" customWidth="1"/>
    <col min="8705" max="8705" width="13.125" style="14" customWidth="1"/>
    <col min="8706" max="8706" width="8.75" style="14" customWidth="1"/>
    <col min="8707" max="8707" width="13.125" style="14" customWidth="1"/>
    <col min="8708" max="8708" width="31" style="14" customWidth="1"/>
    <col min="8709" max="8709" width="7.125" style="14" bestFit="1" customWidth="1"/>
    <col min="8710" max="8710" width="7.25" style="14" bestFit="1" customWidth="1"/>
    <col min="8711" max="8959" width="9" style="14"/>
    <col min="8960" max="8960" width="1.375" style="14" customWidth="1"/>
    <col min="8961" max="8961" width="13.125" style="14" customWidth="1"/>
    <col min="8962" max="8962" width="8.75" style="14" customWidth="1"/>
    <col min="8963" max="8963" width="13.125" style="14" customWidth="1"/>
    <col min="8964" max="8964" width="31" style="14" customWidth="1"/>
    <col min="8965" max="8965" width="7.125" style="14" bestFit="1" customWidth="1"/>
    <col min="8966" max="8966" width="7.25" style="14" bestFit="1" customWidth="1"/>
    <col min="8967" max="9215" width="9" style="14"/>
    <col min="9216" max="9216" width="1.375" style="14" customWidth="1"/>
    <col min="9217" max="9217" width="13.125" style="14" customWidth="1"/>
    <col min="9218" max="9218" width="8.75" style="14" customWidth="1"/>
    <col min="9219" max="9219" width="13.125" style="14" customWidth="1"/>
    <col min="9220" max="9220" width="31" style="14" customWidth="1"/>
    <col min="9221" max="9221" width="7.125" style="14" bestFit="1" customWidth="1"/>
    <col min="9222" max="9222" width="7.25" style="14" bestFit="1" customWidth="1"/>
    <col min="9223" max="9471" width="9" style="14"/>
    <col min="9472" max="9472" width="1.375" style="14" customWidth="1"/>
    <col min="9473" max="9473" width="13.125" style="14" customWidth="1"/>
    <col min="9474" max="9474" width="8.75" style="14" customWidth="1"/>
    <col min="9475" max="9475" width="13.125" style="14" customWidth="1"/>
    <col min="9476" max="9476" width="31" style="14" customWidth="1"/>
    <col min="9477" max="9477" width="7.125" style="14" bestFit="1" customWidth="1"/>
    <col min="9478" max="9478" width="7.25" style="14" bestFit="1" customWidth="1"/>
    <col min="9479" max="9727" width="9" style="14"/>
    <col min="9728" max="9728" width="1.375" style="14" customWidth="1"/>
    <col min="9729" max="9729" width="13.125" style="14" customWidth="1"/>
    <col min="9730" max="9730" width="8.75" style="14" customWidth="1"/>
    <col min="9731" max="9731" width="13.125" style="14" customWidth="1"/>
    <col min="9732" max="9732" width="31" style="14" customWidth="1"/>
    <col min="9733" max="9733" width="7.125" style="14" bestFit="1" customWidth="1"/>
    <col min="9734" max="9734" width="7.25" style="14" bestFit="1" customWidth="1"/>
    <col min="9735" max="9983" width="9" style="14"/>
    <col min="9984" max="9984" width="1.375" style="14" customWidth="1"/>
    <col min="9985" max="9985" width="13.125" style="14" customWidth="1"/>
    <col min="9986" max="9986" width="8.75" style="14" customWidth="1"/>
    <col min="9987" max="9987" width="13.125" style="14" customWidth="1"/>
    <col min="9988" max="9988" width="31" style="14" customWidth="1"/>
    <col min="9989" max="9989" width="7.125" style="14" bestFit="1" customWidth="1"/>
    <col min="9990" max="9990" width="7.25" style="14" bestFit="1" customWidth="1"/>
    <col min="9991" max="10239" width="9" style="14"/>
    <col min="10240" max="10240" width="1.375" style="14" customWidth="1"/>
    <col min="10241" max="10241" width="13.125" style="14" customWidth="1"/>
    <col min="10242" max="10242" width="8.75" style="14" customWidth="1"/>
    <col min="10243" max="10243" width="13.125" style="14" customWidth="1"/>
    <col min="10244" max="10244" width="31" style="14" customWidth="1"/>
    <col min="10245" max="10245" width="7.125" style="14" bestFit="1" customWidth="1"/>
    <col min="10246" max="10246" width="7.25" style="14" bestFit="1" customWidth="1"/>
    <col min="10247" max="10495" width="9" style="14"/>
    <col min="10496" max="10496" width="1.375" style="14" customWidth="1"/>
    <col min="10497" max="10497" width="13.125" style="14" customWidth="1"/>
    <col min="10498" max="10498" width="8.75" style="14" customWidth="1"/>
    <col min="10499" max="10499" width="13.125" style="14" customWidth="1"/>
    <col min="10500" max="10500" width="31" style="14" customWidth="1"/>
    <col min="10501" max="10501" width="7.125" style="14" bestFit="1" customWidth="1"/>
    <col min="10502" max="10502" width="7.25" style="14" bestFit="1" customWidth="1"/>
    <col min="10503" max="10751" width="9" style="14"/>
    <col min="10752" max="10752" width="1.375" style="14" customWidth="1"/>
    <col min="10753" max="10753" width="13.125" style="14" customWidth="1"/>
    <col min="10754" max="10754" width="8.75" style="14" customWidth="1"/>
    <col min="10755" max="10755" width="13.125" style="14" customWidth="1"/>
    <col min="10756" max="10756" width="31" style="14" customWidth="1"/>
    <col min="10757" max="10757" width="7.125" style="14" bestFit="1" customWidth="1"/>
    <col min="10758" max="10758" width="7.25" style="14" bestFit="1" customWidth="1"/>
    <col min="10759" max="11007" width="9" style="14"/>
    <col min="11008" max="11008" width="1.375" style="14" customWidth="1"/>
    <col min="11009" max="11009" width="13.125" style="14" customWidth="1"/>
    <col min="11010" max="11010" width="8.75" style="14" customWidth="1"/>
    <col min="11011" max="11011" width="13.125" style="14" customWidth="1"/>
    <col min="11012" max="11012" width="31" style="14" customWidth="1"/>
    <col min="11013" max="11013" width="7.125" style="14" bestFit="1" customWidth="1"/>
    <col min="11014" max="11014" width="7.25" style="14" bestFit="1" customWidth="1"/>
    <col min="11015" max="11263" width="9" style="14"/>
    <col min="11264" max="11264" width="1.375" style="14" customWidth="1"/>
    <col min="11265" max="11265" width="13.125" style="14" customWidth="1"/>
    <col min="11266" max="11266" width="8.75" style="14" customWidth="1"/>
    <col min="11267" max="11267" width="13.125" style="14" customWidth="1"/>
    <col min="11268" max="11268" width="31" style="14" customWidth="1"/>
    <col min="11269" max="11269" width="7.125" style="14" bestFit="1" customWidth="1"/>
    <col min="11270" max="11270" width="7.25" style="14" bestFit="1" customWidth="1"/>
    <col min="11271" max="11519" width="9" style="14"/>
    <col min="11520" max="11520" width="1.375" style="14" customWidth="1"/>
    <col min="11521" max="11521" width="13.125" style="14" customWidth="1"/>
    <col min="11522" max="11522" width="8.75" style="14" customWidth="1"/>
    <col min="11523" max="11523" width="13.125" style="14" customWidth="1"/>
    <col min="11524" max="11524" width="31" style="14" customWidth="1"/>
    <col min="11525" max="11525" width="7.125" style="14" bestFit="1" customWidth="1"/>
    <col min="11526" max="11526" width="7.25" style="14" bestFit="1" customWidth="1"/>
    <col min="11527" max="11775" width="9" style="14"/>
    <col min="11776" max="11776" width="1.375" style="14" customWidth="1"/>
    <col min="11777" max="11777" width="13.125" style="14" customWidth="1"/>
    <col min="11778" max="11778" width="8.75" style="14" customWidth="1"/>
    <col min="11779" max="11779" width="13.125" style="14" customWidth="1"/>
    <col min="11780" max="11780" width="31" style="14" customWidth="1"/>
    <col min="11781" max="11781" width="7.125" style="14" bestFit="1" customWidth="1"/>
    <col min="11782" max="11782" width="7.25" style="14" bestFit="1" customWidth="1"/>
    <col min="11783" max="12031" width="9" style="14"/>
    <col min="12032" max="12032" width="1.375" style="14" customWidth="1"/>
    <col min="12033" max="12033" width="13.125" style="14" customWidth="1"/>
    <col min="12034" max="12034" width="8.75" style="14" customWidth="1"/>
    <col min="12035" max="12035" width="13.125" style="14" customWidth="1"/>
    <col min="12036" max="12036" width="31" style="14" customWidth="1"/>
    <col min="12037" max="12037" width="7.125" style="14" bestFit="1" customWidth="1"/>
    <col min="12038" max="12038" width="7.25" style="14" bestFit="1" customWidth="1"/>
    <col min="12039" max="12287" width="9" style="14"/>
    <col min="12288" max="12288" width="1.375" style="14" customWidth="1"/>
    <col min="12289" max="12289" width="13.125" style="14" customWidth="1"/>
    <col min="12290" max="12290" width="8.75" style="14" customWidth="1"/>
    <col min="12291" max="12291" width="13.125" style="14" customWidth="1"/>
    <col min="12292" max="12292" width="31" style="14" customWidth="1"/>
    <col min="12293" max="12293" width="7.125" style="14" bestFit="1" customWidth="1"/>
    <col min="12294" max="12294" width="7.25" style="14" bestFit="1" customWidth="1"/>
    <col min="12295" max="12543" width="9" style="14"/>
    <col min="12544" max="12544" width="1.375" style="14" customWidth="1"/>
    <col min="12545" max="12545" width="13.125" style="14" customWidth="1"/>
    <col min="12546" max="12546" width="8.75" style="14" customWidth="1"/>
    <col min="12547" max="12547" width="13.125" style="14" customWidth="1"/>
    <col min="12548" max="12548" width="31" style="14" customWidth="1"/>
    <col min="12549" max="12549" width="7.125" style="14" bestFit="1" customWidth="1"/>
    <col min="12550" max="12550" width="7.25" style="14" bestFit="1" customWidth="1"/>
    <col min="12551" max="12799" width="9" style="14"/>
    <col min="12800" max="12800" width="1.375" style="14" customWidth="1"/>
    <col min="12801" max="12801" width="13.125" style="14" customWidth="1"/>
    <col min="12802" max="12802" width="8.75" style="14" customWidth="1"/>
    <col min="12803" max="12803" width="13.125" style="14" customWidth="1"/>
    <col min="12804" max="12804" width="31" style="14" customWidth="1"/>
    <col min="12805" max="12805" width="7.125" style="14" bestFit="1" customWidth="1"/>
    <col min="12806" max="12806" width="7.25" style="14" bestFit="1" customWidth="1"/>
    <col min="12807" max="13055" width="9" style="14"/>
    <col min="13056" max="13056" width="1.375" style="14" customWidth="1"/>
    <col min="13057" max="13057" width="13.125" style="14" customWidth="1"/>
    <col min="13058" max="13058" width="8.75" style="14" customWidth="1"/>
    <col min="13059" max="13059" width="13.125" style="14" customWidth="1"/>
    <col min="13060" max="13060" width="31" style="14" customWidth="1"/>
    <col min="13061" max="13061" width="7.125" style="14" bestFit="1" customWidth="1"/>
    <col min="13062" max="13062" width="7.25" style="14" bestFit="1" customWidth="1"/>
    <col min="13063" max="13311" width="9" style="14"/>
    <col min="13312" max="13312" width="1.375" style="14" customWidth="1"/>
    <col min="13313" max="13313" width="13.125" style="14" customWidth="1"/>
    <col min="13314" max="13314" width="8.75" style="14" customWidth="1"/>
    <col min="13315" max="13315" width="13.125" style="14" customWidth="1"/>
    <col min="13316" max="13316" width="31" style="14" customWidth="1"/>
    <col min="13317" max="13317" width="7.125" style="14" bestFit="1" customWidth="1"/>
    <col min="13318" max="13318" width="7.25" style="14" bestFit="1" customWidth="1"/>
    <col min="13319" max="13567" width="9" style="14"/>
    <col min="13568" max="13568" width="1.375" style="14" customWidth="1"/>
    <col min="13569" max="13569" width="13.125" style="14" customWidth="1"/>
    <col min="13570" max="13570" width="8.75" style="14" customWidth="1"/>
    <col min="13571" max="13571" width="13.125" style="14" customWidth="1"/>
    <col min="13572" max="13572" width="31" style="14" customWidth="1"/>
    <col min="13573" max="13573" width="7.125" style="14" bestFit="1" customWidth="1"/>
    <col min="13574" max="13574" width="7.25" style="14" bestFit="1" customWidth="1"/>
    <col min="13575" max="13823" width="9" style="14"/>
    <col min="13824" max="13824" width="1.375" style="14" customWidth="1"/>
    <col min="13825" max="13825" width="13.125" style="14" customWidth="1"/>
    <col min="13826" max="13826" width="8.75" style="14" customWidth="1"/>
    <col min="13827" max="13827" width="13.125" style="14" customWidth="1"/>
    <col min="13828" max="13828" width="31" style="14" customWidth="1"/>
    <col min="13829" max="13829" width="7.125" style="14" bestFit="1" customWidth="1"/>
    <col min="13830" max="13830" width="7.25" style="14" bestFit="1" customWidth="1"/>
    <col min="13831" max="14079" width="9" style="14"/>
    <col min="14080" max="14080" width="1.375" style="14" customWidth="1"/>
    <col min="14081" max="14081" width="13.125" style="14" customWidth="1"/>
    <col min="14082" max="14082" width="8.75" style="14" customWidth="1"/>
    <col min="14083" max="14083" width="13.125" style="14" customWidth="1"/>
    <col min="14084" max="14084" width="31" style="14" customWidth="1"/>
    <col min="14085" max="14085" width="7.125" style="14" bestFit="1" customWidth="1"/>
    <col min="14086" max="14086" width="7.25" style="14" bestFit="1" customWidth="1"/>
    <col min="14087" max="14335" width="9" style="14"/>
    <col min="14336" max="14336" width="1.375" style="14" customWidth="1"/>
    <col min="14337" max="14337" width="13.125" style="14" customWidth="1"/>
    <col min="14338" max="14338" width="8.75" style="14" customWidth="1"/>
    <col min="14339" max="14339" width="13.125" style="14" customWidth="1"/>
    <col min="14340" max="14340" width="31" style="14" customWidth="1"/>
    <col min="14341" max="14341" width="7.125" style="14" bestFit="1" customWidth="1"/>
    <col min="14342" max="14342" width="7.25" style="14" bestFit="1" customWidth="1"/>
    <col min="14343" max="14591" width="9" style="14"/>
    <col min="14592" max="14592" width="1.375" style="14" customWidth="1"/>
    <col min="14593" max="14593" width="13.125" style="14" customWidth="1"/>
    <col min="14594" max="14594" width="8.75" style="14" customWidth="1"/>
    <col min="14595" max="14595" width="13.125" style="14" customWidth="1"/>
    <col min="14596" max="14596" width="31" style="14" customWidth="1"/>
    <col min="14597" max="14597" width="7.125" style="14" bestFit="1" customWidth="1"/>
    <col min="14598" max="14598" width="7.25" style="14" bestFit="1" customWidth="1"/>
    <col min="14599" max="14847" width="9" style="14"/>
    <col min="14848" max="14848" width="1.375" style="14" customWidth="1"/>
    <col min="14849" max="14849" width="13.125" style="14" customWidth="1"/>
    <col min="14850" max="14850" width="8.75" style="14" customWidth="1"/>
    <col min="14851" max="14851" width="13.125" style="14" customWidth="1"/>
    <col min="14852" max="14852" width="31" style="14" customWidth="1"/>
    <col min="14853" max="14853" width="7.125" style="14" bestFit="1" customWidth="1"/>
    <col min="14854" max="14854" width="7.25" style="14" bestFit="1" customWidth="1"/>
    <col min="14855" max="15103" width="9" style="14"/>
    <col min="15104" max="15104" width="1.375" style="14" customWidth="1"/>
    <col min="15105" max="15105" width="13.125" style="14" customWidth="1"/>
    <col min="15106" max="15106" width="8.75" style="14" customWidth="1"/>
    <col min="15107" max="15107" width="13.125" style="14" customWidth="1"/>
    <col min="15108" max="15108" width="31" style="14" customWidth="1"/>
    <col min="15109" max="15109" width="7.125" style="14" bestFit="1" customWidth="1"/>
    <col min="15110" max="15110" width="7.25" style="14" bestFit="1" customWidth="1"/>
    <col min="15111" max="15359" width="9" style="14"/>
    <col min="15360" max="15360" width="1.375" style="14" customWidth="1"/>
    <col min="15361" max="15361" width="13.125" style="14" customWidth="1"/>
    <col min="15362" max="15362" width="8.75" style="14" customWidth="1"/>
    <col min="15363" max="15363" width="13.125" style="14" customWidth="1"/>
    <col min="15364" max="15364" width="31" style="14" customWidth="1"/>
    <col min="15365" max="15365" width="7.125" style="14" bestFit="1" customWidth="1"/>
    <col min="15366" max="15366" width="7.25" style="14" bestFit="1" customWidth="1"/>
    <col min="15367" max="15615" width="9" style="14"/>
    <col min="15616" max="15616" width="1.375" style="14" customWidth="1"/>
    <col min="15617" max="15617" width="13.125" style="14" customWidth="1"/>
    <col min="15618" max="15618" width="8.75" style="14" customWidth="1"/>
    <col min="15619" max="15619" width="13.125" style="14" customWidth="1"/>
    <col min="15620" max="15620" width="31" style="14" customWidth="1"/>
    <col min="15621" max="15621" width="7.125" style="14" bestFit="1" customWidth="1"/>
    <col min="15622" max="15622" width="7.25" style="14" bestFit="1" customWidth="1"/>
    <col min="15623" max="15871" width="9" style="14"/>
    <col min="15872" max="15872" width="1.375" style="14" customWidth="1"/>
    <col min="15873" max="15873" width="13.125" style="14" customWidth="1"/>
    <col min="15874" max="15874" width="8.75" style="14" customWidth="1"/>
    <col min="15875" max="15875" width="13.125" style="14" customWidth="1"/>
    <col min="15876" max="15876" width="31" style="14" customWidth="1"/>
    <col min="15877" max="15877" width="7.125" style="14" bestFit="1" customWidth="1"/>
    <col min="15878" max="15878" width="7.25" style="14" bestFit="1" customWidth="1"/>
    <col min="15879" max="16127" width="9" style="14"/>
    <col min="16128" max="16128" width="1.375" style="14" customWidth="1"/>
    <col min="16129" max="16129" width="13.125" style="14" customWidth="1"/>
    <col min="16130" max="16130" width="8.75" style="14" customWidth="1"/>
    <col min="16131" max="16131" width="13.125" style="14" customWidth="1"/>
    <col min="16132" max="16132" width="31" style="14" customWidth="1"/>
    <col min="16133" max="16133" width="7.125" style="14" bestFit="1" customWidth="1"/>
    <col min="16134" max="16134" width="7.25" style="14" bestFit="1" customWidth="1"/>
    <col min="16135" max="16384" width="9" style="14"/>
  </cols>
  <sheetData>
    <row r="1" spans="1:8" x14ac:dyDescent="0.3">
      <c r="A1" s="25" t="s">
        <v>41</v>
      </c>
      <c r="B1" s="25"/>
      <c r="C1" s="25" t="s">
        <v>26</v>
      </c>
    </row>
    <row r="2" spans="1:8" x14ac:dyDescent="0.3">
      <c r="A2" s="25" t="s">
        <v>241</v>
      </c>
      <c r="B2" s="25"/>
      <c r="C2" s="26" t="s">
        <v>27</v>
      </c>
    </row>
    <row r="3" spans="1:8" x14ac:dyDescent="0.3">
      <c r="A3" s="25" t="s">
        <v>242</v>
      </c>
      <c r="B3" s="25"/>
      <c r="C3" s="27" t="s">
        <v>250</v>
      </c>
      <c r="D3" s="27"/>
      <c r="E3" s="27"/>
      <c r="F3" s="27"/>
      <c r="G3" s="28"/>
    </row>
    <row r="4" spans="1:8" x14ac:dyDescent="0.3">
      <c r="A4" s="29"/>
      <c r="B4" s="29"/>
      <c r="C4" s="29"/>
      <c r="D4" s="29"/>
      <c r="E4" s="30"/>
      <c r="F4" s="29"/>
      <c r="G4" s="31"/>
    </row>
    <row r="5" spans="1:8" ht="20.100000000000001" customHeight="1" x14ac:dyDescent="0.3">
      <c r="A5" s="29"/>
      <c r="B5" s="64" t="s">
        <v>387</v>
      </c>
      <c r="C5" s="79" t="s">
        <v>252</v>
      </c>
      <c r="D5" s="51" t="s">
        <v>249</v>
      </c>
      <c r="E5" s="51" t="s">
        <v>29</v>
      </c>
      <c r="F5" s="51" t="s">
        <v>30</v>
      </c>
      <c r="G5" s="80" t="s">
        <v>31</v>
      </c>
      <c r="H5" s="51" t="s">
        <v>261</v>
      </c>
    </row>
    <row r="6" spans="1:8" x14ac:dyDescent="0.3">
      <c r="B6" s="43" t="s">
        <v>276</v>
      </c>
      <c r="C6" s="43">
        <v>1</v>
      </c>
      <c r="D6" s="27" t="s">
        <v>32</v>
      </c>
      <c r="E6" s="42" t="str">
        <f>IFERROR(INDEX(tbl제품[품목],MATCH(tbl견적서세부[[#This Row],[품목코드]],tbl제품[품목코드],0)),"")</f>
        <v>비주얼베이직 6.0 기능 완전 정복</v>
      </c>
      <c r="F6" s="27">
        <v>10</v>
      </c>
      <c r="G6" s="50">
        <f>IFERROR(INDEX(tbl제품[단가],MATCH(tbl견적서세부[[#This Row],[품목코드]],tbl제품[품목코드],0)),"")</f>
        <v>18000</v>
      </c>
      <c r="H6" s="27" t="s">
        <v>264</v>
      </c>
    </row>
    <row r="7" spans="1:8" x14ac:dyDescent="0.3">
      <c r="B7" s="43" t="s">
        <v>276</v>
      </c>
      <c r="C7" s="43">
        <v>2</v>
      </c>
      <c r="D7" s="27" t="s">
        <v>33</v>
      </c>
      <c r="E7" s="42" t="str">
        <f>IFERROR(INDEX(tbl제품[품목],MATCH(tbl견적서세부[[#This Row],[품목코드]],tbl제품[품목코드],0)),"")</f>
        <v>파워포인트 2007 기능 완전 정복</v>
      </c>
      <c r="F7" s="27">
        <v>20</v>
      </c>
      <c r="G7" s="50">
        <f>IFERROR(INDEX(tbl제품[단가],MATCH(tbl견적서세부[[#This Row],[품목코드]],tbl제품[품목코드],0)),"")</f>
        <v>19800</v>
      </c>
      <c r="H7" s="27"/>
    </row>
    <row r="8" spans="1:8" x14ac:dyDescent="0.3">
      <c r="B8" s="43" t="s">
        <v>276</v>
      </c>
      <c r="C8" s="43">
        <v>3</v>
      </c>
      <c r="D8" s="27" t="s">
        <v>34</v>
      </c>
      <c r="E8" s="42" t="str">
        <f>IFERROR(INDEX(tbl제품[품목],MATCH(tbl견적서세부[[#This Row],[품목코드]],tbl제품[품목코드],0)),"")</f>
        <v>장미가족의 내맘대로 포토샵</v>
      </c>
      <c r="F8" s="27">
        <v>10</v>
      </c>
      <c r="G8" s="50">
        <f>IFERROR(INDEX(tbl제품[단가],MATCH(tbl견적서세부[[#This Row],[품목코드]],tbl제품[품목코드],0)),"")</f>
        <v>25000</v>
      </c>
      <c r="H8" s="27"/>
    </row>
    <row r="9" spans="1:8" x14ac:dyDescent="0.3">
      <c r="B9" s="43" t="s">
        <v>276</v>
      </c>
      <c r="C9" s="43">
        <v>4</v>
      </c>
      <c r="D9" s="27" t="s">
        <v>35</v>
      </c>
      <c r="E9" s="42" t="str">
        <f>IFERROR(INDEX(tbl제품[품목],MATCH(tbl견적서세부[[#This Row],[품목코드]],tbl제품[품목코드],0)),"")</f>
        <v>컴퓨터 기능 완전 정복</v>
      </c>
      <c r="F9" s="27">
        <v>20</v>
      </c>
      <c r="G9" s="50">
        <f>IFERROR(INDEX(tbl제품[단가],MATCH(tbl견적서세부[[#This Row],[품목코드]],tbl제품[품목코드],0)),"")</f>
        <v>18000</v>
      </c>
      <c r="H9" s="27"/>
    </row>
    <row r="10" spans="1:8" x14ac:dyDescent="0.3">
      <c r="B10" s="43" t="s">
        <v>276</v>
      </c>
      <c r="C10" s="43">
        <v>5</v>
      </c>
      <c r="D10" s="27" t="s">
        <v>36</v>
      </c>
      <c r="E10" s="42" t="str">
        <f>IFERROR(INDEX(tbl제품[품목],MATCH(tbl견적서세부[[#This Row],[품목코드]],tbl제품[품목코드],0)),"")</f>
        <v>액세스 2013 기능 완전 정복</v>
      </c>
      <c r="F10" s="27">
        <v>10</v>
      </c>
      <c r="G10" s="50">
        <f>IFERROR(INDEX(tbl제품[단가],MATCH(tbl견적서세부[[#This Row],[품목코드]],tbl제품[품목코드],0)),"")</f>
        <v>23000</v>
      </c>
      <c r="H10" s="27"/>
    </row>
    <row r="11" spans="1:8" x14ac:dyDescent="0.3">
      <c r="B11" s="43" t="s">
        <v>277</v>
      </c>
      <c r="C11" s="43">
        <v>1</v>
      </c>
      <c r="D11" s="27" t="s">
        <v>34</v>
      </c>
      <c r="E11" s="42" t="str">
        <f>IFERROR(INDEX(tbl제품[품목],MATCH(tbl견적서세부[[#This Row],[품목코드]],tbl제품[품목코드],0)),"")</f>
        <v>장미가족의 내맘대로 포토샵</v>
      </c>
      <c r="F11" s="27">
        <v>20</v>
      </c>
      <c r="G11" s="50">
        <f>IFERROR(INDEX(tbl제품[단가],MATCH(tbl견적서세부[[#This Row],[품목코드]],tbl제품[품목코드],0)),"")</f>
        <v>25000</v>
      </c>
      <c r="H11" s="27" t="s">
        <v>265</v>
      </c>
    </row>
    <row r="12" spans="1:8" x14ac:dyDescent="0.3">
      <c r="B12" s="43" t="s">
        <v>277</v>
      </c>
      <c r="C12" s="43">
        <v>2</v>
      </c>
      <c r="D12" s="27" t="s">
        <v>36</v>
      </c>
      <c r="E12" s="42" t="str">
        <f>IFERROR(INDEX(tbl제품[품목],MATCH(tbl견적서세부[[#This Row],[품목코드]],tbl제품[품목코드],0)),"")</f>
        <v>액세스 2013 기능 완전 정복</v>
      </c>
      <c r="F12" s="27">
        <v>10</v>
      </c>
      <c r="G12" s="50">
        <f>IFERROR(INDEX(tbl제품[단가],MATCH(tbl견적서세부[[#This Row],[품목코드]],tbl제품[품목코드],0)),"")</f>
        <v>23000</v>
      </c>
      <c r="H12" s="27"/>
    </row>
    <row r="13" spans="1:8" x14ac:dyDescent="0.3">
      <c r="B13" s="43" t="s">
        <v>277</v>
      </c>
      <c r="C13" s="43">
        <v>3</v>
      </c>
      <c r="D13" s="27" t="s">
        <v>37</v>
      </c>
      <c r="E13" s="42" t="str">
        <f>IFERROR(INDEX(tbl제품[품목],MATCH(tbl견적서세부[[#This Row],[품목코드]],tbl제품[품목코드],0)),"")</f>
        <v>엑셀 매크로&amp;VBA 기능 완전 정복</v>
      </c>
      <c r="F13" s="27">
        <v>20</v>
      </c>
      <c r="G13" s="50">
        <f>IFERROR(INDEX(tbl제품[단가],MATCH(tbl견적서세부[[#This Row],[품목코드]],tbl제품[품목코드],0)),"")</f>
        <v>19800</v>
      </c>
      <c r="H13" s="27"/>
    </row>
    <row r="14" spans="1:8" x14ac:dyDescent="0.3">
      <c r="B14" s="43" t="s">
        <v>277</v>
      </c>
      <c r="C14" s="43">
        <v>4</v>
      </c>
      <c r="D14" s="27" t="s">
        <v>38</v>
      </c>
      <c r="E14" s="42" t="str">
        <f>IFERROR(INDEX(tbl제품[품목],MATCH(tbl견적서세부[[#This Row],[품목코드]],tbl제품[품목코드],0)),"")</f>
        <v>엑셀 2013 기능 완전 정복</v>
      </c>
      <c r="F14" s="27">
        <v>30</v>
      </c>
      <c r="G14" s="50">
        <f>IFERROR(INDEX(tbl제품[단가],MATCH(tbl견적서세부[[#This Row],[품목코드]],tbl제품[품목코드],0)),"")</f>
        <v>19800</v>
      </c>
      <c r="H14" s="27"/>
    </row>
    <row r="15" spans="1:8" x14ac:dyDescent="0.3">
      <c r="B15" s="43" t="s">
        <v>392</v>
      </c>
      <c r="C15" s="43">
        <v>1</v>
      </c>
      <c r="D15" s="27" t="s">
        <v>36</v>
      </c>
      <c r="E15" s="42" t="str">
        <f>IFERROR(INDEX(tbl제품[품목],MATCH(tbl견적서세부[[#This Row],[품목코드]],tbl제품[품목코드],0)),"")</f>
        <v>액세스 2013 기능 완전 정복</v>
      </c>
      <c r="F15" s="27">
        <v>10</v>
      </c>
      <c r="G15" s="50">
        <f>IFERROR(INDEX(tbl제품[단가],MATCH(tbl견적서세부[[#This Row],[품목코드]],tbl제품[품목코드],0)),"")</f>
        <v>23000</v>
      </c>
      <c r="H15" s="27"/>
    </row>
    <row r="16" spans="1:8" x14ac:dyDescent="0.3">
      <c r="B16" s="43" t="s">
        <v>392</v>
      </c>
      <c r="C16" s="43">
        <v>2</v>
      </c>
      <c r="D16" s="27" t="s">
        <v>38</v>
      </c>
      <c r="E16" s="42" t="str">
        <f>IFERROR(INDEX(tbl제품[품목],MATCH(tbl견적서세부[[#This Row],[품목코드]],tbl제품[품목코드],0)),"")</f>
        <v>엑셀 2013 기능 완전 정복</v>
      </c>
      <c r="F16" s="27">
        <v>25</v>
      </c>
      <c r="G16" s="50">
        <f>IFERROR(INDEX(tbl제품[단가],MATCH(tbl견적서세부[[#This Row],[품목코드]],tbl제품[품목코드],0)),"")</f>
        <v>19800</v>
      </c>
      <c r="H16" s="27"/>
    </row>
    <row r="17" spans="2:8" x14ac:dyDescent="0.3">
      <c r="B17" s="43" t="s">
        <v>392</v>
      </c>
      <c r="C17" s="43">
        <v>3</v>
      </c>
      <c r="D17" s="27" t="s">
        <v>59</v>
      </c>
      <c r="E17" s="42" t="str">
        <f>IFERROR(INDEX(tbl제품[품목],MATCH(tbl견적서세부[[#This Row],[품목코드]],tbl제품[품목코드],0)),"")</f>
        <v>XLS 수식&amp;함수 활용 185</v>
      </c>
      <c r="F17" s="27">
        <v>20</v>
      </c>
      <c r="G17" s="50">
        <f>IFERROR(INDEX(tbl제품[단가],MATCH(tbl견적서세부[[#This Row],[품목코드]],tbl제품[품목코드],0)),"")</f>
        <v>19800</v>
      </c>
      <c r="H17" s="27"/>
    </row>
    <row r="18" spans="2:8" x14ac:dyDescent="0.3">
      <c r="B18" s="43" t="s">
        <v>461</v>
      </c>
      <c r="C18" s="43">
        <v>1</v>
      </c>
      <c r="D18" s="27" t="s">
        <v>39</v>
      </c>
      <c r="E18" s="42" t="str">
        <f>IFERROR(INDEX(tbl제품[품목],MATCH(tbl견적서세부[[#This Row],[품목코드]],tbl제품[품목코드],0)),"")</f>
        <v>엑셀 실무활용 기능 완전 정복</v>
      </c>
      <c r="F18" s="27">
        <v>20</v>
      </c>
      <c r="G18" s="50">
        <f>IFERROR(INDEX(tbl제품[단가],MATCH(tbl견적서세부[[#This Row],[품목코드]],tbl제품[품목코드],0)),"")</f>
        <v>15000</v>
      </c>
      <c r="H18" s="27" t="s">
        <v>465</v>
      </c>
    </row>
    <row r="19" spans="2:8" x14ac:dyDescent="0.3">
      <c r="B19" s="43" t="s">
        <v>461</v>
      </c>
      <c r="C19" s="43">
        <v>2</v>
      </c>
      <c r="D19" s="27" t="s">
        <v>449</v>
      </c>
      <c r="E19" s="42" t="str">
        <f>IFERROR(INDEX(tbl제품[품목],MATCH(tbl견적서세부[[#This Row],[품목코드]],tbl제품[품목코드],0)),"")</f>
        <v>파워포인트 기능 완전 정복</v>
      </c>
      <c r="F19" s="27">
        <v>20</v>
      </c>
      <c r="G19" s="50">
        <f>IFERROR(INDEX(tbl제품[단가],MATCH(tbl견적서세부[[#This Row],[품목코드]],tbl제품[품목코드],0)),"")</f>
        <v>19800</v>
      </c>
      <c r="H19" s="27"/>
    </row>
    <row r="20" spans="2:8" x14ac:dyDescent="0.3">
      <c r="B20" s="43" t="s">
        <v>461</v>
      </c>
      <c r="C20" s="43">
        <v>3</v>
      </c>
      <c r="D20" s="27" t="s">
        <v>61</v>
      </c>
      <c r="E20" s="42" t="str">
        <f>IFERROR(INDEX(tbl제품[품목],MATCH(tbl견적서세부[[#This Row],[품목코드]],tbl제품[품목코드],0)),"")</f>
        <v>워드 2013 기능 완전 정복</v>
      </c>
      <c r="F20" s="27">
        <v>20</v>
      </c>
      <c r="G20" s="50">
        <f>IFERROR(INDEX(tbl제품[단가],MATCH(tbl견적서세부[[#This Row],[품목코드]],tbl제품[품목코드],0)),"")</f>
        <v>18001</v>
      </c>
      <c r="H20" s="27"/>
    </row>
    <row r="21" spans="2:8" x14ac:dyDescent="0.3">
      <c r="B21" s="43" t="s">
        <v>461</v>
      </c>
      <c r="C21" s="43">
        <v>4</v>
      </c>
      <c r="D21" s="27" t="s">
        <v>35</v>
      </c>
      <c r="E21" s="42" t="str">
        <f>IFERROR(INDEX(tbl제품[품목],MATCH(tbl견적서세부[[#This Row],[품목코드]],tbl제품[품목코드],0)),"")</f>
        <v>컴퓨터 기능 완전 정복</v>
      </c>
      <c r="F21" s="27">
        <v>20</v>
      </c>
      <c r="G21" s="50">
        <f>IFERROR(INDEX(tbl제품[단가],MATCH(tbl견적서세부[[#This Row],[품목코드]],tbl제품[품목코드],0)),"")</f>
        <v>18000</v>
      </c>
      <c r="H21" s="27"/>
    </row>
    <row r="22" spans="2:8" x14ac:dyDescent="0.3">
      <c r="B22" s="43" t="s">
        <v>461</v>
      </c>
      <c r="C22" s="43">
        <v>5</v>
      </c>
      <c r="D22" s="27" t="s">
        <v>462</v>
      </c>
      <c r="E22" s="42" t="str">
        <f>IFERROR(INDEX(tbl제품[품목],MATCH(tbl견적서세부[[#This Row],[품목코드]],tbl제품[품목코드],0)),"")</f>
        <v>윈도우 8.1 기능 완전 정복</v>
      </c>
      <c r="F22" s="27">
        <v>20</v>
      </c>
      <c r="G22" s="50">
        <f>IFERROR(INDEX(tbl제품[단가],MATCH(tbl견적서세부[[#This Row],[품목코드]],tbl제품[품목코드],0)),"")</f>
        <v>18000</v>
      </c>
      <c r="H22" s="27" t="s">
        <v>464</v>
      </c>
    </row>
    <row r="23" spans="2:8" x14ac:dyDescent="0.3">
      <c r="B23" s="43" t="s">
        <v>461</v>
      </c>
      <c r="C23" s="43">
        <v>6</v>
      </c>
      <c r="D23" s="27" t="s">
        <v>32</v>
      </c>
      <c r="E23" s="42" t="str">
        <f>IFERROR(INDEX(tbl제품[품목],MATCH(tbl견적서세부[[#This Row],[품목코드]],tbl제품[품목코드],0)),"")</f>
        <v>비주얼베이직 6.0 기능 완전 정복</v>
      </c>
      <c r="F23" s="27">
        <v>20</v>
      </c>
      <c r="G23" s="50">
        <f>IFERROR(INDEX(tbl제품[단가],MATCH(tbl견적서세부[[#This Row],[품목코드]],tbl제품[품목코드],0)),"")</f>
        <v>18000</v>
      </c>
      <c r="H23" s="27"/>
    </row>
    <row r="24" spans="2:8" x14ac:dyDescent="0.3">
      <c r="B24" s="43" t="s">
        <v>461</v>
      </c>
      <c r="C24" s="43">
        <v>7</v>
      </c>
      <c r="D24" s="27" t="s">
        <v>40</v>
      </c>
      <c r="E24" s="42" t="str">
        <f>IFERROR(INDEX(tbl제품[품목],MATCH(tbl견적서세부[[#This Row],[품목코드]],tbl제품[품목코드],0)),"")</f>
        <v>엑셀 2007 기능 완전 정복</v>
      </c>
      <c r="F24" s="27">
        <v>20</v>
      </c>
      <c r="G24" s="50">
        <f>IFERROR(INDEX(tbl제품[단가],MATCH(tbl견적서세부[[#This Row],[품목코드]],tbl제품[품목코드],0)),"")</f>
        <v>20000</v>
      </c>
      <c r="H24" s="27"/>
    </row>
    <row r="25" spans="2:8" x14ac:dyDescent="0.3">
      <c r="B25" s="43" t="s">
        <v>391</v>
      </c>
      <c r="C25" s="43">
        <v>1</v>
      </c>
      <c r="D25" s="27" t="s">
        <v>37</v>
      </c>
      <c r="E25" s="42" t="str">
        <f>IFERROR(INDEX(tbl제품[품목],MATCH(tbl견적서세부[[#This Row],[품목코드]],tbl제품[품목코드],0)),"")</f>
        <v>엑셀 매크로&amp;VBA 기능 완전 정복</v>
      </c>
      <c r="F25" s="27">
        <v>10</v>
      </c>
      <c r="G25" s="50">
        <f>IFERROR(INDEX(tbl제품[단가],MATCH(tbl견적서세부[[#This Row],[품목코드]],tbl제품[품목코드],0)),"")</f>
        <v>19800</v>
      </c>
      <c r="H25" s="27" t="s">
        <v>388</v>
      </c>
    </row>
    <row r="26" spans="2:8" x14ac:dyDescent="0.3">
      <c r="B26" s="43" t="s">
        <v>391</v>
      </c>
      <c r="C26" s="43">
        <v>2</v>
      </c>
      <c r="D26" s="27" t="s">
        <v>38</v>
      </c>
      <c r="E26" s="42" t="str">
        <f>IFERROR(INDEX(tbl제품[품목],MATCH(tbl견적서세부[[#This Row],[품목코드]],tbl제품[품목코드],0)),"")</f>
        <v>엑셀 2013 기능 완전 정복</v>
      </c>
      <c r="F26" s="27">
        <v>20</v>
      </c>
      <c r="G26" s="50">
        <f>IFERROR(INDEX(tbl제품[단가],MATCH(tbl견적서세부[[#This Row],[품목코드]],tbl제품[품목코드],0)),"")</f>
        <v>19800</v>
      </c>
      <c r="H26" s="27"/>
    </row>
    <row r="27" spans="2:8" x14ac:dyDescent="0.3">
      <c r="B27" s="43" t="s">
        <v>391</v>
      </c>
      <c r="C27" s="43">
        <v>3</v>
      </c>
      <c r="D27" s="27" t="s">
        <v>39</v>
      </c>
      <c r="E27" s="42" t="str">
        <f>IFERROR(INDEX(tbl제품[품목],MATCH(tbl견적서세부[[#This Row],[품목코드]],tbl제품[품목코드],0)),"")</f>
        <v>엑셀 실무활용 기능 완전 정복</v>
      </c>
      <c r="F27" s="27">
        <v>10</v>
      </c>
      <c r="G27" s="50">
        <f>IFERROR(INDEX(tbl제품[단가],MATCH(tbl견적서세부[[#This Row],[품목코드]],tbl제품[품목코드],0)),"")</f>
        <v>15000</v>
      </c>
      <c r="H27" s="27"/>
    </row>
    <row r="28" spans="2:8" x14ac:dyDescent="0.3">
      <c r="B28" s="43" t="s">
        <v>391</v>
      </c>
      <c r="C28" s="43">
        <v>4</v>
      </c>
      <c r="D28" s="27" t="s">
        <v>40</v>
      </c>
      <c r="E28" s="42" t="str">
        <f>IFERROR(INDEX(tbl제품[품목],MATCH(tbl견적서세부[[#This Row],[품목코드]],tbl제품[품목코드],0)),"")</f>
        <v>엑셀 2007 기능 완전 정복</v>
      </c>
      <c r="F28" s="27">
        <v>30</v>
      </c>
      <c r="G28" s="50">
        <f>IFERROR(INDEX(tbl제품[단가],MATCH(tbl견적서세부[[#This Row],[품목코드]],tbl제품[품목코드],0)),"")</f>
        <v>20000</v>
      </c>
      <c r="H28" s="27"/>
    </row>
    <row r="29" spans="2:8" x14ac:dyDescent="0.3">
      <c r="B29" s="43" t="s">
        <v>391</v>
      </c>
      <c r="C29" s="43">
        <v>5</v>
      </c>
      <c r="D29" s="27" t="s">
        <v>35</v>
      </c>
      <c r="E29" s="42" t="str">
        <f>IFERROR(INDEX(tbl제품[품목],MATCH(tbl견적서세부[[#This Row],[품목코드]],tbl제품[품목코드],0)),"")</f>
        <v>컴퓨터 기능 완전 정복</v>
      </c>
      <c r="F29" s="27">
        <v>10</v>
      </c>
      <c r="G29" s="50">
        <f>IFERROR(INDEX(tbl제품[단가],MATCH(tbl견적서세부[[#This Row],[품목코드]],tbl제품[품목코드],0)),"")</f>
        <v>18000</v>
      </c>
      <c r="H29" s="27"/>
    </row>
    <row r="30" spans="2:8" x14ac:dyDescent="0.3">
      <c r="B30" s="43" t="s">
        <v>391</v>
      </c>
      <c r="C30" s="43">
        <v>6</v>
      </c>
      <c r="D30" s="27" t="s">
        <v>38</v>
      </c>
      <c r="E30" s="42" t="str">
        <f>IFERROR(INDEX(tbl제품[품목],MATCH(tbl견적서세부[[#This Row],[품목코드]],tbl제품[품목코드],0)),"")</f>
        <v>엑셀 2013 기능 완전 정복</v>
      </c>
      <c r="F30" s="27">
        <v>50</v>
      </c>
      <c r="G30" s="50">
        <f>IFERROR(INDEX(tbl제품[단가],MATCH(tbl견적서세부[[#This Row],[품목코드]],tbl제품[품목코드],0)),"")</f>
        <v>19800</v>
      </c>
      <c r="H30" s="27" t="s">
        <v>390</v>
      </c>
    </row>
  </sheetData>
  <phoneticPr fontId="1" type="noConversion"/>
  <dataValidations count="2">
    <dataValidation imeMode="halfHangul" allowBlank="1" showInputMessage="1" showErrorMessage="1" sqref="B65455:E65455 C982960:E982988 C917424:E917452 C851888:E851916 C786352:E786380 C720816:E720844 C655280:E655308 C589744:E589772 C524208:E524236 C458672:E458700 C393136:E393164 C327600:E327628 C262064:E262092 C196528:E196556 C130992:E131020 C65456:E65484 B982959:E982959 B917423:E917423 B851887:E851887 B786351:E786351 B720815:E720815 B655279:E655279 B589743:E589743 B524207:E524207 B458671:E458671 B393135:E393135 B327599:E327599 B262063:E262063 B196527:E196527 B130991:E130991 IW65455:IZ65455 SS65455:SV65455 ACO65455:ACR65455 AMK65455:AMN65455 AWG65455:AWJ65455 BGC65455:BGF65455 BPY65455:BQB65455 BZU65455:BZX65455 CJQ65455:CJT65455 CTM65455:CTP65455 DDI65455:DDL65455 DNE65455:DNH65455 DXA65455:DXD65455 EGW65455:EGZ65455 EQS65455:EQV65455 FAO65455:FAR65455 FKK65455:FKN65455 FUG65455:FUJ65455 GEC65455:GEF65455 GNY65455:GOB65455 GXU65455:GXX65455 HHQ65455:HHT65455 HRM65455:HRP65455 IBI65455:IBL65455 ILE65455:ILH65455 IVA65455:IVD65455 JEW65455:JEZ65455 JOS65455:JOV65455 JYO65455:JYR65455 KIK65455:KIN65455 KSG65455:KSJ65455 LCC65455:LCF65455 LLY65455:LMB65455 LVU65455:LVX65455 MFQ65455:MFT65455 MPM65455:MPP65455 MZI65455:MZL65455 NJE65455:NJH65455 NTA65455:NTD65455 OCW65455:OCZ65455 OMS65455:OMV65455 OWO65455:OWR65455 PGK65455:PGN65455 PQG65455:PQJ65455 QAC65455:QAF65455 QJY65455:QKB65455 QTU65455:QTX65455 RDQ65455:RDT65455 RNM65455:RNP65455 RXI65455:RXL65455 SHE65455:SHH65455 SRA65455:SRD65455 TAW65455:TAZ65455 TKS65455:TKV65455 TUO65455:TUR65455 UEK65455:UEN65455 UOG65455:UOJ65455 UYC65455:UYF65455 VHY65455:VIB65455 VRU65455:VRX65455 WBQ65455:WBT65455 WLM65455:WLP65455 WVI65455:WVL65455 IW130991:IZ130991 SS130991:SV130991 ACO130991:ACR130991 AMK130991:AMN130991 AWG130991:AWJ130991 BGC130991:BGF130991 BPY130991:BQB130991 BZU130991:BZX130991 CJQ130991:CJT130991 CTM130991:CTP130991 DDI130991:DDL130991 DNE130991:DNH130991 DXA130991:DXD130991 EGW130991:EGZ130991 EQS130991:EQV130991 FAO130991:FAR130991 FKK130991:FKN130991 FUG130991:FUJ130991 GEC130991:GEF130991 GNY130991:GOB130991 GXU130991:GXX130991 HHQ130991:HHT130991 HRM130991:HRP130991 IBI130991:IBL130991 ILE130991:ILH130991 IVA130991:IVD130991 JEW130991:JEZ130991 JOS130991:JOV130991 JYO130991:JYR130991 KIK130991:KIN130991 KSG130991:KSJ130991 LCC130991:LCF130991 LLY130991:LMB130991 LVU130991:LVX130991 MFQ130991:MFT130991 MPM130991:MPP130991 MZI130991:MZL130991 NJE130991:NJH130991 NTA130991:NTD130991 OCW130991:OCZ130991 OMS130991:OMV130991 OWO130991:OWR130991 PGK130991:PGN130991 PQG130991:PQJ130991 QAC130991:QAF130991 QJY130991:QKB130991 QTU130991:QTX130991 RDQ130991:RDT130991 RNM130991:RNP130991 RXI130991:RXL130991 SHE130991:SHH130991 SRA130991:SRD130991 TAW130991:TAZ130991 TKS130991:TKV130991 TUO130991:TUR130991 UEK130991:UEN130991 UOG130991:UOJ130991 UYC130991:UYF130991 VHY130991:VIB130991 VRU130991:VRX130991 WBQ130991:WBT130991 WLM130991:WLP130991 WVI130991:WVL130991 IW196527:IZ196527 SS196527:SV196527 ACO196527:ACR196527 AMK196527:AMN196527 AWG196527:AWJ196527 BGC196527:BGF196527 BPY196527:BQB196527 BZU196527:BZX196527 CJQ196527:CJT196527 CTM196527:CTP196527 DDI196527:DDL196527 DNE196527:DNH196527 DXA196527:DXD196527 EGW196527:EGZ196527 EQS196527:EQV196527 FAO196527:FAR196527 FKK196527:FKN196527 FUG196527:FUJ196527 GEC196527:GEF196527 GNY196527:GOB196527 GXU196527:GXX196527 HHQ196527:HHT196527 HRM196527:HRP196527 IBI196527:IBL196527 ILE196527:ILH196527 IVA196527:IVD196527 JEW196527:JEZ196527 JOS196527:JOV196527 JYO196527:JYR196527 KIK196527:KIN196527 KSG196527:KSJ196527 LCC196527:LCF196527 LLY196527:LMB196527 LVU196527:LVX196527 MFQ196527:MFT196527 MPM196527:MPP196527 MZI196527:MZL196527 NJE196527:NJH196527 NTA196527:NTD196527 OCW196527:OCZ196527 OMS196527:OMV196527 OWO196527:OWR196527 PGK196527:PGN196527 PQG196527:PQJ196527 QAC196527:QAF196527 QJY196527:QKB196527 QTU196527:QTX196527 RDQ196527:RDT196527 RNM196527:RNP196527 RXI196527:RXL196527 SHE196527:SHH196527 SRA196527:SRD196527 TAW196527:TAZ196527 TKS196527:TKV196527 TUO196527:TUR196527 UEK196527:UEN196527 UOG196527:UOJ196527 UYC196527:UYF196527 VHY196527:VIB196527 VRU196527:VRX196527 WBQ196527:WBT196527 WLM196527:WLP196527 WVI196527:WVL196527 IW262063:IZ262063 SS262063:SV262063 ACO262063:ACR262063 AMK262063:AMN262063 AWG262063:AWJ262063 BGC262063:BGF262063 BPY262063:BQB262063 BZU262063:BZX262063 CJQ262063:CJT262063 CTM262063:CTP262063 DDI262063:DDL262063 DNE262063:DNH262063 DXA262063:DXD262063 EGW262063:EGZ262063 EQS262063:EQV262063 FAO262063:FAR262063 FKK262063:FKN262063 FUG262063:FUJ262063 GEC262063:GEF262063 GNY262063:GOB262063 GXU262063:GXX262063 HHQ262063:HHT262063 HRM262063:HRP262063 IBI262063:IBL262063 ILE262063:ILH262063 IVA262063:IVD262063 JEW262063:JEZ262063 JOS262063:JOV262063 JYO262063:JYR262063 KIK262063:KIN262063 KSG262063:KSJ262063 LCC262063:LCF262063 LLY262063:LMB262063 LVU262063:LVX262063 MFQ262063:MFT262063 MPM262063:MPP262063 MZI262063:MZL262063 NJE262063:NJH262063 NTA262063:NTD262063 OCW262063:OCZ262063 OMS262063:OMV262063 OWO262063:OWR262063 PGK262063:PGN262063 PQG262063:PQJ262063 QAC262063:QAF262063 QJY262063:QKB262063 QTU262063:QTX262063 RDQ262063:RDT262063 RNM262063:RNP262063 RXI262063:RXL262063 SHE262063:SHH262063 SRA262063:SRD262063 TAW262063:TAZ262063 TKS262063:TKV262063 TUO262063:TUR262063 UEK262063:UEN262063 UOG262063:UOJ262063 UYC262063:UYF262063 VHY262063:VIB262063 VRU262063:VRX262063 WBQ262063:WBT262063 WLM262063:WLP262063 WVI262063:WVL262063 IW327599:IZ327599 SS327599:SV327599 ACO327599:ACR327599 AMK327599:AMN327599 AWG327599:AWJ327599 BGC327599:BGF327599 BPY327599:BQB327599 BZU327599:BZX327599 CJQ327599:CJT327599 CTM327599:CTP327599 DDI327599:DDL327599 DNE327599:DNH327599 DXA327599:DXD327599 EGW327599:EGZ327599 EQS327599:EQV327599 FAO327599:FAR327599 FKK327599:FKN327599 FUG327599:FUJ327599 GEC327599:GEF327599 GNY327599:GOB327599 GXU327599:GXX327599 HHQ327599:HHT327599 HRM327599:HRP327599 IBI327599:IBL327599 ILE327599:ILH327599 IVA327599:IVD327599 JEW327599:JEZ327599 JOS327599:JOV327599 JYO327599:JYR327599 KIK327599:KIN327599 KSG327599:KSJ327599 LCC327599:LCF327599 LLY327599:LMB327599 LVU327599:LVX327599 MFQ327599:MFT327599 MPM327599:MPP327599 MZI327599:MZL327599 NJE327599:NJH327599 NTA327599:NTD327599 OCW327599:OCZ327599 OMS327599:OMV327599 OWO327599:OWR327599 PGK327599:PGN327599 PQG327599:PQJ327599 QAC327599:QAF327599 QJY327599:QKB327599 QTU327599:QTX327599 RDQ327599:RDT327599 RNM327599:RNP327599 RXI327599:RXL327599 SHE327599:SHH327599 SRA327599:SRD327599 TAW327599:TAZ327599 TKS327599:TKV327599 TUO327599:TUR327599 UEK327599:UEN327599 UOG327599:UOJ327599 UYC327599:UYF327599 VHY327599:VIB327599 VRU327599:VRX327599 WBQ327599:WBT327599 WLM327599:WLP327599 WVI327599:WVL327599 IW393135:IZ393135 SS393135:SV393135 ACO393135:ACR393135 AMK393135:AMN393135 AWG393135:AWJ393135 BGC393135:BGF393135 BPY393135:BQB393135 BZU393135:BZX393135 CJQ393135:CJT393135 CTM393135:CTP393135 DDI393135:DDL393135 DNE393135:DNH393135 DXA393135:DXD393135 EGW393135:EGZ393135 EQS393135:EQV393135 FAO393135:FAR393135 FKK393135:FKN393135 FUG393135:FUJ393135 GEC393135:GEF393135 GNY393135:GOB393135 GXU393135:GXX393135 HHQ393135:HHT393135 HRM393135:HRP393135 IBI393135:IBL393135 ILE393135:ILH393135 IVA393135:IVD393135 JEW393135:JEZ393135 JOS393135:JOV393135 JYO393135:JYR393135 KIK393135:KIN393135 KSG393135:KSJ393135 LCC393135:LCF393135 LLY393135:LMB393135 LVU393135:LVX393135 MFQ393135:MFT393135 MPM393135:MPP393135 MZI393135:MZL393135 NJE393135:NJH393135 NTA393135:NTD393135 OCW393135:OCZ393135 OMS393135:OMV393135 OWO393135:OWR393135 PGK393135:PGN393135 PQG393135:PQJ393135 QAC393135:QAF393135 QJY393135:QKB393135 QTU393135:QTX393135 RDQ393135:RDT393135 RNM393135:RNP393135 RXI393135:RXL393135 SHE393135:SHH393135 SRA393135:SRD393135 TAW393135:TAZ393135 TKS393135:TKV393135 TUO393135:TUR393135 UEK393135:UEN393135 UOG393135:UOJ393135 UYC393135:UYF393135 VHY393135:VIB393135 VRU393135:VRX393135 WBQ393135:WBT393135 WLM393135:WLP393135 WVI393135:WVL393135 IW458671:IZ458671 SS458671:SV458671 ACO458671:ACR458671 AMK458671:AMN458671 AWG458671:AWJ458671 BGC458671:BGF458671 BPY458671:BQB458671 BZU458671:BZX458671 CJQ458671:CJT458671 CTM458671:CTP458671 DDI458671:DDL458671 DNE458671:DNH458671 DXA458671:DXD458671 EGW458671:EGZ458671 EQS458671:EQV458671 FAO458671:FAR458671 FKK458671:FKN458671 FUG458671:FUJ458671 GEC458671:GEF458671 GNY458671:GOB458671 GXU458671:GXX458671 HHQ458671:HHT458671 HRM458671:HRP458671 IBI458671:IBL458671 ILE458671:ILH458671 IVA458671:IVD458671 JEW458671:JEZ458671 JOS458671:JOV458671 JYO458671:JYR458671 KIK458671:KIN458671 KSG458671:KSJ458671 LCC458671:LCF458671 LLY458671:LMB458671 LVU458671:LVX458671 MFQ458671:MFT458671 MPM458671:MPP458671 MZI458671:MZL458671 NJE458671:NJH458671 NTA458671:NTD458671 OCW458671:OCZ458671 OMS458671:OMV458671 OWO458671:OWR458671 PGK458671:PGN458671 PQG458671:PQJ458671 QAC458671:QAF458671 QJY458671:QKB458671 QTU458671:QTX458671 RDQ458671:RDT458671 RNM458671:RNP458671 RXI458671:RXL458671 SHE458671:SHH458671 SRA458671:SRD458671 TAW458671:TAZ458671 TKS458671:TKV458671 TUO458671:TUR458671 UEK458671:UEN458671 UOG458671:UOJ458671 UYC458671:UYF458671 VHY458671:VIB458671 VRU458671:VRX458671 WBQ458671:WBT458671 WLM458671:WLP458671 WVI458671:WVL458671 IW524207:IZ524207 SS524207:SV524207 ACO524207:ACR524207 AMK524207:AMN524207 AWG524207:AWJ524207 BGC524207:BGF524207 BPY524207:BQB524207 BZU524207:BZX524207 CJQ524207:CJT524207 CTM524207:CTP524207 DDI524207:DDL524207 DNE524207:DNH524207 DXA524207:DXD524207 EGW524207:EGZ524207 EQS524207:EQV524207 FAO524207:FAR524207 FKK524207:FKN524207 FUG524207:FUJ524207 GEC524207:GEF524207 GNY524207:GOB524207 GXU524207:GXX524207 HHQ524207:HHT524207 HRM524207:HRP524207 IBI524207:IBL524207 ILE524207:ILH524207 IVA524207:IVD524207 JEW524207:JEZ524207 JOS524207:JOV524207 JYO524207:JYR524207 KIK524207:KIN524207 KSG524207:KSJ524207 LCC524207:LCF524207 LLY524207:LMB524207 LVU524207:LVX524207 MFQ524207:MFT524207 MPM524207:MPP524207 MZI524207:MZL524207 NJE524207:NJH524207 NTA524207:NTD524207 OCW524207:OCZ524207 OMS524207:OMV524207 OWO524207:OWR524207 PGK524207:PGN524207 PQG524207:PQJ524207 QAC524207:QAF524207 QJY524207:QKB524207 QTU524207:QTX524207 RDQ524207:RDT524207 RNM524207:RNP524207 RXI524207:RXL524207 SHE524207:SHH524207 SRA524207:SRD524207 TAW524207:TAZ524207 TKS524207:TKV524207 TUO524207:TUR524207 UEK524207:UEN524207 UOG524207:UOJ524207 UYC524207:UYF524207 VHY524207:VIB524207 VRU524207:VRX524207 WBQ524207:WBT524207 WLM524207:WLP524207 WVI524207:WVL524207 IW589743:IZ589743 SS589743:SV589743 ACO589743:ACR589743 AMK589743:AMN589743 AWG589743:AWJ589743 BGC589743:BGF589743 BPY589743:BQB589743 BZU589743:BZX589743 CJQ589743:CJT589743 CTM589743:CTP589743 DDI589743:DDL589743 DNE589743:DNH589743 DXA589743:DXD589743 EGW589743:EGZ589743 EQS589743:EQV589743 FAO589743:FAR589743 FKK589743:FKN589743 FUG589743:FUJ589743 GEC589743:GEF589743 GNY589743:GOB589743 GXU589743:GXX589743 HHQ589743:HHT589743 HRM589743:HRP589743 IBI589743:IBL589743 ILE589743:ILH589743 IVA589743:IVD589743 JEW589743:JEZ589743 JOS589743:JOV589743 JYO589743:JYR589743 KIK589743:KIN589743 KSG589743:KSJ589743 LCC589743:LCF589743 LLY589743:LMB589743 LVU589743:LVX589743 MFQ589743:MFT589743 MPM589743:MPP589743 MZI589743:MZL589743 NJE589743:NJH589743 NTA589743:NTD589743 OCW589743:OCZ589743 OMS589743:OMV589743 OWO589743:OWR589743 PGK589743:PGN589743 PQG589743:PQJ589743 QAC589743:QAF589743 QJY589743:QKB589743 QTU589743:QTX589743 RDQ589743:RDT589743 RNM589743:RNP589743 RXI589743:RXL589743 SHE589743:SHH589743 SRA589743:SRD589743 TAW589743:TAZ589743 TKS589743:TKV589743 TUO589743:TUR589743 UEK589743:UEN589743 UOG589743:UOJ589743 UYC589743:UYF589743 VHY589743:VIB589743 VRU589743:VRX589743 WBQ589743:WBT589743 WLM589743:WLP589743 WVI589743:WVL589743 IW655279:IZ655279 SS655279:SV655279 ACO655279:ACR655279 AMK655279:AMN655279 AWG655279:AWJ655279 BGC655279:BGF655279 BPY655279:BQB655279 BZU655279:BZX655279 CJQ655279:CJT655279 CTM655279:CTP655279 DDI655279:DDL655279 DNE655279:DNH655279 DXA655279:DXD655279 EGW655279:EGZ655279 EQS655279:EQV655279 FAO655279:FAR655279 FKK655279:FKN655279 FUG655279:FUJ655279 GEC655279:GEF655279 GNY655279:GOB655279 GXU655279:GXX655279 HHQ655279:HHT655279 HRM655279:HRP655279 IBI655279:IBL655279 ILE655279:ILH655279 IVA655279:IVD655279 JEW655279:JEZ655279 JOS655279:JOV655279 JYO655279:JYR655279 KIK655279:KIN655279 KSG655279:KSJ655279 LCC655279:LCF655279 LLY655279:LMB655279 LVU655279:LVX655279 MFQ655279:MFT655279 MPM655279:MPP655279 MZI655279:MZL655279 NJE655279:NJH655279 NTA655279:NTD655279 OCW655279:OCZ655279 OMS655279:OMV655279 OWO655279:OWR655279 PGK655279:PGN655279 PQG655279:PQJ655279 QAC655279:QAF655279 QJY655279:QKB655279 QTU655279:QTX655279 RDQ655279:RDT655279 RNM655279:RNP655279 RXI655279:RXL655279 SHE655279:SHH655279 SRA655279:SRD655279 TAW655279:TAZ655279 TKS655279:TKV655279 TUO655279:TUR655279 UEK655279:UEN655279 UOG655279:UOJ655279 UYC655279:UYF655279 VHY655279:VIB655279 VRU655279:VRX655279 WBQ655279:WBT655279 WLM655279:WLP655279 WVI655279:WVL655279 IW720815:IZ720815 SS720815:SV720815 ACO720815:ACR720815 AMK720815:AMN720815 AWG720815:AWJ720815 BGC720815:BGF720815 BPY720815:BQB720815 BZU720815:BZX720815 CJQ720815:CJT720815 CTM720815:CTP720815 DDI720815:DDL720815 DNE720815:DNH720815 DXA720815:DXD720815 EGW720815:EGZ720815 EQS720815:EQV720815 FAO720815:FAR720815 FKK720815:FKN720815 FUG720815:FUJ720815 GEC720815:GEF720815 GNY720815:GOB720815 GXU720815:GXX720815 HHQ720815:HHT720815 HRM720815:HRP720815 IBI720815:IBL720815 ILE720815:ILH720815 IVA720815:IVD720815 JEW720815:JEZ720815 JOS720815:JOV720815 JYO720815:JYR720815 KIK720815:KIN720815 KSG720815:KSJ720815 LCC720815:LCF720815 LLY720815:LMB720815 LVU720815:LVX720815 MFQ720815:MFT720815 MPM720815:MPP720815 MZI720815:MZL720815 NJE720815:NJH720815 NTA720815:NTD720815 OCW720815:OCZ720815 OMS720815:OMV720815 OWO720815:OWR720815 PGK720815:PGN720815 PQG720815:PQJ720815 QAC720815:QAF720815 QJY720815:QKB720815 QTU720815:QTX720815 RDQ720815:RDT720815 RNM720815:RNP720815 RXI720815:RXL720815 SHE720815:SHH720815 SRA720815:SRD720815 TAW720815:TAZ720815 TKS720815:TKV720815 TUO720815:TUR720815 UEK720815:UEN720815 UOG720815:UOJ720815 UYC720815:UYF720815 VHY720815:VIB720815 VRU720815:VRX720815 WBQ720815:WBT720815 WLM720815:WLP720815 WVI720815:WVL720815 IW786351:IZ786351 SS786351:SV786351 ACO786351:ACR786351 AMK786351:AMN786351 AWG786351:AWJ786351 BGC786351:BGF786351 BPY786351:BQB786351 BZU786351:BZX786351 CJQ786351:CJT786351 CTM786351:CTP786351 DDI786351:DDL786351 DNE786351:DNH786351 DXA786351:DXD786351 EGW786351:EGZ786351 EQS786351:EQV786351 FAO786351:FAR786351 FKK786351:FKN786351 FUG786351:FUJ786351 GEC786351:GEF786351 GNY786351:GOB786351 GXU786351:GXX786351 HHQ786351:HHT786351 HRM786351:HRP786351 IBI786351:IBL786351 ILE786351:ILH786351 IVA786351:IVD786351 JEW786351:JEZ786351 JOS786351:JOV786351 JYO786351:JYR786351 KIK786351:KIN786351 KSG786351:KSJ786351 LCC786351:LCF786351 LLY786351:LMB786351 LVU786351:LVX786351 MFQ786351:MFT786351 MPM786351:MPP786351 MZI786351:MZL786351 NJE786351:NJH786351 NTA786351:NTD786351 OCW786351:OCZ786351 OMS786351:OMV786351 OWO786351:OWR786351 PGK786351:PGN786351 PQG786351:PQJ786351 QAC786351:QAF786351 QJY786351:QKB786351 QTU786351:QTX786351 RDQ786351:RDT786351 RNM786351:RNP786351 RXI786351:RXL786351 SHE786351:SHH786351 SRA786351:SRD786351 TAW786351:TAZ786351 TKS786351:TKV786351 TUO786351:TUR786351 UEK786351:UEN786351 UOG786351:UOJ786351 UYC786351:UYF786351 VHY786351:VIB786351 VRU786351:VRX786351 WBQ786351:WBT786351 WLM786351:WLP786351 WVI786351:WVL786351 IW851887:IZ851887 SS851887:SV851887 ACO851887:ACR851887 AMK851887:AMN851887 AWG851887:AWJ851887 BGC851887:BGF851887 BPY851887:BQB851887 BZU851887:BZX851887 CJQ851887:CJT851887 CTM851887:CTP851887 DDI851887:DDL851887 DNE851887:DNH851887 DXA851887:DXD851887 EGW851887:EGZ851887 EQS851887:EQV851887 FAO851887:FAR851887 FKK851887:FKN851887 FUG851887:FUJ851887 GEC851887:GEF851887 GNY851887:GOB851887 GXU851887:GXX851887 HHQ851887:HHT851887 HRM851887:HRP851887 IBI851887:IBL851887 ILE851887:ILH851887 IVA851887:IVD851887 JEW851887:JEZ851887 JOS851887:JOV851887 JYO851887:JYR851887 KIK851887:KIN851887 KSG851887:KSJ851887 LCC851887:LCF851887 LLY851887:LMB851887 LVU851887:LVX851887 MFQ851887:MFT851887 MPM851887:MPP851887 MZI851887:MZL851887 NJE851887:NJH851887 NTA851887:NTD851887 OCW851887:OCZ851887 OMS851887:OMV851887 OWO851887:OWR851887 PGK851887:PGN851887 PQG851887:PQJ851887 QAC851887:QAF851887 QJY851887:QKB851887 QTU851887:QTX851887 RDQ851887:RDT851887 RNM851887:RNP851887 RXI851887:RXL851887 SHE851887:SHH851887 SRA851887:SRD851887 TAW851887:TAZ851887 TKS851887:TKV851887 TUO851887:TUR851887 UEK851887:UEN851887 UOG851887:UOJ851887 UYC851887:UYF851887 VHY851887:VIB851887 VRU851887:VRX851887 WBQ851887:WBT851887 WLM851887:WLP851887 WVI851887:WVL851887 IW917423:IZ917423 SS917423:SV917423 ACO917423:ACR917423 AMK917423:AMN917423 AWG917423:AWJ917423 BGC917423:BGF917423 BPY917423:BQB917423 BZU917423:BZX917423 CJQ917423:CJT917423 CTM917423:CTP917423 DDI917423:DDL917423 DNE917423:DNH917423 DXA917423:DXD917423 EGW917423:EGZ917423 EQS917423:EQV917423 FAO917423:FAR917423 FKK917423:FKN917423 FUG917423:FUJ917423 GEC917423:GEF917423 GNY917423:GOB917423 GXU917423:GXX917423 HHQ917423:HHT917423 HRM917423:HRP917423 IBI917423:IBL917423 ILE917423:ILH917423 IVA917423:IVD917423 JEW917423:JEZ917423 JOS917423:JOV917423 JYO917423:JYR917423 KIK917423:KIN917423 KSG917423:KSJ917423 LCC917423:LCF917423 LLY917423:LMB917423 LVU917423:LVX917423 MFQ917423:MFT917423 MPM917423:MPP917423 MZI917423:MZL917423 NJE917423:NJH917423 NTA917423:NTD917423 OCW917423:OCZ917423 OMS917423:OMV917423 OWO917423:OWR917423 PGK917423:PGN917423 PQG917423:PQJ917423 QAC917423:QAF917423 QJY917423:QKB917423 QTU917423:QTX917423 RDQ917423:RDT917423 RNM917423:RNP917423 RXI917423:RXL917423 SHE917423:SHH917423 SRA917423:SRD917423 TAW917423:TAZ917423 TKS917423:TKV917423 TUO917423:TUR917423 UEK917423:UEN917423 UOG917423:UOJ917423 UYC917423:UYF917423 VHY917423:VIB917423 VRU917423:VRX917423 WBQ917423:WBT917423 WLM917423:WLP917423 WVI917423:WVL917423 IW982959:IZ982959 SS982959:SV982959 ACO982959:ACR982959 AMK982959:AMN982959 AWG982959:AWJ982959 BGC982959:BGF982959 BPY982959:BQB982959 BZU982959:BZX982959 CJQ982959:CJT982959 CTM982959:CTP982959 DDI982959:DDL982959 DNE982959:DNH982959 DXA982959:DXD982959 EGW982959:EGZ982959 EQS982959:EQV982959 FAO982959:FAR982959 FKK982959:FKN982959 FUG982959:FUJ982959 GEC982959:GEF982959 GNY982959:GOB982959 GXU982959:GXX982959 HHQ982959:HHT982959 HRM982959:HRP982959 IBI982959:IBL982959 ILE982959:ILH982959 IVA982959:IVD982959 JEW982959:JEZ982959 JOS982959:JOV982959 JYO982959:JYR982959 KIK982959:KIN982959 KSG982959:KSJ982959 LCC982959:LCF982959 LLY982959:LMB982959 LVU982959:LVX982959 MFQ982959:MFT982959 MPM982959:MPP982959 MZI982959:MZL982959 NJE982959:NJH982959 NTA982959:NTD982959 OCW982959:OCZ982959 OMS982959:OMV982959 OWO982959:OWR982959 PGK982959:PGN982959 PQG982959:PQJ982959 QAC982959:QAF982959 QJY982959:QKB982959 QTU982959:QTX982959 RDQ982959:RDT982959 RNM982959:RNP982959 RXI982959:RXL982959 SHE982959:SHH982959 SRA982959:SRD982959 TAW982959:TAZ982959 TKS982959:TKV982959 TUO982959:TUR982959 UEK982959:UEN982959 UOG982959:UOJ982959 UYC982959:UYF982959 VHY982959:VIB982959 VRU982959:VRX982959 WBQ982959:WBT982959 WLM982959:WLP982959 WVI982959:WVL982959 IX65456:IZ65484 ST65456:SV65484 ACP65456:ACR65484 AML65456:AMN65484 AWH65456:AWJ65484 BGD65456:BGF65484 BPZ65456:BQB65484 BZV65456:BZX65484 CJR65456:CJT65484 CTN65456:CTP65484 DDJ65456:DDL65484 DNF65456:DNH65484 DXB65456:DXD65484 EGX65456:EGZ65484 EQT65456:EQV65484 FAP65456:FAR65484 FKL65456:FKN65484 FUH65456:FUJ65484 GED65456:GEF65484 GNZ65456:GOB65484 GXV65456:GXX65484 HHR65456:HHT65484 HRN65456:HRP65484 IBJ65456:IBL65484 ILF65456:ILH65484 IVB65456:IVD65484 JEX65456:JEZ65484 JOT65456:JOV65484 JYP65456:JYR65484 KIL65456:KIN65484 KSH65456:KSJ65484 LCD65456:LCF65484 LLZ65456:LMB65484 LVV65456:LVX65484 MFR65456:MFT65484 MPN65456:MPP65484 MZJ65456:MZL65484 NJF65456:NJH65484 NTB65456:NTD65484 OCX65456:OCZ65484 OMT65456:OMV65484 OWP65456:OWR65484 PGL65456:PGN65484 PQH65456:PQJ65484 QAD65456:QAF65484 QJZ65456:QKB65484 QTV65456:QTX65484 RDR65456:RDT65484 RNN65456:RNP65484 RXJ65456:RXL65484 SHF65456:SHH65484 SRB65456:SRD65484 TAX65456:TAZ65484 TKT65456:TKV65484 TUP65456:TUR65484 UEL65456:UEN65484 UOH65456:UOJ65484 UYD65456:UYF65484 VHZ65456:VIB65484 VRV65456:VRX65484 WBR65456:WBT65484 WLN65456:WLP65484 WVJ65456:WVL65484 IX130992:IZ131020 ST130992:SV131020 ACP130992:ACR131020 AML130992:AMN131020 AWH130992:AWJ131020 BGD130992:BGF131020 BPZ130992:BQB131020 BZV130992:BZX131020 CJR130992:CJT131020 CTN130992:CTP131020 DDJ130992:DDL131020 DNF130992:DNH131020 DXB130992:DXD131020 EGX130992:EGZ131020 EQT130992:EQV131020 FAP130992:FAR131020 FKL130992:FKN131020 FUH130992:FUJ131020 GED130992:GEF131020 GNZ130992:GOB131020 GXV130992:GXX131020 HHR130992:HHT131020 HRN130992:HRP131020 IBJ130992:IBL131020 ILF130992:ILH131020 IVB130992:IVD131020 JEX130992:JEZ131020 JOT130992:JOV131020 JYP130992:JYR131020 KIL130992:KIN131020 KSH130992:KSJ131020 LCD130992:LCF131020 LLZ130992:LMB131020 LVV130992:LVX131020 MFR130992:MFT131020 MPN130992:MPP131020 MZJ130992:MZL131020 NJF130992:NJH131020 NTB130992:NTD131020 OCX130992:OCZ131020 OMT130992:OMV131020 OWP130992:OWR131020 PGL130992:PGN131020 PQH130992:PQJ131020 QAD130992:QAF131020 QJZ130992:QKB131020 QTV130992:QTX131020 RDR130992:RDT131020 RNN130992:RNP131020 RXJ130992:RXL131020 SHF130992:SHH131020 SRB130992:SRD131020 TAX130992:TAZ131020 TKT130992:TKV131020 TUP130992:TUR131020 UEL130992:UEN131020 UOH130992:UOJ131020 UYD130992:UYF131020 VHZ130992:VIB131020 VRV130992:VRX131020 WBR130992:WBT131020 WLN130992:WLP131020 WVJ130992:WVL131020 IX196528:IZ196556 ST196528:SV196556 ACP196528:ACR196556 AML196528:AMN196556 AWH196528:AWJ196556 BGD196528:BGF196556 BPZ196528:BQB196556 BZV196528:BZX196556 CJR196528:CJT196556 CTN196528:CTP196556 DDJ196528:DDL196556 DNF196528:DNH196556 DXB196528:DXD196556 EGX196528:EGZ196556 EQT196528:EQV196556 FAP196528:FAR196556 FKL196528:FKN196556 FUH196528:FUJ196556 GED196528:GEF196556 GNZ196528:GOB196556 GXV196528:GXX196556 HHR196528:HHT196556 HRN196528:HRP196556 IBJ196528:IBL196556 ILF196528:ILH196556 IVB196528:IVD196556 JEX196528:JEZ196556 JOT196528:JOV196556 JYP196528:JYR196556 KIL196528:KIN196556 KSH196528:KSJ196556 LCD196528:LCF196556 LLZ196528:LMB196556 LVV196528:LVX196556 MFR196528:MFT196556 MPN196528:MPP196556 MZJ196528:MZL196556 NJF196528:NJH196556 NTB196528:NTD196556 OCX196528:OCZ196556 OMT196528:OMV196556 OWP196528:OWR196556 PGL196528:PGN196556 PQH196528:PQJ196556 QAD196528:QAF196556 QJZ196528:QKB196556 QTV196528:QTX196556 RDR196528:RDT196556 RNN196528:RNP196556 RXJ196528:RXL196556 SHF196528:SHH196556 SRB196528:SRD196556 TAX196528:TAZ196556 TKT196528:TKV196556 TUP196528:TUR196556 UEL196528:UEN196556 UOH196528:UOJ196556 UYD196528:UYF196556 VHZ196528:VIB196556 VRV196528:VRX196556 WBR196528:WBT196556 WLN196528:WLP196556 WVJ196528:WVL196556 IX262064:IZ262092 ST262064:SV262092 ACP262064:ACR262092 AML262064:AMN262092 AWH262064:AWJ262092 BGD262064:BGF262092 BPZ262064:BQB262092 BZV262064:BZX262092 CJR262064:CJT262092 CTN262064:CTP262092 DDJ262064:DDL262092 DNF262064:DNH262092 DXB262064:DXD262092 EGX262064:EGZ262092 EQT262064:EQV262092 FAP262064:FAR262092 FKL262064:FKN262092 FUH262064:FUJ262092 GED262064:GEF262092 GNZ262064:GOB262092 GXV262064:GXX262092 HHR262064:HHT262092 HRN262064:HRP262092 IBJ262064:IBL262092 ILF262064:ILH262092 IVB262064:IVD262092 JEX262064:JEZ262092 JOT262064:JOV262092 JYP262064:JYR262092 KIL262064:KIN262092 KSH262064:KSJ262092 LCD262064:LCF262092 LLZ262064:LMB262092 LVV262064:LVX262092 MFR262064:MFT262092 MPN262064:MPP262092 MZJ262064:MZL262092 NJF262064:NJH262092 NTB262064:NTD262092 OCX262064:OCZ262092 OMT262064:OMV262092 OWP262064:OWR262092 PGL262064:PGN262092 PQH262064:PQJ262092 QAD262064:QAF262092 QJZ262064:QKB262092 QTV262064:QTX262092 RDR262064:RDT262092 RNN262064:RNP262092 RXJ262064:RXL262092 SHF262064:SHH262092 SRB262064:SRD262092 TAX262064:TAZ262092 TKT262064:TKV262092 TUP262064:TUR262092 UEL262064:UEN262092 UOH262064:UOJ262092 UYD262064:UYF262092 VHZ262064:VIB262092 VRV262064:VRX262092 WBR262064:WBT262092 WLN262064:WLP262092 WVJ262064:WVL262092 IX327600:IZ327628 ST327600:SV327628 ACP327600:ACR327628 AML327600:AMN327628 AWH327600:AWJ327628 BGD327600:BGF327628 BPZ327600:BQB327628 BZV327600:BZX327628 CJR327600:CJT327628 CTN327600:CTP327628 DDJ327600:DDL327628 DNF327600:DNH327628 DXB327600:DXD327628 EGX327600:EGZ327628 EQT327600:EQV327628 FAP327600:FAR327628 FKL327600:FKN327628 FUH327600:FUJ327628 GED327600:GEF327628 GNZ327600:GOB327628 GXV327600:GXX327628 HHR327600:HHT327628 HRN327600:HRP327628 IBJ327600:IBL327628 ILF327600:ILH327628 IVB327600:IVD327628 JEX327600:JEZ327628 JOT327600:JOV327628 JYP327600:JYR327628 KIL327600:KIN327628 KSH327600:KSJ327628 LCD327600:LCF327628 LLZ327600:LMB327628 LVV327600:LVX327628 MFR327600:MFT327628 MPN327600:MPP327628 MZJ327600:MZL327628 NJF327600:NJH327628 NTB327600:NTD327628 OCX327600:OCZ327628 OMT327600:OMV327628 OWP327600:OWR327628 PGL327600:PGN327628 PQH327600:PQJ327628 QAD327600:QAF327628 QJZ327600:QKB327628 QTV327600:QTX327628 RDR327600:RDT327628 RNN327600:RNP327628 RXJ327600:RXL327628 SHF327600:SHH327628 SRB327600:SRD327628 TAX327600:TAZ327628 TKT327600:TKV327628 TUP327600:TUR327628 UEL327600:UEN327628 UOH327600:UOJ327628 UYD327600:UYF327628 VHZ327600:VIB327628 VRV327600:VRX327628 WBR327600:WBT327628 WLN327600:WLP327628 WVJ327600:WVL327628 IX393136:IZ393164 ST393136:SV393164 ACP393136:ACR393164 AML393136:AMN393164 AWH393136:AWJ393164 BGD393136:BGF393164 BPZ393136:BQB393164 BZV393136:BZX393164 CJR393136:CJT393164 CTN393136:CTP393164 DDJ393136:DDL393164 DNF393136:DNH393164 DXB393136:DXD393164 EGX393136:EGZ393164 EQT393136:EQV393164 FAP393136:FAR393164 FKL393136:FKN393164 FUH393136:FUJ393164 GED393136:GEF393164 GNZ393136:GOB393164 GXV393136:GXX393164 HHR393136:HHT393164 HRN393136:HRP393164 IBJ393136:IBL393164 ILF393136:ILH393164 IVB393136:IVD393164 JEX393136:JEZ393164 JOT393136:JOV393164 JYP393136:JYR393164 KIL393136:KIN393164 KSH393136:KSJ393164 LCD393136:LCF393164 LLZ393136:LMB393164 LVV393136:LVX393164 MFR393136:MFT393164 MPN393136:MPP393164 MZJ393136:MZL393164 NJF393136:NJH393164 NTB393136:NTD393164 OCX393136:OCZ393164 OMT393136:OMV393164 OWP393136:OWR393164 PGL393136:PGN393164 PQH393136:PQJ393164 QAD393136:QAF393164 QJZ393136:QKB393164 QTV393136:QTX393164 RDR393136:RDT393164 RNN393136:RNP393164 RXJ393136:RXL393164 SHF393136:SHH393164 SRB393136:SRD393164 TAX393136:TAZ393164 TKT393136:TKV393164 TUP393136:TUR393164 UEL393136:UEN393164 UOH393136:UOJ393164 UYD393136:UYF393164 VHZ393136:VIB393164 VRV393136:VRX393164 WBR393136:WBT393164 WLN393136:WLP393164 WVJ393136:WVL393164 IX458672:IZ458700 ST458672:SV458700 ACP458672:ACR458700 AML458672:AMN458700 AWH458672:AWJ458700 BGD458672:BGF458700 BPZ458672:BQB458700 BZV458672:BZX458700 CJR458672:CJT458700 CTN458672:CTP458700 DDJ458672:DDL458700 DNF458672:DNH458700 DXB458672:DXD458700 EGX458672:EGZ458700 EQT458672:EQV458700 FAP458672:FAR458700 FKL458672:FKN458700 FUH458672:FUJ458700 GED458672:GEF458700 GNZ458672:GOB458700 GXV458672:GXX458700 HHR458672:HHT458700 HRN458672:HRP458700 IBJ458672:IBL458700 ILF458672:ILH458700 IVB458672:IVD458700 JEX458672:JEZ458700 JOT458672:JOV458700 JYP458672:JYR458700 KIL458672:KIN458700 KSH458672:KSJ458700 LCD458672:LCF458700 LLZ458672:LMB458700 LVV458672:LVX458700 MFR458672:MFT458700 MPN458672:MPP458700 MZJ458672:MZL458700 NJF458672:NJH458700 NTB458672:NTD458700 OCX458672:OCZ458700 OMT458672:OMV458700 OWP458672:OWR458700 PGL458672:PGN458700 PQH458672:PQJ458700 QAD458672:QAF458700 QJZ458672:QKB458700 QTV458672:QTX458700 RDR458672:RDT458700 RNN458672:RNP458700 RXJ458672:RXL458700 SHF458672:SHH458700 SRB458672:SRD458700 TAX458672:TAZ458700 TKT458672:TKV458700 TUP458672:TUR458700 UEL458672:UEN458700 UOH458672:UOJ458700 UYD458672:UYF458700 VHZ458672:VIB458700 VRV458672:VRX458700 WBR458672:WBT458700 WLN458672:WLP458700 WVJ458672:WVL458700 IX524208:IZ524236 ST524208:SV524236 ACP524208:ACR524236 AML524208:AMN524236 AWH524208:AWJ524236 BGD524208:BGF524236 BPZ524208:BQB524236 BZV524208:BZX524236 CJR524208:CJT524236 CTN524208:CTP524236 DDJ524208:DDL524236 DNF524208:DNH524236 DXB524208:DXD524236 EGX524208:EGZ524236 EQT524208:EQV524236 FAP524208:FAR524236 FKL524208:FKN524236 FUH524208:FUJ524236 GED524208:GEF524236 GNZ524208:GOB524236 GXV524208:GXX524236 HHR524208:HHT524236 HRN524208:HRP524236 IBJ524208:IBL524236 ILF524208:ILH524236 IVB524208:IVD524236 JEX524208:JEZ524236 JOT524208:JOV524236 JYP524208:JYR524236 KIL524208:KIN524236 KSH524208:KSJ524236 LCD524208:LCF524236 LLZ524208:LMB524236 LVV524208:LVX524236 MFR524208:MFT524236 MPN524208:MPP524236 MZJ524208:MZL524236 NJF524208:NJH524236 NTB524208:NTD524236 OCX524208:OCZ524236 OMT524208:OMV524236 OWP524208:OWR524236 PGL524208:PGN524236 PQH524208:PQJ524236 QAD524208:QAF524236 QJZ524208:QKB524236 QTV524208:QTX524236 RDR524208:RDT524236 RNN524208:RNP524236 RXJ524208:RXL524236 SHF524208:SHH524236 SRB524208:SRD524236 TAX524208:TAZ524236 TKT524208:TKV524236 TUP524208:TUR524236 UEL524208:UEN524236 UOH524208:UOJ524236 UYD524208:UYF524236 VHZ524208:VIB524236 VRV524208:VRX524236 WBR524208:WBT524236 WLN524208:WLP524236 WVJ524208:WVL524236 IX589744:IZ589772 ST589744:SV589772 ACP589744:ACR589772 AML589744:AMN589772 AWH589744:AWJ589772 BGD589744:BGF589772 BPZ589744:BQB589772 BZV589744:BZX589772 CJR589744:CJT589772 CTN589744:CTP589772 DDJ589744:DDL589772 DNF589744:DNH589772 DXB589744:DXD589772 EGX589744:EGZ589772 EQT589744:EQV589772 FAP589744:FAR589772 FKL589744:FKN589772 FUH589744:FUJ589772 GED589744:GEF589772 GNZ589744:GOB589772 GXV589744:GXX589772 HHR589744:HHT589772 HRN589744:HRP589772 IBJ589744:IBL589772 ILF589744:ILH589772 IVB589744:IVD589772 JEX589744:JEZ589772 JOT589744:JOV589772 JYP589744:JYR589772 KIL589744:KIN589772 KSH589744:KSJ589772 LCD589744:LCF589772 LLZ589744:LMB589772 LVV589744:LVX589772 MFR589744:MFT589772 MPN589744:MPP589772 MZJ589744:MZL589772 NJF589744:NJH589772 NTB589744:NTD589772 OCX589744:OCZ589772 OMT589744:OMV589772 OWP589744:OWR589772 PGL589744:PGN589772 PQH589744:PQJ589772 QAD589744:QAF589772 QJZ589744:QKB589772 QTV589744:QTX589772 RDR589744:RDT589772 RNN589744:RNP589772 RXJ589744:RXL589772 SHF589744:SHH589772 SRB589744:SRD589772 TAX589744:TAZ589772 TKT589744:TKV589772 TUP589744:TUR589772 UEL589744:UEN589772 UOH589744:UOJ589772 UYD589744:UYF589772 VHZ589744:VIB589772 VRV589744:VRX589772 WBR589744:WBT589772 WLN589744:WLP589772 WVJ589744:WVL589772 IX655280:IZ655308 ST655280:SV655308 ACP655280:ACR655308 AML655280:AMN655308 AWH655280:AWJ655308 BGD655280:BGF655308 BPZ655280:BQB655308 BZV655280:BZX655308 CJR655280:CJT655308 CTN655280:CTP655308 DDJ655280:DDL655308 DNF655280:DNH655308 DXB655280:DXD655308 EGX655280:EGZ655308 EQT655280:EQV655308 FAP655280:FAR655308 FKL655280:FKN655308 FUH655280:FUJ655308 GED655280:GEF655308 GNZ655280:GOB655308 GXV655280:GXX655308 HHR655280:HHT655308 HRN655280:HRP655308 IBJ655280:IBL655308 ILF655280:ILH655308 IVB655280:IVD655308 JEX655280:JEZ655308 JOT655280:JOV655308 JYP655280:JYR655308 KIL655280:KIN655308 KSH655280:KSJ655308 LCD655280:LCF655308 LLZ655280:LMB655308 LVV655280:LVX655308 MFR655280:MFT655308 MPN655280:MPP655308 MZJ655280:MZL655308 NJF655280:NJH655308 NTB655280:NTD655308 OCX655280:OCZ655308 OMT655280:OMV655308 OWP655280:OWR655308 PGL655280:PGN655308 PQH655280:PQJ655308 QAD655280:QAF655308 QJZ655280:QKB655308 QTV655280:QTX655308 RDR655280:RDT655308 RNN655280:RNP655308 RXJ655280:RXL655308 SHF655280:SHH655308 SRB655280:SRD655308 TAX655280:TAZ655308 TKT655280:TKV655308 TUP655280:TUR655308 UEL655280:UEN655308 UOH655280:UOJ655308 UYD655280:UYF655308 VHZ655280:VIB655308 VRV655280:VRX655308 WBR655280:WBT655308 WLN655280:WLP655308 WVJ655280:WVL655308 IX720816:IZ720844 ST720816:SV720844 ACP720816:ACR720844 AML720816:AMN720844 AWH720816:AWJ720844 BGD720816:BGF720844 BPZ720816:BQB720844 BZV720816:BZX720844 CJR720816:CJT720844 CTN720816:CTP720844 DDJ720816:DDL720844 DNF720816:DNH720844 DXB720816:DXD720844 EGX720816:EGZ720844 EQT720816:EQV720844 FAP720816:FAR720844 FKL720816:FKN720844 FUH720816:FUJ720844 GED720816:GEF720844 GNZ720816:GOB720844 GXV720816:GXX720844 HHR720816:HHT720844 HRN720816:HRP720844 IBJ720816:IBL720844 ILF720816:ILH720844 IVB720816:IVD720844 JEX720816:JEZ720844 JOT720816:JOV720844 JYP720816:JYR720844 KIL720816:KIN720844 KSH720816:KSJ720844 LCD720816:LCF720844 LLZ720816:LMB720844 LVV720816:LVX720844 MFR720816:MFT720844 MPN720816:MPP720844 MZJ720816:MZL720844 NJF720816:NJH720844 NTB720816:NTD720844 OCX720816:OCZ720844 OMT720816:OMV720844 OWP720816:OWR720844 PGL720816:PGN720844 PQH720816:PQJ720844 QAD720816:QAF720844 QJZ720816:QKB720844 QTV720816:QTX720844 RDR720816:RDT720844 RNN720816:RNP720844 RXJ720816:RXL720844 SHF720816:SHH720844 SRB720816:SRD720844 TAX720816:TAZ720844 TKT720816:TKV720844 TUP720816:TUR720844 UEL720816:UEN720844 UOH720816:UOJ720844 UYD720816:UYF720844 VHZ720816:VIB720844 VRV720816:VRX720844 WBR720816:WBT720844 WLN720816:WLP720844 WVJ720816:WVL720844 IX786352:IZ786380 ST786352:SV786380 ACP786352:ACR786380 AML786352:AMN786380 AWH786352:AWJ786380 BGD786352:BGF786380 BPZ786352:BQB786380 BZV786352:BZX786380 CJR786352:CJT786380 CTN786352:CTP786380 DDJ786352:DDL786380 DNF786352:DNH786380 DXB786352:DXD786380 EGX786352:EGZ786380 EQT786352:EQV786380 FAP786352:FAR786380 FKL786352:FKN786380 FUH786352:FUJ786380 GED786352:GEF786380 GNZ786352:GOB786380 GXV786352:GXX786380 HHR786352:HHT786380 HRN786352:HRP786380 IBJ786352:IBL786380 ILF786352:ILH786380 IVB786352:IVD786380 JEX786352:JEZ786380 JOT786352:JOV786380 JYP786352:JYR786380 KIL786352:KIN786380 KSH786352:KSJ786380 LCD786352:LCF786380 LLZ786352:LMB786380 LVV786352:LVX786380 MFR786352:MFT786380 MPN786352:MPP786380 MZJ786352:MZL786380 NJF786352:NJH786380 NTB786352:NTD786380 OCX786352:OCZ786380 OMT786352:OMV786380 OWP786352:OWR786380 PGL786352:PGN786380 PQH786352:PQJ786380 QAD786352:QAF786380 QJZ786352:QKB786380 QTV786352:QTX786380 RDR786352:RDT786380 RNN786352:RNP786380 RXJ786352:RXL786380 SHF786352:SHH786380 SRB786352:SRD786380 TAX786352:TAZ786380 TKT786352:TKV786380 TUP786352:TUR786380 UEL786352:UEN786380 UOH786352:UOJ786380 UYD786352:UYF786380 VHZ786352:VIB786380 VRV786352:VRX786380 WBR786352:WBT786380 WLN786352:WLP786380 WVJ786352:WVL786380 IX851888:IZ851916 ST851888:SV851916 ACP851888:ACR851916 AML851888:AMN851916 AWH851888:AWJ851916 BGD851888:BGF851916 BPZ851888:BQB851916 BZV851888:BZX851916 CJR851888:CJT851916 CTN851888:CTP851916 DDJ851888:DDL851916 DNF851888:DNH851916 DXB851888:DXD851916 EGX851888:EGZ851916 EQT851888:EQV851916 FAP851888:FAR851916 FKL851888:FKN851916 FUH851888:FUJ851916 GED851888:GEF851916 GNZ851888:GOB851916 GXV851888:GXX851916 HHR851888:HHT851916 HRN851888:HRP851916 IBJ851888:IBL851916 ILF851888:ILH851916 IVB851888:IVD851916 JEX851888:JEZ851916 JOT851888:JOV851916 JYP851888:JYR851916 KIL851888:KIN851916 KSH851888:KSJ851916 LCD851888:LCF851916 LLZ851888:LMB851916 LVV851888:LVX851916 MFR851888:MFT851916 MPN851888:MPP851916 MZJ851888:MZL851916 NJF851888:NJH851916 NTB851888:NTD851916 OCX851888:OCZ851916 OMT851888:OMV851916 OWP851888:OWR851916 PGL851888:PGN851916 PQH851888:PQJ851916 QAD851888:QAF851916 QJZ851888:QKB851916 QTV851888:QTX851916 RDR851888:RDT851916 RNN851888:RNP851916 RXJ851888:RXL851916 SHF851888:SHH851916 SRB851888:SRD851916 TAX851888:TAZ851916 TKT851888:TKV851916 TUP851888:TUR851916 UEL851888:UEN851916 UOH851888:UOJ851916 UYD851888:UYF851916 VHZ851888:VIB851916 VRV851888:VRX851916 WBR851888:WBT851916 WLN851888:WLP851916 WVJ851888:WVL851916 IX917424:IZ917452 ST917424:SV917452 ACP917424:ACR917452 AML917424:AMN917452 AWH917424:AWJ917452 BGD917424:BGF917452 BPZ917424:BQB917452 BZV917424:BZX917452 CJR917424:CJT917452 CTN917424:CTP917452 DDJ917424:DDL917452 DNF917424:DNH917452 DXB917424:DXD917452 EGX917424:EGZ917452 EQT917424:EQV917452 FAP917424:FAR917452 FKL917424:FKN917452 FUH917424:FUJ917452 GED917424:GEF917452 GNZ917424:GOB917452 GXV917424:GXX917452 HHR917424:HHT917452 HRN917424:HRP917452 IBJ917424:IBL917452 ILF917424:ILH917452 IVB917424:IVD917452 JEX917424:JEZ917452 JOT917424:JOV917452 JYP917424:JYR917452 KIL917424:KIN917452 KSH917424:KSJ917452 LCD917424:LCF917452 LLZ917424:LMB917452 LVV917424:LVX917452 MFR917424:MFT917452 MPN917424:MPP917452 MZJ917424:MZL917452 NJF917424:NJH917452 NTB917424:NTD917452 OCX917424:OCZ917452 OMT917424:OMV917452 OWP917424:OWR917452 PGL917424:PGN917452 PQH917424:PQJ917452 QAD917424:QAF917452 QJZ917424:QKB917452 QTV917424:QTX917452 RDR917424:RDT917452 RNN917424:RNP917452 RXJ917424:RXL917452 SHF917424:SHH917452 SRB917424:SRD917452 TAX917424:TAZ917452 TKT917424:TKV917452 TUP917424:TUR917452 UEL917424:UEN917452 UOH917424:UOJ917452 UYD917424:UYF917452 VHZ917424:VIB917452 VRV917424:VRX917452 WBR917424:WBT917452 WLN917424:WLP917452 WVJ917424:WVL917452 IX982960:IZ982988 ST982960:SV982988 ACP982960:ACR982988 AML982960:AMN982988 AWH982960:AWJ982988 BGD982960:BGF982988 BPZ982960:BQB982988 BZV982960:BZX982988 CJR982960:CJT982988 CTN982960:CTP982988 DDJ982960:DDL982988 DNF982960:DNH982988 DXB982960:DXD982988 EGX982960:EGZ982988 EQT982960:EQV982988 FAP982960:FAR982988 FKL982960:FKN982988 FUH982960:FUJ982988 GED982960:GEF982988 GNZ982960:GOB982988 GXV982960:GXX982988 HHR982960:HHT982988 HRN982960:HRP982988 IBJ982960:IBL982988 ILF982960:ILH982988 IVB982960:IVD982988 JEX982960:JEZ982988 JOT982960:JOV982988 JYP982960:JYR982988 KIL982960:KIN982988 KSH982960:KSJ982988 LCD982960:LCF982988 LLZ982960:LMB982988 LVV982960:LVX982988 MFR982960:MFT982988 MPN982960:MPP982988 MZJ982960:MZL982988 NJF982960:NJH982988 NTB982960:NTD982988 OCX982960:OCZ982988 OMT982960:OMV982988 OWP982960:OWR982988 PGL982960:PGN982988 PQH982960:PQJ982988 QAD982960:QAF982988 QJZ982960:QKB982988 QTV982960:QTX982988 RDR982960:RDT982988 RNN982960:RNP982988 RXJ982960:RXL982988 SHF982960:SHH982988 SRB982960:SRD982988 TAX982960:TAZ982988 TKT982960:TKV982988 TUP982960:TUR982988 UEL982960:UEN982988 UOH982960:UOJ982988 UYD982960:UYF982988 VHZ982960:VIB982988 VRV982960:VRX982988 WBR982960:WBT982988 WLN982960:WLP982988 WVJ982960:WVL982988 WVI5:WVL5 WLM5:WLP5 WBQ5:WBT5 VRU5:VRX5 VHY5:VIB5 UYC5:UYF5 UOG5:UOJ5 UEK5:UEN5 TUO5:TUR5 TKS5:TKV5 TAW5:TAZ5 SRA5:SRD5 SHE5:SHH5 RXI5:RXL5 RNM5:RNP5 RDQ5:RDT5 QTU5:QTX5 QJY5:QKB5 QAC5:QAF5 PQG5:PQJ5 PGK5:PGN5 OWO5:OWR5 OMS5:OMV5 OCW5:OCZ5 NTA5:NTD5 NJE5:NJH5 MZI5:MZL5 MPM5:MPP5 MFQ5:MFT5 LVU5:LVX5 LLY5:LMB5 LCC5:LCF5 KSG5:KSJ5 KIK5:KIN5 JYO5:JYR5 JOS5:JOV5 JEW5:JEZ5 IVA5:IVD5 ILE5:ILH5 IBI5:IBL5 HRM5:HRP5 HHQ5:HHT5 GXU5:GXX5 GNY5:GOB5 GEC5:GEF5 FUG5:FUJ5 FKK5:FKN5 FAO5:FAR5 EQS5:EQV5 EGW5:EGZ5 DXA5:DXD5 DNE5:DNH5 DDI5:DDL5 CTM5:CTP5 CJQ5:CJT5 BZU5:BZX5 BPY5:BQB5 BGC5:BGF5 AWG5:AWJ5 AMK5:AMN5 ACO5:ACR5 SS5:SV5 IW5:IZ5 B5:E5"/>
    <dataValidation type="whole" operator="greaterThanOrEqual" allowBlank="1" showInputMessage="1" showErrorMessage="1" errorTitle="과정관리 번호 입력" error="정수만 입력될 수 있습니다._x000a_ " sqref="B65456:B65484 B982960:B982988 B917424:B917452 B851888:B851916 B786352:B786380 B720816:B720844 B655280:B655308 B589744:B589772 B524208:B524236 B458672:B458700 B393136:B393164 B327600:B327628 B262064:B262092 B196528:B196556 B130992:B131020 IW65456:IW65484 SS65456:SS65484 ACO65456:ACO65484 AMK65456:AMK65484 AWG65456:AWG65484 BGC65456:BGC65484 BPY65456:BPY65484 BZU65456:BZU65484 CJQ65456:CJQ65484 CTM65456:CTM65484 DDI65456:DDI65484 DNE65456:DNE65484 DXA65456:DXA65484 EGW65456:EGW65484 EQS65456:EQS65484 FAO65456:FAO65484 FKK65456:FKK65484 FUG65456:FUG65484 GEC65456:GEC65484 GNY65456:GNY65484 GXU65456:GXU65484 HHQ65456:HHQ65484 HRM65456:HRM65484 IBI65456:IBI65484 ILE65456:ILE65484 IVA65456:IVA65484 JEW65456:JEW65484 JOS65456:JOS65484 JYO65456:JYO65484 KIK65456:KIK65484 KSG65456:KSG65484 LCC65456:LCC65484 LLY65456:LLY65484 LVU65456:LVU65484 MFQ65456:MFQ65484 MPM65456:MPM65484 MZI65456:MZI65484 NJE65456:NJE65484 NTA65456:NTA65484 OCW65456:OCW65484 OMS65456:OMS65484 OWO65456:OWO65484 PGK65456:PGK65484 PQG65456:PQG65484 QAC65456:QAC65484 QJY65456:QJY65484 QTU65456:QTU65484 RDQ65456:RDQ65484 RNM65456:RNM65484 RXI65456:RXI65484 SHE65456:SHE65484 SRA65456:SRA65484 TAW65456:TAW65484 TKS65456:TKS65484 TUO65456:TUO65484 UEK65456:UEK65484 UOG65456:UOG65484 UYC65456:UYC65484 VHY65456:VHY65484 VRU65456:VRU65484 WBQ65456:WBQ65484 WLM65456:WLM65484 WVI65456:WVI65484 IW130992:IW131020 SS130992:SS131020 ACO130992:ACO131020 AMK130992:AMK131020 AWG130992:AWG131020 BGC130992:BGC131020 BPY130992:BPY131020 BZU130992:BZU131020 CJQ130992:CJQ131020 CTM130992:CTM131020 DDI130992:DDI131020 DNE130992:DNE131020 DXA130992:DXA131020 EGW130992:EGW131020 EQS130992:EQS131020 FAO130992:FAO131020 FKK130992:FKK131020 FUG130992:FUG131020 GEC130992:GEC131020 GNY130992:GNY131020 GXU130992:GXU131020 HHQ130992:HHQ131020 HRM130992:HRM131020 IBI130992:IBI131020 ILE130992:ILE131020 IVA130992:IVA131020 JEW130992:JEW131020 JOS130992:JOS131020 JYO130992:JYO131020 KIK130992:KIK131020 KSG130992:KSG131020 LCC130992:LCC131020 LLY130992:LLY131020 LVU130992:LVU131020 MFQ130992:MFQ131020 MPM130992:MPM131020 MZI130992:MZI131020 NJE130992:NJE131020 NTA130992:NTA131020 OCW130992:OCW131020 OMS130992:OMS131020 OWO130992:OWO131020 PGK130992:PGK131020 PQG130992:PQG131020 QAC130992:QAC131020 QJY130992:QJY131020 QTU130992:QTU131020 RDQ130992:RDQ131020 RNM130992:RNM131020 RXI130992:RXI131020 SHE130992:SHE131020 SRA130992:SRA131020 TAW130992:TAW131020 TKS130992:TKS131020 TUO130992:TUO131020 UEK130992:UEK131020 UOG130992:UOG131020 UYC130992:UYC131020 VHY130992:VHY131020 VRU130992:VRU131020 WBQ130992:WBQ131020 WLM130992:WLM131020 WVI130992:WVI131020 IW196528:IW196556 SS196528:SS196556 ACO196528:ACO196556 AMK196528:AMK196556 AWG196528:AWG196556 BGC196528:BGC196556 BPY196528:BPY196556 BZU196528:BZU196556 CJQ196528:CJQ196556 CTM196528:CTM196556 DDI196528:DDI196556 DNE196528:DNE196556 DXA196528:DXA196556 EGW196528:EGW196556 EQS196528:EQS196556 FAO196528:FAO196556 FKK196528:FKK196556 FUG196528:FUG196556 GEC196528:GEC196556 GNY196528:GNY196556 GXU196528:GXU196556 HHQ196528:HHQ196556 HRM196528:HRM196556 IBI196528:IBI196556 ILE196528:ILE196556 IVA196528:IVA196556 JEW196528:JEW196556 JOS196528:JOS196556 JYO196528:JYO196556 KIK196528:KIK196556 KSG196528:KSG196556 LCC196528:LCC196556 LLY196528:LLY196556 LVU196528:LVU196556 MFQ196528:MFQ196556 MPM196528:MPM196556 MZI196528:MZI196556 NJE196528:NJE196556 NTA196528:NTA196556 OCW196528:OCW196556 OMS196528:OMS196556 OWO196528:OWO196556 PGK196528:PGK196556 PQG196528:PQG196556 QAC196528:QAC196556 QJY196528:QJY196556 QTU196528:QTU196556 RDQ196528:RDQ196556 RNM196528:RNM196556 RXI196528:RXI196556 SHE196528:SHE196556 SRA196528:SRA196556 TAW196528:TAW196556 TKS196528:TKS196556 TUO196528:TUO196556 UEK196528:UEK196556 UOG196528:UOG196556 UYC196528:UYC196556 VHY196528:VHY196556 VRU196528:VRU196556 WBQ196528:WBQ196556 WLM196528:WLM196556 WVI196528:WVI196556 IW262064:IW262092 SS262064:SS262092 ACO262064:ACO262092 AMK262064:AMK262092 AWG262064:AWG262092 BGC262064:BGC262092 BPY262064:BPY262092 BZU262064:BZU262092 CJQ262064:CJQ262092 CTM262064:CTM262092 DDI262064:DDI262092 DNE262064:DNE262092 DXA262064:DXA262092 EGW262064:EGW262092 EQS262064:EQS262092 FAO262064:FAO262092 FKK262064:FKK262092 FUG262064:FUG262092 GEC262064:GEC262092 GNY262064:GNY262092 GXU262064:GXU262092 HHQ262064:HHQ262092 HRM262064:HRM262092 IBI262064:IBI262092 ILE262064:ILE262092 IVA262064:IVA262092 JEW262064:JEW262092 JOS262064:JOS262092 JYO262064:JYO262092 KIK262064:KIK262092 KSG262064:KSG262092 LCC262064:LCC262092 LLY262064:LLY262092 LVU262064:LVU262092 MFQ262064:MFQ262092 MPM262064:MPM262092 MZI262064:MZI262092 NJE262064:NJE262092 NTA262064:NTA262092 OCW262064:OCW262092 OMS262064:OMS262092 OWO262064:OWO262092 PGK262064:PGK262092 PQG262064:PQG262092 QAC262064:QAC262092 QJY262064:QJY262092 QTU262064:QTU262092 RDQ262064:RDQ262092 RNM262064:RNM262092 RXI262064:RXI262092 SHE262064:SHE262092 SRA262064:SRA262092 TAW262064:TAW262092 TKS262064:TKS262092 TUO262064:TUO262092 UEK262064:UEK262092 UOG262064:UOG262092 UYC262064:UYC262092 VHY262064:VHY262092 VRU262064:VRU262092 WBQ262064:WBQ262092 WLM262064:WLM262092 WVI262064:WVI262092 IW327600:IW327628 SS327600:SS327628 ACO327600:ACO327628 AMK327600:AMK327628 AWG327600:AWG327628 BGC327600:BGC327628 BPY327600:BPY327628 BZU327600:BZU327628 CJQ327600:CJQ327628 CTM327600:CTM327628 DDI327600:DDI327628 DNE327600:DNE327628 DXA327600:DXA327628 EGW327600:EGW327628 EQS327600:EQS327628 FAO327600:FAO327628 FKK327600:FKK327628 FUG327600:FUG327628 GEC327600:GEC327628 GNY327600:GNY327628 GXU327600:GXU327628 HHQ327600:HHQ327628 HRM327600:HRM327628 IBI327600:IBI327628 ILE327600:ILE327628 IVA327600:IVA327628 JEW327600:JEW327628 JOS327600:JOS327628 JYO327600:JYO327628 KIK327600:KIK327628 KSG327600:KSG327628 LCC327600:LCC327628 LLY327600:LLY327628 LVU327600:LVU327628 MFQ327600:MFQ327628 MPM327600:MPM327628 MZI327600:MZI327628 NJE327600:NJE327628 NTA327600:NTA327628 OCW327600:OCW327628 OMS327600:OMS327628 OWO327600:OWO327628 PGK327600:PGK327628 PQG327600:PQG327628 QAC327600:QAC327628 QJY327600:QJY327628 QTU327600:QTU327628 RDQ327600:RDQ327628 RNM327600:RNM327628 RXI327600:RXI327628 SHE327600:SHE327628 SRA327600:SRA327628 TAW327600:TAW327628 TKS327600:TKS327628 TUO327600:TUO327628 UEK327600:UEK327628 UOG327600:UOG327628 UYC327600:UYC327628 VHY327600:VHY327628 VRU327600:VRU327628 WBQ327600:WBQ327628 WLM327600:WLM327628 WVI327600:WVI327628 IW393136:IW393164 SS393136:SS393164 ACO393136:ACO393164 AMK393136:AMK393164 AWG393136:AWG393164 BGC393136:BGC393164 BPY393136:BPY393164 BZU393136:BZU393164 CJQ393136:CJQ393164 CTM393136:CTM393164 DDI393136:DDI393164 DNE393136:DNE393164 DXA393136:DXA393164 EGW393136:EGW393164 EQS393136:EQS393164 FAO393136:FAO393164 FKK393136:FKK393164 FUG393136:FUG393164 GEC393136:GEC393164 GNY393136:GNY393164 GXU393136:GXU393164 HHQ393136:HHQ393164 HRM393136:HRM393164 IBI393136:IBI393164 ILE393136:ILE393164 IVA393136:IVA393164 JEW393136:JEW393164 JOS393136:JOS393164 JYO393136:JYO393164 KIK393136:KIK393164 KSG393136:KSG393164 LCC393136:LCC393164 LLY393136:LLY393164 LVU393136:LVU393164 MFQ393136:MFQ393164 MPM393136:MPM393164 MZI393136:MZI393164 NJE393136:NJE393164 NTA393136:NTA393164 OCW393136:OCW393164 OMS393136:OMS393164 OWO393136:OWO393164 PGK393136:PGK393164 PQG393136:PQG393164 QAC393136:QAC393164 QJY393136:QJY393164 QTU393136:QTU393164 RDQ393136:RDQ393164 RNM393136:RNM393164 RXI393136:RXI393164 SHE393136:SHE393164 SRA393136:SRA393164 TAW393136:TAW393164 TKS393136:TKS393164 TUO393136:TUO393164 UEK393136:UEK393164 UOG393136:UOG393164 UYC393136:UYC393164 VHY393136:VHY393164 VRU393136:VRU393164 WBQ393136:WBQ393164 WLM393136:WLM393164 WVI393136:WVI393164 IW458672:IW458700 SS458672:SS458700 ACO458672:ACO458700 AMK458672:AMK458700 AWG458672:AWG458700 BGC458672:BGC458700 BPY458672:BPY458700 BZU458672:BZU458700 CJQ458672:CJQ458700 CTM458672:CTM458700 DDI458672:DDI458700 DNE458672:DNE458700 DXA458672:DXA458700 EGW458672:EGW458700 EQS458672:EQS458700 FAO458672:FAO458700 FKK458672:FKK458700 FUG458672:FUG458700 GEC458672:GEC458700 GNY458672:GNY458700 GXU458672:GXU458700 HHQ458672:HHQ458700 HRM458672:HRM458700 IBI458672:IBI458700 ILE458672:ILE458700 IVA458672:IVA458700 JEW458672:JEW458700 JOS458672:JOS458700 JYO458672:JYO458700 KIK458672:KIK458700 KSG458672:KSG458700 LCC458672:LCC458700 LLY458672:LLY458700 LVU458672:LVU458700 MFQ458672:MFQ458700 MPM458672:MPM458700 MZI458672:MZI458700 NJE458672:NJE458700 NTA458672:NTA458700 OCW458672:OCW458700 OMS458672:OMS458700 OWO458672:OWO458700 PGK458672:PGK458700 PQG458672:PQG458700 QAC458672:QAC458700 QJY458672:QJY458700 QTU458672:QTU458700 RDQ458672:RDQ458700 RNM458672:RNM458700 RXI458672:RXI458700 SHE458672:SHE458700 SRA458672:SRA458700 TAW458672:TAW458700 TKS458672:TKS458700 TUO458672:TUO458700 UEK458672:UEK458700 UOG458672:UOG458700 UYC458672:UYC458700 VHY458672:VHY458700 VRU458672:VRU458700 WBQ458672:WBQ458700 WLM458672:WLM458700 WVI458672:WVI458700 IW524208:IW524236 SS524208:SS524236 ACO524208:ACO524236 AMK524208:AMK524236 AWG524208:AWG524236 BGC524208:BGC524236 BPY524208:BPY524236 BZU524208:BZU524236 CJQ524208:CJQ524236 CTM524208:CTM524236 DDI524208:DDI524236 DNE524208:DNE524236 DXA524208:DXA524236 EGW524208:EGW524236 EQS524208:EQS524236 FAO524208:FAO524236 FKK524208:FKK524236 FUG524208:FUG524236 GEC524208:GEC524236 GNY524208:GNY524236 GXU524208:GXU524236 HHQ524208:HHQ524236 HRM524208:HRM524236 IBI524208:IBI524236 ILE524208:ILE524236 IVA524208:IVA524236 JEW524208:JEW524236 JOS524208:JOS524236 JYO524208:JYO524236 KIK524208:KIK524236 KSG524208:KSG524236 LCC524208:LCC524236 LLY524208:LLY524236 LVU524208:LVU524236 MFQ524208:MFQ524236 MPM524208:MPM524236 MZI524208:MZI524236 NJE524208:NJE524236 NTA524208:NTA524236 OCW524208:OCW524236 OMS524208:OMS524236 OWO524208:OWO524236 PGK524208:PGK524236 PQG524208:PQG524236 QAC524208:QAC524236 QJY524208:QJY524236 QTU524208:QTU524236 RDQ524208:RDQ524236 RNM524208:RNM524236 RXI524208:RXI524236 SHE524208:SHE524236 SRA524208:SRA524236 TAW524208:TAW524236 TKS524208:TKS524236 TUO524208:TUO524236 UEK524208:UEK524236 UOG524208:UOG524236 UYC524208:UYC524236 VHY524208:VHY524236 VRU524208:VRU524236 WBQ524208:WBQ524236 WLM524208:WLM524236 WVI524208:WVI524236 IW589744:IW589772 SS589744:SS589772 ACO589744:ACO589772 AMK589744:AMK589772 AWG589744:AWG589772 BGC589744:BGC589772 BPY589744:BPY589772 BZU589744:BZU589772 CJQ589744:CJQ589772 CTM589744:CTM589772 DDI589744:DDI589772 DNE589744:DNE589772 DXA589744:DXA589772 EGW589744:EGW589772 EQS589744:EQS589772 FAO589744:FAO589772 FKK589744:FKK589772 FUG589744:FUG589772 GEC589744:GEC589772 GNY589744:GNY589772 GXU589744:GXU589772 HHQ589744:HHQ589772 HRM589744:HRM589772 IBI589744:IBI589772 ILE589744:ILE589772 IVA589744:IVA589772 JEW589744:JEW589772 JOS589744:JOS589772 JYO589744:JYO589772 KIK589744:KIK589772 KSG589744:KSG589772 LCC589744:LCC589772 LLY589744:LLY589772 LVU589744:LVU589772 MFQ589744:MFQ589772 MPM589744:MPM589772 MZI589744:MZI589772 NJE589744:NJE589772 NTA589744:NTA589772 OCW589744:OCW589772 OMS589744:OMS589772 OWO589744:OWO589772 PGK589744:PGK589772 PQG589744:PQG589772 QAC589744:QAC589772 QJY589744:QJY589772 QTU589744:QTU589772 RDQ589744:RDQ589772 RNM589744:RNM589772 RXI589744:RXI589772 SHE589744:SHE589772 SRA589744:SRA589772 TAW589744:TAW589772 TKS589744:TKS589772 TUO589744:TUO589772 UEK589744:UEK589772 UOG589744:UOG589772 UYC589744:UYC589772 VHY589744:VHY589772 VRU589744:VRU589772 WBQ589744:WBQ589772 WLM589744:WLM589772 WVI589744:WVI589772 IW655280:IW655308 SS655280:SS655308 ACO655280:ACO655308 AMK655280:AMK655308 AWG655280:AWG655308 BGC655280:BGC655308 BPY655280:BPY655308 BZU655280:BZU655308 CJQ655280:CJQ655308 CTM655280:CTM655308 DDI655280:DDI655308 DNE655280:DNE655308 DXA655280:DXA655308 EGW655280:EGW655308 EQS655280:EQS655308 FAO655280:FAO655308 FKK655280:FKK655308 FUG655280:FUG655308 GEC655280:GEC655308 GNY655280:GNY655308 GXU655280:GXU655308 HHQ655280:HHQ655308 HRM655280:HRM655308 IBI655280:IBI655308 ILE655280:ILE655308 IVA655280:IVA655308 JEW655280:JEW655308 JOS655280:JOS655308 JYO655280:JYO655308 KIK655280:KIK655308 KSG655280:KSG655308 LCC655280:LCC655308 LLY655280:LLY655308 LVU655280:LVU655308 MFQ655280:MFQ655308 MPM655280:MPM655308 MZI655280:MZI655308 NJE655280:NJE655308 NTA655280:NTA655308 OCW655280:OCW655308 OMS655280:OMS655308 OWO655280:OWO655308 PGK655280:PGK655308 PQG655280:PQG655308 QAC655280:QAC655308 QJY655280:QJY655308 QTU655280:QTU655308 RDQ655280:RDQ655308 RNM655280:RNM655308 RXI655280:RXI655308 SHE655280:SHE655308 SRA655280:SRA655308 TAW655280:TAW655308 TKS655280:TKS655308 TUO655280:TUO655308 UEK655280:UEK655308 UOG655280:UOG655308 UYC655280:UYC655308 VHY655280:VHY655308 VRU655280:VRU655308 WBQ655280:WBQ655308 WLM655280:WLM655308 WVI655280:WVI655308 IW720816:IW720844 SS720816:SS720844 ACO720816:ACO720844 AMK720816:AMK720844 AWG720816:AWG720844 BGC720816:BGC720844 BPY720816:BPY720844 BZU720816:BZU720844 CJQ720816:CJQ720844 CTM720816:CTM720844 DDI720816:DDI720844 DNE720816:DNE720844 DXA720816:DXA720844 EGW720816:EGW720844 EQS720816:EQS720844 FAO720816:FAO720844 FKK720816:FKK720844 FUG720816:FUG720844 GEC720816:GEC720844 GNY720816:GNY720844 GXU720816:GXU720844 HHQ720816:HHQ720844 HRM720816:HRM720844 IBI720816:IBI720844 ILE720816:ILE720844 IVA720816:IVA720844 JEW720816:JEW720844 JOS720816:JOS720844 JYO720816:JYO720844 KIK720816:KIK720844 KSG720816:KSG720844 LCC720816:LCC720844 LLY720816:LLY720844 LVU720816:LVU720844 MFQ720816:MFQ720844 MPM720816:MPM720844 MZI720816:MZI720844 NJE720816:NJE720844 NTA720816:NTA720844 OCW720816:OCW720844 OMS720816:OMS720844 OWO720816:OWO720844 PGK720816:PGK720844 PQG720816:PQG720844 QAC720816:QAC720844 QJY720816:QJY720844 QTU720816:QTU720844 RDQ720816:RDQ720844 RNM720816:RNM720844 RXI720816:RXI720844 SHE720816:SHE720844 SRA720816:SRA720844 TAW720816:TAW720844 TKS720816:TKS720844 TUO720816:TUO720844 UEK720816:UEK720844 UOG720816:UOG720844 UYC720816:UYC720844 VHY720816:VHY720844 VRU720816:VRU720844 WBQ720816:WBQ720844 WLM720816:WLM720844 WVI720816:WVI720844 IW786352:IW786380 SS786352:SS786380 ACO786352:ACO786380 AMK786352:AMK786380 AWG786352:AWG786380 BGC786352:BGC786380 BPY786352:BPY786380 BZU786352:BZU786380 CJQ786352:CJQ786380 CTM786352:CTM786380 DDI786352:DDI786380 DNE786352:DNE786380 DXA786352:DXA786380 EGW786352:EGW786380 EQS786352:EQS786380 FAO786352:FAO786380 FKK786352:FKK786380 FUG786352:FUG786380 GEC786352:GEC786380 GNY786352:GNY786380 GXU786352:GXU786380 HHQ786352:HHQ786380 HRM786352:HRM786380 IBI786352:IBI786380 ILE786352:ILE786380 IVA786352:IVA786380 JEW786352:JEW786380 JOS786352:JOS786380 JYO786352:JYO786380 KIK786352:KIK786380 KSG786352:KSG786380 LCC786352:LCC786380 LLY786352:LLY786380 LVU786352:LVU786380 MFQ786352:MFQ786380 MPM786352:MPM786380 MZI786352:MZI786380 NJE786352:NJE786380 NTA786352:NTA786380 OCW786352:OCW786380 OMS786352:OMS786380 OWO786352:OWO786380 PGK786352:PGK786380 PQG786352:PQG786380 QAC786352:QAC786380 QJY786352:QJY786380 QTU786352:QTU786380 RDQ786352:RDQ786380 RNM786352:RNM786380 RXI786352:RXI786380 SHE786352:SHE786380 SRA786352:SRA786380 TAW786352:TAW786380 TKS786352:TKS786380 TUO786352:TUO786380 UEK786352:UEK786380 UOG786352:UOG786380 UYC786352:UYC786380 VHY786352:VHY786380 VRU786352:VRU786380 WBQ786352:WBQ786380 WLM786352:WLM786380 WVI786352:WVI786380 IW851888:IW851916 SS851888:SS851916 ACO851888:ACO851916 AMK851888:AMK851916 AWG851888:AWG851916 BGC851888:BGC851916 BPY851888:BPY851916 BZU851888:BZU851916 CJQ851888:CJQ851916 CTM851888:CTM851916 DDI851888:DDI851916 DNE851888:DNE851916 DXA851888:DXA851916 EGW851888:EGW851916 EQS851888:EQS851916 FAO851888:FAO851916 FKK851888:FKK851916 FUG851888:FUG851916 GEC851888:GEC851916 GNY851888:GNY851916 GXU851888:GXU851916 HHQ851888:HHQ851916 HRM851888:HRM851916 IBI851888:IBI851916 ILE851888:ILE851916 IVA851888:IVA851916 JEW851888:JEW851916 JOS851888:JOS851916 JYO851888:JYO851916 KIK851888:KIK851916 KSG851888:KSG851916 LCC851888:LCC851916 LLY851888:LLY851916 LVU851888:LVU851916 MFQ851888:MFQ851916 MPM851888:MPM851916 MZI851888:MZI851916 NJE851888:NJE851916 NTA851888:NTA851916 OCW851888:OCW851916 OMS851888:OMS851916 OWO851888:OWO851916 PGK851888:PGK851916 PQG851888:PQG851916 QAC851888:QAC851916 QJY851888:QJY851916 QTU851888:QTU851916 RDQ851888:RDQ851916 RNM851888:RNM851916 RXI851888:RXI851916 SHE851888:SHE851916 SRA851888:SRA851916 TAW851888:TAW851916 TKS851888:TKS851916 TUO851888:TUO851916 UEK851888:UEK851916 UOG851888:UOG851916 UYC851888:UYC851916 VHY851888:VHY851916 VRU851888:VRU851916 WBQ851888:WBQ851916 WLM851888:WLM851916 WVI851888:WVI851916 IW917424:IW917452 SS917424:SS917452 ACO917424:ACO917452 AMK917424:AMK917452 AWG917424:AWG917452 BGC917424:BGC917452 BPY917424:BPY917452 BZU917424:BZU917452 CJQ917424:CJQ917452 CTM917424:CTM917452 DDI917424:DDI917452 DNE917424:DNE917452 DXA917424:DXA917452 EGW917424:EGW917452 EQS917424:EQS917452 FAO917424:FAO917452 FKK917424:FKK917452 FUG917424:FUG917452 GEC917424:GEC917452 GNY917424:GNY917452 GXU917424:GXU917452 HHQ917424:HHQ917452 HRM917424:HRM917452 IBI917424:IBI917452 ILE917424:ILE917452 IVA917424:IVA917452 JEW917424:JEW917452 JOS917424:JOS917452 JYO917424:JYO917452 KIK917424:KIK917452 KSG917424:KSG917452 LCC917424:LCC917452 LLY917424:LLY917452 LVU917424:LVU917452 MFQ917424:MFQ917452 MPM917424:MPM917452 MZI917424:MZI917452 NJE917424:NJE917452 NTA917424:NTA917452 OCW917424:OCW917452 OMS917424:OMS917452 OWO917424:OWO917452 PGK917424:PGK917452 PQG917424:PQG917452 QAC917424:QAC917452 QJY917424:QJY917452 QTU917424:QTU917452 RDQ917424:RDQ917452 RNM917424:RNM917452 RXI917424:RXI917452 SHE917424:SHE917452 SRA917424:SRA917452 TAW917424:TAW917452 TKS917424:TKS917452 TUO917424:TUO917452 UEK917424:UEK917452 UOG917424:UOG917452 UYC917424:UYC917452 VHY917424:VHY917452 VRU917424:VRU917452 WBQ917424:WBQ917452 WLM917424:WLM917452 WVI917424:WVI917452 IW982960:IW982988 SS982960:SS982988 ACO982960:ACO982988 AMK982960:AMK982988 AWG982960:AWG982988 BGC982960:BGC982988 BPY982960:BPY982988 BZU982960:BZU982988 CJQ982960:CJQ982988 CTM982960:CTM982988 DDI982960:DDI982988 DNE982960:DNE982988 DXA982960:DXA982988 EGW982960:EGW982988 EQS982960:EQS982988 FAO982960:FAO982988 FKK982960:FKK982988 FUG982960:FUG982988 GEC982960:GEC982988 GNY982960:GNY982988 GXU982960:GXU982988 HHQ982960:HHQ982988 HRM982960:HRM982988 IBI982960:IBI982988 ILE982960:ILE982988 IVA982960:IVA982988 JEW982960:JEW982988 JOS982960:JOS982988 JYO982960:JYO982988 KIK982960:KIK982988 KSG982960:KSG982988 LCC982960:LCC982988 LLY982960:LLY982988 LVU982960:LVU982988 MFQ982960:MFQ982988 MPM982960:MPM982988 MZI982960:MZI982988 NJE982960:NJE982988 NTA982960:NTA982988 OCW982960:OCW982988 OMS982960:OMS982988 OWO982960:OWO982988 PGK982960:PGK982988 PQG982960:PQG982988 QAC982960:QAC982988 QJY982960:QJY982988 QTU982960:QTU982988 RDQ982960:RDQ982988 RNM982960:RNM982988 RXI982960:RXI982988 SHE982960:SHE982988 SRA982960:SRA982988 TAW982960:TAW982988 TKS982960:TKS982988 TUO982960:TUO982988 UEK982960:UEK982988 UOG982960:UOG982988 UYC982960:UYC982988 VHY982960:VHY982988 VRU982960:VRU982988 WBQ982960:WBQ982988 WLM982960:WLM982988 WVI982960:WVI982988">
      <formula1>0</formula1>
    </dataValidation>
  </dataValidations>
  <pageMargins left="0.75" right="0.75" top="1" bottom="1" header="0.5" footer="0.5"/>
  <pageSetup paperSize="9" orientation="portrait" verticalDpi="0"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sheetPr>
  <dimension ref="A1:H20"/>
  <sheetViews>
    <sheetView showGridLines="0" workbookViewId="0">
      <selection activeCell="K32" sqref="K32"/>
    </sheetView>
  </sheetViews>
  <sheetFormatPr defaultRowHeight="13.5" x14ac:dyDescent="0.3"/>
  <cols>
    <col min="1" max="1" width="1.625" style="14" customWidth="1"/>
    <col min="2" max="2" width="6.75" style="14" customWidth="1"/>
    <col min="3" max="3" width="9.875" style="14" customWidth="1"/>
    <col min="4" max="4" width="35.5" style="14" bestFit="1" customWidth="1"/>
    <col min="5" max="5" width="6" style="14" customWidth="1"/>
    <col min="6" max="6" width="11.75" style="14" bestFit="1" customWidth="1"/>
    <col min="7" max="7" width="8.625" style="14" bestFit="1" customWidth="1"/>
    <col min="8" max="8" width="8" style="14" customWidth="1"/>
    <col min="9" max="257" width="9" style="14"/>
    <col min="258" max="258" width="5" style="14" customWidth="1"/>
    <col min="259" max="259" width="9.25" style="14" bestFit="1" customWidth="1"/>
    <col min="260" max="260" width="35.5" style="14" bestFit="1" customWidth="1"/>
    <col min="261" max="261" width="4.75" style="14" bestFit="1" customWidth="1"/>
    <col min="262" max="262" width="11.75" style="14" bestFit="1" customWidth="1"/>
    <col min="263" max="263" width="8.625" style="14" bestFit="1" customWidth="1"/>
    <col min="264" max="264" width="8" style="14" customWidth="1"/>
    <col min="265" max="513" width="9" style="14"/>
    <col min="514" max="514" width="5" style="14" customWidth="1"/>
    <col min="515" max="515" width="9.25" style="14" bestFit="1" customWidth="1"/>
    <col min="516" max="516" width="35.5" style="14" bestFit="1" customWidth="1"/>
    <col min="517" max="517" width="4.75" style="14" bestFit="1" customWidth="1"/>
    <col min="518" max="518" width="11.75" style="14" bestFit="1" customWidth="1"/>
    <col min="519" max="519" width="8.625" style="14" bestFit="1" customWidth="1"/>
    <col min="520" max="520" width="8" style="14" customWidth="1"/>
    <col min="521" max="769" width="9" style="14"/>
    <col min="770" max="770" width="5" style="14" customWidth="1"/>
    <col min="771" max="771" width="9.25" style="14" bestFit="1" customWidth="1"/>
    <col min="772" max="772" width="35.5" style="14" bestFit="1" customWidth="1"/>
    <col min="773" max="773" width="4.75" style="14" bestFit="1" customWidth="1"/>
    <col min="774" max="774" width="11.75" style="14" bestFit="1" customWidth="1"/>
    <col min="775" max="775" width="8.625" style="14" bestFit="1" customWidth="1"/>
    <col min="776" max="776" width="8" style="14" customWidth="1"/>
    <col min="777" max="1025" width="9" style="14"/>
    <col min="1026" max="1026" width="5" style="14" customWidth="1"/>
    <col min="1027" max="1027" width="9.25" style="14" bestFit="1" customWidth="1"/>
    <col min="1028" max="1028" width="35.5" style="14" bestFit="1" customWidth="1"/>
    <col min="1029" max="1029" width="4.75" style="14" bestFit="1" customWidth="1"/>
    <col min="1030" max="1030" width="11.75" style="14" bestFit="1" customWidth="1"/>
    <col min="1031" max="1031" width="8.625" style="14" bestFit="1" customWidth="1"/>
    <col min="1032" max="1032" width="8" style="14" customWidth="1"/>
    <col min="1033" max="1281" width="9" style="14"/>
    <col min="1282" max="1282" width="5" style="14" customWidth="1"/>
    <col min="1283" max="1283" width="9.25" style="14" bestFit="1" customWidth="1"/>
    <col min="1284" max="1284" width="35.5" style="14" bestFit="1" customWidth="1"/>
    <col min="1285" max="1285" width="4.75" style="14" bestFit="1" customWidth="1"/>
    <col min="1286" max="1286" width="11.75" style="14" bestFit="1" customWidth="1"/>
    <col min="1287" max="1287" width="8.625" style="14" bestFit="1" customWidth="1"/>
    <col min="1288" max="1288" width="8" style="14" customWidth="1"/>
    <col min="1289" max="1537" width="9" style="14"/>
    <col min="1538" max="1538" width="5" style="14" customWidth="1"/>
    <col min="1539" max="1539" width="9.25" style="14" bestFit="1" customWidth="1"/>
    <col min="1540" max="1540" width="35.5" style="14" bestFit="1" customWidth="1"/>
    <col min="1541" max="1541" width="4.75" style="14" bestFit="1" customWidth="1"/>
    <col min="1542" max="1542" width="11.75" style="14" bestFit="1" customWidth="1"/>
    <col min="1543" max="1543" width="8.625" style="14" bestFit="1" customWidth="1"/>
    <col min="1544" max="1544" width="8" style="14" customWidth="1"/>
    <col min="1545" max="1793" width="9" style="14"/>
    <col min="1794" max="1794" width="5" style="14" customWidth="1"/>
    <col min="1795" max="1795" width="9.25" style="14" bestFit="1" customWidth="1"/>
    <col min="1796" max="1796" width="35.5" style="14" bestFit="1" customWidth="1"/>
    <col min="1797" max="1797" width="4.75" style="14" bestFit="1" customWidth="1"/>
    <col min="1798" max="1798" width="11.75" style="14" bestFit="1" customWidth="1"/>
    <col min="1799" max="1799" width="8.625" style="14" bestFit="1" customWidth="1"/>
    <col min="1800" max="1800" width="8" style="14" customWidth="1"/>
    <col min="1801" max="2049" width="9" style="14"/>
    <col min="2050" max="2050" width="5" style="14" customWidth="1"/>
    <col min="2051" max="2051" width="9.25" style="14" bestFit="1" customWidth="1"/>
    <col min="2052" max="2052" width="35.5" style="14" bestFit="1" customWidth="1"/>
    <col min="2053" max="2053" width="4.75" style="14" bestFit="1" customWidth="1"/>
    <col min="2054" max="2054" width="11.75" style="14" bestFit="1" customWidth="1"/>
    <col min="2055" max="2055" width="8.625" style="14" bestFit="1" customWidth="1"/>
    <col min="2056" max="2056" width="8" style="14" customWidth="1"/>
    <col min="2057" max="2305" width="9" style="14"/>
    <col min="2306" max="2306" width="5" style="14" customWidth="1"/>
    <col min="2307" max="2307" width="9.25" style="14" bestFit="1" customWidth="1"/>
    <col min="2308" max="2308" width="35.5" style="14" bestFit="1" customWidth="1"/>
    <col min="2309" max="2309" width="4.75" style="14" bestFit="1" customWidth="1"/>
    <col min="2310" max="2310" width="11.75" style="14" bestFit="1" customWidth="1"/>
    <col min="2311" max="2311" width="8.625" style="14" bestFit="1" customWidth="1"/>
    <col min="2312" max="2312" width="8" style="14" customWidth="1"/>
    <col min="2313" max="2561" width="9" style="14"/>
    <col min="2562" max="2562" width="5" style="14" customWidth="1"/>
    <col min="2563" max="2563" width="9.25" style="14" bestFit="1" customWidth="1"/>
    <col min="2564" max="2564" width="35.5" style="14" bestFit="1" customWidth="1"/>
    <col min="2565" max="2565" width="4.75" style="14" bestFit="1" customWidth="1"/>
    <col min="2566" max="2566" width="11.75" style="14" bestFit="1" customWidth="1"/>
    <col min="2567" max="2567" width="8.625" style="14" bestFit="1" customWidth="1"/>
    <col min="2568" max="2568" width="8" style="14" customWidth="1"/>
    <col min="2569" max="2817" width="9" style="14"/>
    <col min="2818" max="2818" width="5" style="14" customWidth="1"/>
    <col min="2819" max="2819" width="9.25" style="14" bestFit="1" customWidth="1"/>
    <col min="2820" max="2820" width="35.5" style="14" bestFit="1" customWidth="1"/>
    <col min="2821" max="2821" width="4.75" style="14" bestFit="1" customWidth="1"/>
    <col min="2822" max="2822" width="11.75" style="14" bestFit="1" customWidth="1"/>
    <col min="2823" max="2823" width="8.625" style="14" bestFit="1" customWidth="1"/>
    <col min="2824" max="2824" width="8" style="14" customWidth="1"/>
    <col min="2825" max="3073" width="9" style="14"/>
    <col min="3074" max="3074" width="5" style="14" customWidth="1"/>
    <col min="3075" max="3075" width="9.25" style="14" bestFit="1" customWidth="1"/>
    <col min="3076" max="3076" width="35.5" style="14" bestFit="1" customWidth="1"/>
    <col min="3077" max="3077" width="4.75" style="14" bestFit="1" customWidth="1"/>
    <col min="3078" max="3078" width="11.75" style="14" bestFit="1" customWidth="1"/>
    <col min="3079" max="3079" width="8.625" style="14" bestFit="1" customWidth="1"/>
    <col min="3080" max="3080" width="8" style="14" customWidth="1"/>
    <col min="3081" max="3329" width="9" style="14"/>
    <col min="3330" max="3330" width="5" style="14" customWidth="1"/>
    <col min="3331" max="3331" width="9.25" style="14" bestFit="1" customWidth="1"/>
    <col min="3332" max="3332" width="35.5" style="14" bestFit="1" customWidth="1"/>
    <col min="3333" max="3333" width="4.75" style="14" bestFit="1" customWidth="1"/>
    <col min="3334" max="3334" width="11.75" style="14" bestFit="1" customWidth="1"/>
    <col min="3335" max="3335" width="8.625" style="14" bestFit="1" customWidth="1"/>
    <col min="3336" max="3336" width="8" style="14" customWidth="1"/>
    <col min="3337" max="3585" width="9" style="14"/>
    <col min="3586" max="3586" width="5" style="14" customWidth="1"/>
    <col min="3587" max="3587" width="9.25" style="14" bestFit="1" customWidth="1"/>
    <col min="3588" max="3588" width="35.5" style="14" bestFit="1" customWidth="1"/>
    <col min="3589" max="3589" width="4.75" style="14" bestFit="1" customWidth="1"/>
    <col min="3590" max="3590" width="11.75" style="14" bestFit="1" customWidth="1"/>
    <col min="3591" max="3591" width="8.625" style="14" bestFit="1" customWidth="1"/>
    <col min="3592" max="3592" width="8" style="14" customWidth="1"/>
    <col min="3593" max="3841" width="9" style="14"/>
    <col min="3842" max="3842" width="5" style="14" customWidth="1"/>
    <col min="3843" max="3843" width="9.25" style="14" bestFit="1" customWidth="1"/>
    <col min="3844" max="3844" width="35.5" style="14" bestFit="1" customWidth="1"/>
    <col min="3845" max="3845" width="4.75" style="14" bestFit="1" customWidth="1"/>
    <col min="3846" max="3846" width="11.75" style="14" bestFit="1" customWidth="1"/>
    <col min="3847" max="3847" width="8.625" style="14" bestFit="1" customWidth="1"/>
    <col min="3848" max="3848" width="8" style="14" customWidth="1"/>
    <col min="3849" max="4097" width="9" style="14"/>
    <col min="4098" max="4098" width="5" style="14" customWidth="1"/>
    <col min="4099" max="4099" width="9.25" style="14" bestFit="1" customWidth="1"/>
    <col min="4100" max="4100" width="35.5" style="14" bestFit="1" customWidth="1"/>
    <col min="4101" max="4101" width="4.75" style="14" bestFit="1" customWidth="1"/>
    <col min="4102" max="4102" width="11.75" style="14" bestFit="1" customWidth="1"/>
    <col min="4103" max="4103" width="8.625" style="14" bestFit="1" customWidth="1"/>
    <col min="4104" max="4104" width="8" style="14" customWidth="1"/>
    <col min="4105" max="4353" width="9" style="14"/>
    <col min="4354" max="4354" width="5" style="14" customWidth="1"/>
    <col min="4355" max="4355" width="9.25" style="14" bestFit="1" customWidth="1"/>
    <col min="4356" max="4356" width="35.5" style="14" bestFit="1" customWidth="1"/>
    <col min="4357" max="4357" width="4.75" style="14" bestFit="1" customWidth="1"/>
    <col min="4358" max="4358" width="11.75" style="14" bestFit="1" customWidth="1"/>
    <col min="4359" max="4359" width="8.625" style="14" bestFit="1" customWidth="1"/>
    <col min="4360" max="4360" width="8" style="14" customWidth="1"/>
    <col min="4361" max="4609" width="9" style="14"/>
    <col min="4610" max="4610" width="5" style="14" customWidth="1"/>
    <col min="4611" max="4611" width="9.25" style="14" bestFit="1" customWidth="1"/>
    <col min="4612" max="4612" width="35.5" style="14" bestFit="1" customWidth="1"/>
    <col min="4613" max="4613" width="4.75" style="14" bestFit="1" customWidth="1"/>
    <col min="4614" max="4614" width="11.75" style="14" bestFit="1" customWidth="1"/>
    <col min="4615" max="4615" width="8.625" style="14" bestFit="1" customWidth="1"/>
    <col min="4616" max="4616" width="8" style="14" customWidth="1"/>
    <col min="4617" max="4865" width="9" style="14"/>
    <col min="4866" max="4866" width="5" style="14" customWidth="1"/>
    <col min="4867" max="4867" width="9.25" style="14" bestFit="1" customWidth="1"/>
    <col min="4868" max="4868" width="35.5" style="14" bestFit="1" customWidth="1"/>
    <col min="4869" max="4869" width="4.75" style="14" bestFit="1" customWidth="1"/>
    <col min="4870" max="4870" width="11.75" style="14" bestFit="1" customWidth="1"/>
    <col min="4871" max="4871" width="8.625" style="14" bestFit="1" customWidth="1"/>
    <col min="4872" max="4872" width="8" style="14" customWidth="1"/>
    <col min="4873" max="5121" width="9" style="14"/>
    <col min="5122" max="5122" width="5" style="14" customWidth="1"/>
    <col min="5123" max="5123" width="9.25" style="14" bestFit="1" customWidth="1"/>
    <col min="5124" max="5124" width="35.5" style="14" bestFit="1" customWidth="1"/>
    <col min="5125" max="5125" width="4.75" style="14" bestFit="1" customWidth="1"/>
    <col min="5126" max="5126" width="11.75" style="14" bestFit="1" customWidth="1"/>
    <col min="5127" max="5127" width="8.625" style="14" bestFit="1" customWidth="1"/>
    <col min="5128" max="5128" width="8" style="14" customWidth="1"/>
    <col min="5129" max="5377" width="9" style="14"/>
    <col min="5378" max="5378" width="5" style="14" customWidth="1"/>
    <col min="5379" max="5379" width="9.25" style="14" bestFit="1" customWidth="1"/>
    <col min="5380" max="5380" width="35.5" style="14" bestFit="1" customWidth="1"/>
    <col min="5381" max="5381" width="4.75" style="14" bestFit="1" customWidth="1"/>
    <col min="5382" max="5382" width="11.75" style="14" bestFit="1" customWidth="1"/>
    <col min="5383" max="5383" width="8.625" style="14" bestFit="1" customWidth="1"/>
    <col min="5384" max="5384" width="8" style="14" customWidth="1"/>
    <col min="5385" max="5633" width="9" style="14"/>
    <col min="5634" max="5634" width="5" style="14" customWidth="1"/>
    <col min="5635" max="5635" width="9.25" style="14" bestFit="1" customWidth="1"/>
    <col min="5636" max="5636" width="35.5" style="14" bestFit="1" customWidth="1"/>
    <col min="5637" max="5637" width="4.75" style="14" bestFit="1" customWidth="1"/>
    <col min="5638" max="5638" width="11.75" style="14" bestFit="1" customWidth="1"/>
    <col min="5639" max="5639" width="8.625" style="14" bestFit="1" customWidth="1"/>
    <col min="5640" max="5640" width="8" style="14" customWidth="1"/>
    <col min="5641" max="5889" width="9" style="14"/>
    <col min="5890" max="5890" width="5" style="14" customWidth="1"/>
    <col min="5891" max="5891" width="9.25" style="14" bestFit="1" customWidth="1"/>
    <col min="5892" max="5892" width="35.5" style="14" bestFit="1" customWidth="1"/>
    <col min="5893" max="5893" width="4.75" style="14" bestFit="1" customWidth="1"/>
    <col min="5894" max="5894" width="11.75" style="14" bestFit="1" customWidth="1"/>
    <col min="5895" max="5895" width="8.625" style="14" bestFit="1" customWidth="1"/>
    <col min="5896" max="5896" width="8" style="14" customWidth="1"/>
    <col min="5897" max="6145" width="9" style="14"/>
    <col min="6146" max="6146" width="5" style="14" customWidth="1"/>
    <col min="6147" max="6147" width="9.25" style="14" bestFit="1" customWidth="1"/>
    <col min="6148" max="6148" width="35.5" style="14" bestFit="1" customWidth="1"/>
    <col min="6149" max="6149" width="4.75" style="14" bestFit="1" customWidth="1"/>
    <col min="6150" max="6150" width="11.75" style="14" bestFit="1" customWidth="1"/>
    <col min="6151" max="6151" width="8.625" style="14" bestFit="1" customWidth="1"/>
    <col min="6152" max="6152" width="8" style="14" customWidth="1"/>
    <col min="6153" max="6401" width="9" style="14"/>
    <col min="6402" max="6402" width="5" style="14" customWidth="1"/>
    <col min="6403" max="6403" width="9.25" style="14" bestFit="1" customWidth="1"/>
    <col min="6404" max="6404" width="35.5" style="14" bestFit="1" customWidth="1"/>
    <col min="6405" max="6405" width="4.75" style="14" bestFit="1" customWidth="1"/>
    <col min="6406" max="6406" width="11.75" style="14" bestFit="1" customWidth="1"/>
    <col min="6407" max="6407" width="8.625" style="14" bestFit="1" customWidth="1"/>
    <col min="6408" max="6408" width="8" style="14" customWidth="1"/>
    <col min="6409" max="6657" width="9" style="14"/>
    <col min="6658" max="6658" width="5" style="14" customWidth="1"/>
    <col min="6659" max="6659" width="9.25" style="14" bestFit="1" customWidth="1"/>
    <col min="6660" max="6660" width="35.5" style="14" bestFit="1" customWidth="1"/>
    <col min="6661" max="6661" width="4.75" style="14" bestFit="1" customWidth="1"/>
    <col min="6662" max="6662" width="11.75" style="14" bestFit="1" customWidth="1"/>
    <col min="6663" max="6663" width="8.625" style="14" bestFit="1" customWidth="1"/>
    <col min="6664" max="6664" width="8" style="14" customWidth="1"/>
    <col min="6665" max="6913" width="9" style="14"/>
    <col min="6914" max="6914" width="5" style="14" customWidth="1"/>
    <col min="6915" max="6915" width="9.25" style="14" bestFit="1" customWidth="1"/>
    <col min="6916" max="6916" width="35.5" style="14" bestFit="1" customWidth="1"/>
    <col min="6917" max="6917" width="4.75" style="14" bestFit="1" customWidth="1"/>
    <col min="6918" max="6918" width="11.75" style="14" bestFit="1" customWidth="1"/>
    <col min="6919" max="6919" width="8.625" style="14" bestFit="1" customWidth="1"/>
    <col min="6920" max="6920" width="8" style="14" customWidth="1"/>
    <col min="6921" max="7169" width="9" style="14"/>
    <col min="7170" max="7170" width="5" style="14" customWidth="1"/>
    <col min="7171" max="7171" width="9.25" style="14" bestFit="1" customWidth="1"/>
    <col min="7172" max="7172" width="35.5" style="14" bestFit="1" customWidth="1"/>
    <col min="7173" max="7173" width="4.75" style="14" bestFit="1" customWidth="1"/>
    <col min="7174" max="7174" width="11.75" style="14" bestFit="1" customWidth="1"/>
    <col min="7175" max="7175" width="8.625" style="14" bestFit="1" customWidth="1"/>
    <col min="7176" max="7176" width="8" style="14" customWidth="1"/>
    <col min="7177" max="7425" width="9" style="14"/>
    <col min="7426" max="7426" width="5" style="14" customWidth="1"/>
    <col min="7427" max="7427" width="9.25" style="14" bestFit="1" customWidth="1"/>
    <col min="7428" max="7428" width="35.5" style="14" bestFit="1" customWidth="1"/>
    <col min="7429" max="7429" width="4.75" style="14" bestFit="1" customWidth="1"/>
    <col min="7430" max="7430" width="11.75" style="14" bestFit="1" customWidth="1"/>
    <col min="7431" max="7431" width="8.625" style="14" bestFit="1" customWidth="1"/>
    <col min="7432" max="7432" width="8" style="14" customWidth="1"/>
    <col min="7433" max="7681" width="9" style="14"/>
    <col min="7682" max="7682" width="5" style="14" customWidth="1"/>
    <col min="7683" max="7683" width="9.25" style="14" bestFit="1" customWidth="1"/>
    <col min="7684" max="7684" width="35.5" style="14" bestFit="1" customWidth="1"/>
    <col min="7685" max="7685" width="4.75" style="14" bestFit="1" customWidth="1"/>
    <col min="7686" max="7686" width="11.75" style="14" bestFit="1" customWidth="1"/>
    <col min="7687" max="7687" width="8.625" style="14" bestFit="1" customWidth="1"/>
    <col min="7688" max="7688" width="8" style="14" customWidth="1"/>
    <col min="7689" max="7937" width="9" style="14"/>
    <col min="7938" max="7938" width="5" style="14" customWidth="1"/>
    <col min="7939" max="7939" width="9.25" style="14" bestFit="1" customWidth="1"/>
    <col min="7940" max="7940" width="35.5" style="14" bestFit="1" customWidth="1"/>
    <col min="7941" max="7941" width="4.75" style="14" bestFit="1" customWidth="1"/>
    <col min="7942" max="7942" width="11.75" style="14" bestFit="1" customWidth="1"/>
    <col min="7943" max="7943" width="8.625" style="14" bestFit="1" customWidth="1"/>
    <col min="7944" max="7944" width="8" style="14" customWidth="1"/>
    <col min="7945" max="8193" width="9" style="14"/>
    <col min="8194" max="8194" width="5" style="14" customWidth="1"/>
    <col min="8195" max="8195" width="9.25" style="14" bestFit="1" customWidth="1"/>
    <col min="8196" max="8196" width="35.5" style="14" bestFit="1" customWidth="1"/>
    <col min="8197" max="8197" width="4.75" style="14" bestFit="1" customWidth="1"/>
    <col min="8198" max="8198" width="11.75" style="14" bestFit="1" customWidth="1"/>
    <col min="8199" max="8199" width="8.625" style="14" bestFit="1" customWidth="1"/>
    <col min="8200" max="8200" width="8" style="14" customWidth="1"/>
    <col min="8201" max="8449" width="9" style="14"/>
    <col min="8450" max="8450" width="5" style="14" customWidth="1"/>
    <col min="8451" max="8451" width="9.25" style="14" bestFit="1" customWidth="1"/>
    <col min="8452" max="8452" width="35.5" style="14" bestFit="1" customWidth="1"/>
    <col min="8453" max="8453" width="4.75" style="14" bestFit="1" customWidth="1"/>
    <col min="8454" max="8454" width="11.75" style="14" bestFit="1" customWidth="1"/>
    <col min="8455" max="8455" width="8.625" style="14" bestFit="1" customWidth="1"/>
    <col min="8456" max="8456" width="8" style="14" customWidth="1"/>
    <col min="8457" max="8705" width="9" style="14"/>
    <col min="8706" max="8706" width="5" style="14" customWidth="1"/>
    <col min="8707" max="8707" width="9.25" style="14" bestFit="1" customWidth="1"/>
    <col min="8708" max="8708" width="35.5" style="14" bestFit="1" customWidth="1"/>
    <col min="8709" max="8709" width="4.75" style="14" bestFit="1" customWidth="1"/>
    <col min="8710" max="8710" width="11.75" style="14" bestFit="1" customWidth="1"/>
    <col min="8711" max="8711" width="8.625" style="14" bestFit="1" customWidth="1"/>
    <col min="8712" max="8712" width="8" style="14" customWidth="1"/>
    <col min="8713" max="8961" width="9" style="14"/>
    <col min="8962" max="8962" width="5" style="14" customWidth="1"/>
    <col min="8963" max="8963" width="9.25" style="14" bestFit="1" customWidth="1"/>
    <col min="8964" max="8964" width="35.5" style="14" bestFit="1" customWidth="1"/>
    <col min="8965" max="8965" width="4.75" style="14" bestFit="1" customWidth="1"/>
    <col min="8966" max="8966" width="11.75" style="14" bestFit="1" customWidth="1"/>
    <col min="8967" max="8967" width="8.625" style="14" bestFit="1" customWidth="1"/>
    <col min="8968" max="8968" width="8" style="14" customWidth="1"/>
    <col min="8969" max="9217" width="9" style="14"/>
    <col min="9218" max="9218" width="5" style="14" customWidth="1"/>
    <col min="9219" max="9219" width="9.25" style="14" bestFit="1" customWidth="1"/>
    <col min="9220" max="9220" width="35.5" style="14" bestFit="1" customWidth="1"/>
    <col min="9221" max="9221" width="4.75" style="14" bestFit="1" customWidth="1"/>
    <col min="9222" max="9222" width="11.75" style="14" bestFit="1" customWidth="1"/>
    <col min="9223" max="9223" width="8.625" style="14" bestFit="1" customWidth="1"/>
    <col min="9224" max="9224" width="8" style="14" customWidth="1"/>
    <col min="9225" max="9473" width="9" style="14"/>
    <col min="9474" max="9474" width="5" style="14" customWidth="1"/>
    <col min="9475" max="9475" width="9.25" style="14" bestFit="1" customWidth="1"/>
    <col min="9476" max="9476" width="35.5" style="14" bestFit="1" customWidth="1"/>
    <col min="9477" max="9477" width="4.75" style="14" bestFit="1" customWidth="1"/>
    <col min="9478" max="9478" width="11.75" style="14" bestFit="1" customWidth="1"/>
    <col min="9479" max="9479" width="8.625" style="14" bestFit="1" customWidth="1"/>
    <col min="9480" max="9480" width="8" style="14" customWidth="1"/>
    <col min="9481" max="9729" width="9" style="14"/>
    <col min="9730" max="9730" width="5" style="14" customWidth="1"/>
    <col min="9731" max="9731" width="9.25" style="14" bestFit="1" customWidth="1"/>
    <col min="9732" max="9732" width="35.5" style="14" bestFit="1" customWidth="1"/>
    <col min="9733" max="9733" width="4.75" style="14" bestFit="1" customWidth="1"/>
    <col min="9734" max="9734" width="11.75" style="14" bestFit="1" customWidth="1"/>
    <col min="9735" max="9735" width="8.625" style="14" bestFit="1" customWidth="1"/>
    <col min="9736" max="9736" width="8" style="14" customWidth="1"/>
    <col min="9737" max="9985" width="9" style="14"/>
    <col min="9986" max="9986" width="5" style="14" customWidth="1"/>
    <col min="9987" max="9987" width="9.25" style="14" bestFit="1" customWidth="1"/>
    <col min="9988" max="9988" width="35.5" style="14" bestFit="1" customWidth="1"/>
    <col min="9989" max="9989" width="4.75" style="14" bestFit="1" customWidth="1"/>
    <col min="9990" max="9990" width="11.75" style="14" bestFit="1" customWidth="1"/>
    <col min="9991" max="9991" width="8.625" style="14" bestFit="1" customWidth="1"/>
    <col min="9992" max="9992" width="8" style="14" customWidth="1"/>
    <col min="9993" max="10241" width="9" style="14"/>
    <col min="10242" max="10242" width="5" style="14" customWidth="1"/>
    <col min="10243" max="10243" width="9.25" style="14" bestFit="1" customWidth="1"/>
    <col min="10244" max="10244" width="35.5" style="14" bestFit="1" customWidth="1"/>
    <col min="10245" max="10245" width="4.75" style="14" bestFit="1" customWidth="1"/>
    <col min="10246" max="10246" width="11.75" style="14" bestFit="1" customWidth="1"/>
    <col min="10247" max="10247" width="8.625" style="14" bestFit="1" customWidth="1"/>
    <col min="10248" max="10248" width="8" style="14" customWidth="1"/>
    <col min="10249" max="10497" width="9" style="14"/>
    <col min="10498" max="10498" width="5" style="14" customWidth="1"/>
    <col min="10499" max="10499" width="9.25" style="14" bestFit="1" customWidth="1"/>
    <col min="10500" max="10500" width="35.5" style="14" bestFit="1" customWidth="1"/>
    <col min="10501" max="10501" width="4.75" style="14" bestFit="1" customWidth="1"/>
    <col min="10502" max="10502" width="11.75" style="14" bestFit="1" customWidth="1"/>
    <col min="10503" max="10503" width="8.625" style="14" bestFit="1" customWidth="1"/>
    <col min="10504" max="10504" width="8" style="14" customWidth="1"/>
    <col min="10505" max="10753" width="9" style="14"/>
    <col min="10754" max="10754" width="5" style="14" customWidth="1"/>
    <col min="10755" max="10755" width="9.25" style="14" bestFit="1" customWidth="1"/>
    <col min="10756" max="10756" width="35.5" style="14" bestFit="1" customWidth="1"/>
    <col min="10757" max="10757" width="4.75" style="14" bestFit="1" customWidth="1"/>
    <col min="10758" max="10758" width="11.75" style="14" bestFit="1" customWidth="1"/>
    <col min="10759" max="10759" width="8.625" style="14" bestFit="1" customWidth="1"/>
    <col min="10760" max="10760" width="8" style="14" customWidth="1"/>
    <col min="10761" max="11009" width="9" style="14"/>
    <col min="11010" max="11010" width="5" style="14" customWidth="1"/>
    <col min="11011" max="11011" width="9.25" style="14" bestFit="1" customWidth="1"/>
    <col min="11012" max="11012" width="35.5" style="14" bestFit="1" customWidth="1"/>
    <col min="11013" max="11013" width="4.75" style="14" bestFit="1" customWidth="1"/>
    <col min="11014" max="11014" width="11.75" style="14" bestFit="1" customWidth="1"/>
    <col min="11015" max="11015" width="8.625" style="14" bestFit="1" customWidth="1"/>
    <col min="11016" max="11016" width="8" style="14" customWidth="1"/>
    <col min="11017" max="11265" width="9" style="14"/>
    <col min="11266" max="11266" width="5" style="14" customWidth="1"/>
    <col min="11267" max="11267" width="9.25" style="14" bestFit="1" customWidth="1"/>
    <col min="11268" max="11268" width="35.5" style="14" bestFit="1" customWidth="1"/>
    <col min="11269" max="11269" width="4.75" style="14" bestFit="1" customWidth="1"/>
    <col min="11270" max="11270" width="11.75" style="14" bestFit="1" customWidth="1"/>
    <col min="11271" max="11271" width="8.625" style="14" bestFit="1" customWidth="1"/>
    <col min="11272" max="11272" width="8" style="14" customWidth="1"/>
    <col min="11273" max="11521" width="9" style="14"/>
    <col min="11522" max="11522" width="5" style="14" customWidth="1"/>
    <col min="11523" max="11523" width="9.25" style="14" bestFit="1" customWidth="1"/>
    <col min="11524" max="11524" width="35.5" style="14" bestFit="1" customWidth="1"/>
    <col min="11525" max="11525" width="4.75" style="14" bestFit="1" customWidth="1"/>
    <col min="11526" max="11526" width="11.75" style="14" bestFit="1" customWidth="1"/>
    <col min="11527" max="11527" width="8.625" style="14" bestFit="1" customWidth="1"/>
    <col min="11528" max="11528" width="8" style="14" customWidth="1"/>
    <col min="11529" max="11777" width="9" style="14"/>
    <col min="11778" max="11778" width="5" style="14" customWidth="1"/>
    <col min="11779" max="11779" width="9.25" style="14" bestFit="1" customWidth="1"/>
    <col min="11780" max="11780" width="35.5" style="14" bestFit="1" customWidth="1"/>
    <col min="11781" max="11781" width="4.75" style="14" bestFit="1" customWidth="1"/>
    <col min="11782" max="11782" width="11.75" style="14" bestFit="1" customWidth="1"/>
    <col min="11783" max="11783" width="8.625" style="14" bestFit="1" customWidth="1"/>
    <col min="11784" max="11784" width="8" style="14" customWidth="1"/>
    <col min="11785" max="12033" width="9" style="14"/>
    <col min="12034" max="12034" width="5" style="14" customWidth="1"/>
    <col min="12035" max="12035" width="9.25" style="14" bestFit="1" customWidth="1"/>
    <col min="12036" max="12036" width="35.5" style="14" bestFit="1" customWidth="1"/>
    <col min="12037" max="12037" width="4.75" style="14" bestFit="1" customWidth="1"/>
    <col min="12038" max="12038" width="11.75" style="14" bestFit="1" customWidth="1"/>
    <col min="12039" max="12039" width="8.625" style="14" bestFit="1" customWidth="1"/>
    <col min="12040" max="12040" width="8" style="14" customWidth="1"/>
    <col min="12041" max="12289" width="9" style="14"/>
    <col min="12290" max="12290" width="5" style="14" customWidth="1"/>
    <col min="12291" max="12291" width="9.25" style="14" bestFit="1" customWidth="1"/>
    <col min="12292" max="12292" width="35.5" style="14" bestFit="1" customWidth="1"/>
    <col min="12293" max="12293" width="4.75" style="14" bestFit="1" customWidth="1"/>
    <col min="12294" max="12294" width="11.75" style="14" bestFit="1" customWidth="1"/>
    <col min="12295" max="12295" width="8.625" style="14" bestFit="1" customWidth="1"/>
    <col min="12296" max="12296" width="8" style="14" customWidth="1"/>
    <col min="12297" max="12545" width="9" style="14"/>
    <col min="12546" max="12546" width="5" style="14" customWidth="1"/>
    <col min="12547" max="12547" width="9.25" style="14" bestFit="1" customWidth="1"/>
    <col min="12548" max="12548" width="35.5" style="14" bestFit="1" customWidth="1"/>
    <col min="12549" max="12549" width="4.75" style="14" bestFit="1" customWidth="1"/>
    <col min="12550" max="12550" width="11.75" style="14" bestFit="1" customWidth="1"/>
    <col min="12551" max="12551" width="8.625" style="14" bestFit="1" customWidth="1"/>
    <col min="12552" max="12552" width="8" style="14" customWidth="1"/>
    <col min="12553" max="12801" width="9" style="14"/>
    <col min="12802" max="12802" width="5" style="14" customWidth="1"/>
    <col min="12803" max="12803" width="9.25" style="14" bestFit="1" customWidth="1"/>
    <col min="12804" max="12804" width="35.5" style="14" bestFit="1" customWidth="1"/>
    <col min="12805" max="12805" width="4.75" style="14" bestFit="1" customWidth="1"/>
    <col min="12806" max="12806" width="11.75" style="14" bestFit="1" customWidth="1"/>
    <col min="12807" max="12807" width="8.625" style="14" bestFit="1" customWidth="1"/>
    <col min="12808" max="12808" width="8" style="14" customWidth="1"/>
    <col min="12809" max="13057" width="9" style="14"/>
    <col min="13058" max="13058" width="5" style="14" customWidth="1"/>
    <col min="13059" max="13059" width="9.25" style="14" bestFit="1" customWidth="1"/>
    <col min="13060" max="13060" width="35.5" style="14" bestFit="1" customWidth="1"/>
    <col min="13061" max="13061" width="4.75" style="14" bestFit="1" customWidth="1"/>
    <col min="13062" max="13062" width="11.75" style="14" bestFit="1" customWidth="1"/>
    <col min="13063" max="13063" width="8.625" style="14" bestFit="1" customWidth="1"/>
    <col min="13064" max="13064" width="8" style="14" customWidth="1"/>
    <col min="13065" max="13313" width="9" style="14"/>
    <col min="13314" max="13314" width="5" style="14" customWidth="1"/>
    <col min="13315" max="13315" width="9.25" style="14" bestFit="1" customWidth="1"/>
    <col min="13316" max="13316" width="35.5" style="14" bestFit="1" customWidth="1"/>
    <col min="13317" max="13317" width="4.75" style="14" bestFit="1" customWidth="1"/>
    <col min="13318" max="13318" width="11.75" style="14" bestFit="1" customWidth="1"/>
    <col min="13319" max="13319" width="8.625" style="14" bestFit="1" customWidth="1"/>
    <col min="13320" max="13320" width="8" style="14" customWidth="1"/>
    <col min="13321" max="13569" width="9" style="14"/>
    <col min="13570" max="13570" width="5" style="14" customWidth="1"/>
    <col min="13571" max="13571" width="9.25" style="14" bestFit="1" customWidth="1"/>
    <col min="13572" max="13572" width="35.5" style="14" bestFit="1" customWidth="1"/>
    <col min="13573" max="13573" width="4.75" style="14" bestFit="1" customWidth="1"/>
    <col min="13574" max="13574" width="11.75" style="14" bestFit="1" customWidth="1"/>
    <col min="13575" max="13575" width="8.625" style="14" bestFit="1" customWidth="1"/>
    <col min="13576" max="13576" width="8" style="14" customWidth="1"/>
    <col min="13577" max="13825" width="9" style="14"/>
    <col min="13826" max="13826" width="5" style="14" customWidth="1"/>
    <col min="13827" max="13827" width="9.25" style="14" bestFit="1" customWidth="1"/>
    <col min="13828" max="13828" width="35.5" style="14" bestFit="1" customWidth="1"/>
    <col min="13829" max="13829" width="4.75" style="14" bestFit="1" customWidth="1"/>
    <col min="13830" max="13830" width="11.75" style="14" bestFit="1" customWidth="1"/>
    <col min="13831" max="13831" width="8.625" style="14" bestFit="1" customWidth="1"/>
    <col min="13832" max="13832" width="8" style="14" customWidth="1"/>
    <col min="13833" max="14081" width="9" style="14"/>
    <col min="14082" max="14082" width="5" style="14" customWidth="1"/>
    <col min="14083" max="14083" width="9.25" style="14" bestFit="1" customWidth="1"/>
    <col min="14084" max="14084" width="35.5" style="14" bestFit="1" customWidth="1"/>
    <col min="14085" max="14085" width="4.75" style="14" bestFit="1" customWidth="1"/>
    <col min="14086" max="14086" width="11.75" style="14" bestFit="1" customWidth="1"/>
    <col min="14087" max="14087" width="8.625" style="14" bestFit="1" customWidth="1"/>
    <col min="14088" max="14088" width="8" style="14" customWidth="1"/>
    <col min="14089" max="14337" width="9" style="14"/>
    <col min="14338" max="14338" width="5" style="14" customWidth="1"/>
    <col min="14339" max="14339" width="9.25" style="14" bestFit="1" customWidth="1"/>
    <col min="14340" max="14340" width="35.5" style="14" bestFit="1" customWidth="1"/>
    <col min="14341" max="14341" width="4.75" style="14" bestFit="1" customWidth="1"/>
    <col min="14342" max="14342" width="11.75" style="14" bestFit="1" customWidth="1"/>
    <col min="14343" max="14343" width="8.625" style="14" bestFit="1" customWidth="1"/>
    <col min="14344" max="14344" width="8" style="14" customWidth="1"/>
    <col min="14345" max="14593" width="9" style="14"/>
    <col min="14594" max="14594" width="5" style="14" customWidth="1"/>
    <col min="14595" max="14595" width="9.25" style="14" bestFit="1" customWidth="1"/>
    <col min="14596" max="14596" width="35.5" style="14" bestFit="1" customWidth="1"/>
    <col min="14597" max="14597" width="4.75" style="14" bestFit="1" customWidth="1"/>
    <col min="14598" max="14598" width="11.75" style="14" bestFit="1" customWidth="1"/>
    <col min="14599" max="14599" width="8.625" style="14" bestFit="1" customWidth="1"/>
    <col min="14600" max="14600" width="8" style="14" customWidth="1"/>
    <col min="14601" max="14849" width="9" style="14"/>
    <col min="14850" max="14850" width="5" style="14" customWidth="1"/>
    <col min="14851" max="14851" width="9.25" style="14" bestFit="1" customWidth="1"/>
    <col min="14852" max="14852" width="35.5" style="14" bestFit="1" customWidth="1"/>
    <col min="14853" max="14853" width="4.75" style="14" bestFit="1" customWidth="1"/>
    <col min="14854" max="14854" width="11.75" style="14" bestFit="1" customWidth="1"/>
    <col min="14855" max="14855" width="8.625" style="14" bestFit="1" customWidth="1"/>
    <col min="14856" max="14856" width="8" style="14" customWidth="1"/>
    <col min="14857" max="15105" width="9" style="14"/>
    <col min="15106" max="15106" width="5" style="14" customWidth="1"/>
    <col min="15107" max="15107" width="9.25" style="14" bestFit="1" customWidth="1"/>
    <col min="15108" max="15108" width="35.5" style="14" bestFit="1" customWidth="1"/>
    <col min="15109" max="15109" width="4.75" style="14" bestFit="1" customWidth="1"/>
    <col min="15110" max="15110" width="11.75" style="14" bestFit="1" customWidth="1"/>
    <col min="15111" max="15111" width="8.625" style="14" bestFit="1" customWidth="1"/>
    <col min="15112" max="15112" width="8" style="14" customWidth="1"/>
    <col min="15113" max="15361" width="9" style="14"/>
    <col min="15362" max="15362" width="5" style="14" customWidth="1"/>
    <col min="15363" max="15363" width="9.25" style="14" bestFit="1" customWidth="1"/>
    <col min="15364" max="15364" width="35.5" style="14" bestFit="1" customWidth="1"/>
    <col min="15365" max="15365" width="4.75" style="14" bestFit="1" customWidth="1"/>
    <col min="15366" max="15366" width="11.75" style="14" bestFit="1" customWidth="1"/>
    <col min="15367" max="15367" width="8.625" style="14" bestFit="1" customWidth="1"/>
    <col min="15368" max="15368" width="8" style="14" customWidth="1"/>
    <col min="15369" max="15617" width="9" style="14"/>
    <col min="15618" max="15618" width="5" style="14" customWidth="1"/>
    <col min="15619" max="15619" width="9.25" style="14" bestFit="1" customWidth="1"/>
    <col min="15620" max="15620" width="35.5" style="14" bestFit="1" customWidth="1"/>
    <col min="15621" max="15621" width="4.75" style="14" bestFit="1" customWidth="1"/>
    <col min="15622" max="15622" width="11.75" style="14" bestFit="1" customWidth="1"/>
    <col min="15623" max="15623" width="8.625" style="14" bestFit="1" customWidth="1"/>
    <col min="15624" max="15624" width="8" style="14" customWidth="1"/>
    <col min="15625" max="15873" width="9" style="14"/>
    <col min="15874" max="15874" width="5" style="14" customWidth="1"/>
    <col min="15875" max="15875" width="9.25" style="14" bestFit="1" customWidth="1"/>
    <col min="15876" max="15876" width="35.5" style="14" bestFit="1" customWidth="1"/>
    <col min="15877" max="15877" width="4.75" style="14" bestFit="1" customWidth="1"/>
    <col min="15878" max="15878" width="11.75" style="14" bestFit="1" customWidth="1"/>
    <col min="15879" max="15879" width="8.625" style="14" bestFit="1" customWidth="1"/>
    <col min="15880" max="15880" width="8" style="14" customWidth="1"/>
    <col min="15881" max="16129" width="9" style="14"/>
    <col min="16130" max="16130" width="5" style="14" customWidth="1"/>
    <col min="16131" max="16131" width="9.25" style="14" bestFit="1" customWidth="1"/>
    <col min="16132" max="16132" width="35.5" style="14" bestFit="1" customWidth="1"/>
    <col min="16133" max="16133" width="4.75" style="14" bestFit="1" customWidth="1"/>
    <col min="16134" max="16134" width="11.75" style="14" bestFit="1" customWidth="1"/>
    <col min="16135" max="16135" width="8.625" style="14" bestFit="1" customWidth="1"/>
    <col min="16136" max="16136" width="8" style="14" customWidth="1"/>
    <col min="16137" max="16384" width="9" style="14"/>
  </cols>
  <sheetData>
    <row r="1" spans="1:8" x14ac:dyDescent="0.3">
      <c r="A1" s="25" t="s">
        <v>41</v>
      </c>
      <c r="C1" s="25"/>
      <c r="D1" s="25" t="s">
        <v>42</v>
      </c>
    </row>
    <row r="2" spans="1:8" x14ac:dyDescent="0.3">
      <c r="A2" s="25" t="s">
        <v>241</v>
      </c>
      <c r="C2" s="25"/>
      <c r="D2" s="14" t="s">
        <v>43</v>
      </c>
    </row>
    <row r="3" spans="1:8" x14ac:dyDescent="0.3">
      <c r="A3" s="25" t="s">
        <v>242</v>
      </c>
      <c r="C3" s="25"/>
      <c r="D3" s="27" t="s">
        <v>251</v>
      </c>
      <c r="E3" s="27"/>
      <c r="F3" s="27"/>
      <c r="G3" s="27"/>
      <c r="H3" s="27"/>
    </row>
    <row r="4" spans="1:8" x14ac:dyDescent="0.25">
      <c r="C4" s="32"/>
      <c r="D4" s="27"/>
      <c r="E4" s="27"/>
      <c r="F4" s="27"/>
      <c r="G4" s="27"/>
      <c r="H4" s="27"/>
    </row>
    <row r="5" spans="1:8" ht="20.100000000000001" customHeight="1" x14ac:dyDescent="0.3">
      <c r="B5" s="56" t="s">
        <v>44</v>
      </c>
      <c r="C5" s="56" t="s">
        <v>45</v>
      </c>
      <c r="D5" s="56" t="s">
        <v>46</v>
      </c>
      <c r="E5" s="56" t="s">
        <v>47</v>
      </c>
      <c r="F5" s="56" t="s">
        <v>48</v>
      </c>
      <c r="G5" s="56" t="s">
        <v>49</v>
      </c>
      <c r="H5" s="56" t="s">
        <v>50</v>
      </c>
    </row>
    <row r="6" spans="1:8" x14ac:dyDescent="0.3">
      <c r="B6" s="57">
        <v>1</v>
      </c>
      <c r="C6" s="58" t="s">
        <v>38</v>
      </c>
      <c r="D6" s="58" t="s">
        <v>372</v>
      </c>
      <c r="E6" s="57" t="s">
        <v>51</v>
      </c>
      <c r="F6" s="58" t="s">
        <v>371</v>
      </c>
      <c r="G6" s="59">
        <v>19800</v>
      </c>
      <c r="H6" s="58"/>
    </row>
    <row r="7" spans="1:8" x14ac:dyDescent="0.3">
      <c r="B7" s="57">
        <v>2</v>
      </c>
      <c r="C7" s="58" t="s">
        <v>53</v>
      </c>
      <c r="D7" s="58" t="s">
        <v>373</v>
      </c>
      <c r="E7" s="57" t="s">
        <v>51</v>
      </c>
      <c r="F7" s="58" t="s">
        <v>54</v>
      </c>
      <c r="G7" s="59">
        <v>19800</v>
      </c>
      <c r="H7" s="58"/>
    </row>
    <row r="8" spans="1:8" x14ac:dyDescent="0.3">
      <c r="B8" s="57">
        <v>3</v>
      </c>
      <c r="C8" s="58" t="s">
        <v>55</v>
      </c>
      <c r="D8" s="58" t="s">
        <v>374</v>
      </c>
      <c r="E8" s="57" t="s">
        <v>51</v>
      </c>
      <c r="F8" s="58" t="s">
        <v>56</v>
      </c>
      <c r="G8" s="59">
        <v>23000</v>
      </c>
      <c r="H8" s="58"/>
    </row>
    <row r="9" spans="1:8" x14ac:dyDescent="0.3">
      <c r="B9" s="57">
        <v>4</v>
      </c>
      <c r="C9" s="58" t="s">
        <v>39</v>
      </c>
      <c r="D9" s="58" t="s">
        <v>375</v>
      </c>
      <c r="E9" s="57" t="s">
        <v>57</v>
      </c>
      <c r="F9" s="58" t="s">
        <v>52</v>
      </c>
      <c r="G9" s="59">
        <v>15000</v>
      </c>
      <c r="H9" s="58"/>
    </row>
    <row r="10" spans="1:8" x14ac:dyDescent="0.3">
      <c r="B10" s="57">
        <v>5</v>
      </c>
      <c r="C10" s="58" t="s">
        <v>37</v>
      </c>
      <c r="D10" s="58" t="s">
        <v>376</v>
      </c>
      <c r="E10" s="57" t="s">
        <v>57</v>
      </c>
      <c r="F10" s="58" t="s">
        <v>58</v>
      </c>
      <c r="G10" s="59">
        <v>19800</v>
      </c>
      <c r="H10" s="58"/>
    </row>
    <row r="11" spans="1:8" x14ac:dyDescent="0.3">
      <c r="B11" s="57">
        <v>6</v>
      </c>
      <c r="C11" s="58" t="s">
        <v>59</v>
      </c>
      <c r="D11" s="58" t="s">
        <v>60</v>
      </c>
      <c r="E11" s="57" t="s">
        <v>51</v>
      </c>
      <c r="F11" s="58" t="s">
        <v>58</v>
      </c>
      <c r="G11" s="59">
        <v>19800</v>
      </c>
      <c r="H11" s="58"/>
    </row>
    <row r="12" spans="1:8" x14ac:dyDescent="0.3">
      <c r="B12" s="57">
        <v>7</v>
      </c>
      <c r="C12" s="58" t="s">
        <v>61</v>
      </c>
      <c r="D12" s="58" t="s">
        <v>377</v>
      </c>
      <c r="E12" s="57" t="s">
        <v>62</v>
      </c>
      <c r="F12" s="58" t="s">
        <v>63</v>
      </c>
      <c r="G12" s="59">
        <v>18001</v>
      </c>
      <c r="H12" s="58"/>
    </row>
    <row r="13" spans="1:8" x14ac:dyDescent="0.3">
      <c r="B13" s="57">
        <v>8</v>
      </c>
      <c r="C13" s="58" t="s">
        <v>64</v>
      </c>
      <c r="D13" s="58" t="s">
        <v>378</v>
      </c>
      <c r="E13" s="57" t="s">
        <v>51</v>
      </c>
      <c r="F13" s="58" t="s">
        <v>65</v>
      </c>
      <c r="G13" s="59">
        <v>22000</v>
      </c>
      <c r="H13" s="58"/>
    </row>
    <row r="14" spans="1:8" x14ac:dyDescent="0.3">
      <c r="B14" s="57">
        <v>9</v>
      </c>
      <c r="C14" s="58" t="s">
        <v>66</v>
      </c>
      <c r="D14" s="58" t="s">
        <v>379</v>
      </c>
      <c r="E14" s="57" t="s">
        <v>57</v>
      </c>
      <c r="F14" s="58" t="s">
        <v>58</v>
      </c>
      <c r="G14" s="59">
        <v>18000</v>
      </c>
      <c r="H14" s="58"/>
    </row>
    <row r="15" spans="1:8" x14ac:dyDescent="0.3">
      <c r="B15" s="57">
        <v>10</v>
      </c>
      <c r="C15" s="58" t="s">
        <v>67</v>
      </c>
      <c r="D15" s="58" t="s">
        <v>380</v>
      </c>
      <c r="E15" s="57" t="s">
        <v>68</v>
      </c>
      <c r="F15" s="58" t="s">
        <v>69</v>
      </c>
      <c r="G15" s="59">
        <v>18000</v>
      </c>
      <c r="H15" s="58"/>
    </row>
    <row r="16" spans="1:8" x14ac:dyDescent="0.3">
      <c r="B16" s="57">
        <v>11</v>
      </c>
      <c r="C16" s="58" t="s">
        <v>40</v>
      </c>
      <c r="D16" s="58" t="s">
        <v>381</v>
      </c>
      <c r="E16" s="57" t="s">
        <v>70</v>
      </c>
      <c r="F16" s="58" t="s">
        <v>71</v>
      </c>
      <c r="G16" s="59">
        <v>20000</v>
      </c>
      <c r="H16" s="58"/>
    </row>
    <row r="17" spans="2:8" x14ac:dyDescent="0.3">
      <c r="B17" s="57">
        <v>12</v>
      </c>
      <c r="C17" s="58" t="s">
        <v>72</v>
      </c>
      <c r="D17" s="58" t="s">
        <v>382</v>
      </c>
      <c r="E17" s="57" t="s">
        <v>70</v>
      </c>
      <c r="F17" s="58" t="s">
        <v>73</v>
      </c>
      <c r="G17" s="59">
        <v>19800</v>
      </c>
      <c r="H17" s="58"/>
    </row>
    <row r="18" spans="2:8" x14ac:dyDescent="0.3">
      <c r="B18" s="57">
        <v>13</v>
      </c>
      <c r="C18" s="58" t="s">
        <v>74</v>
      </c>
      <c r="D18" s="58" t="s">
        <v>463</v>
      </c>
      <c r="E18" s="57" t="s">
        <v>68</v>
      </c>
      <c r="F18" s="58" t="s">
        <v>75</v>
      </c>
      <c r="G18" s="59">
        <v>18000</v>
      </c>
      <c r="H18" s="58"/>
    </row>
    <row r="19" spans="2:8" x14ac:dyDescent="0.3">
      <c r="B19" s="57">
        <v>14</v>
      </c>
      <c r="C19" s="58" t="s">
        <v>76</v>
      </c>
      <c r="D19" s="58" t="s">
        <v>77</v>
      </c>
      <c r="E19" s="57" t="s">
        <v>70</v>
      </c>
      <c r="F19" s="58" t="s">
        <v>78</v>
      </c>
      <c r="G19" s="59">
        <v>25000</v>
      </c>
      <c r="H19" s="58"/>
    </row>
    <row r="20" spans="2:8" x14ac:dyDescent="0.3">
      <c r="B20" s="57">
        <v>15</v>
      </c>
      <c r="C20" s="58" t="s">
        <v>79</v>
      </c>
      <c r="D20" s="58" t="s">
        <v>383</v>
      </c>
      <c r="E20" s="57" t="s">
        <v>68</v>
      </c>
      <c r="F20" s="58" t="s">
        <v>80</v>
      </c>
      <c r="G20" s="59">
        <v>18000</v>
      </c>
      <c r="H20" s="58"/>
    </row>
  </sheetData>
  <phoneticPr fontId="1" type="noConversion"/>
  <dataValidations count="1">
    <dataValidation type="whole" operator="greaterThanOrEqual" allowBlank="1" showInputMessage="1" showErrorMessage="1" sqref="G6 JC6 SY6 ACU6 AMQ6 AWM6 BGI6 BQE6 CAA6 CJW6 CTS6 DDO6 DNK6 DXG6 EHC6 EQY6 FAU6 FKQ6 FUM6 GEI6 GOE6 GYA6 HHW6 HRS6 IBO6 ILK6 IVG6 JFC6 JOY6 JYU6 KIQ6 KSM6 LCI6 LME6 LWA6 MFW6 MPS6 MZO6 NJK6 NTG6 ODC6 OMY6 OWU6 PGQ6 PQM6 QAI6 QKE6 QUA6 RDW6 RNS6 RXO6 SHK6 SRG6 TBC6 TKY6 TUU6 UEQ6 UOM6 UYI6 VIE6 VSA6 WBW6 WLS6 WVO6 G65547 JC65547 SY65547 ACU65547 AMQ65547 AWM65547 BGI65547 BQE65547 CAA65547 CJW65547 CTS65547 DDO65547 DNK65547 DXG65547 EHC65547 EQY65547 FAU65547 FKQ65547 FUM65547 GEI65547 GOE65547 GYA65547 HHW65547 HRS65547 IBO65547 ILK65547 IVG65547 JFC65547 JOY65547 JYU65547 KIQ65547 KSM65547 LCI65547 LME65547 LWA65547 MFW65547 MPS65547 MZO65547 NJK65547 NTG65547 ODC65547 OMY65547 OWU65547 PGQ65547 PQM65547 QAI65547 QKE65547 QUA65547 RDW65547 RNS65547 RXO65547 SHK65547 SRG65547 TBC65547 TKY65547 TUU65547 UEQ65547 UOM65547 UYI65547 VIE65547 VSA65547 WBW65547 WLS65547 WVO65547 G131083 JC131083 SY131083 ACU131083 AMQ131083 AWM131083 BGI131083 BQE131083 CAA131083 CJW131083 CTS131083 DDO131083 DNK131083 DXG131083 EHC131083 EQY131083 FAU131083 FKQ131083 FUM131083 GEI131083 GOE131083 GYA131083 HHW131083 HRS131083 IBO131083 ILK131083 IVG131083 JFC131083 JOY131083 JYU131083 KIQ131083 KSM131083 LCI131083 LME131083 LWA131083 MFW131083 MPS131083 MZO131083 NJK131083 NTG131083 ODC131083 OMY131083 OWU131083 PGQ131083 PQM131083 QAI131083 QKE131083 QUA131083 RDW131083 RNS131083 RXO131083 SHK131083 SRG131083 TBC131083 TKY131083 TUU131083 UEQ131083 UOM131083 UYI131083 VIE131083 VSA131083 WBW131083 WLS131083 WVO131083 G196619 JC196619 SY196619 ACU196619 AMQ196619 AWM196619 BGI196619 BQE196619 CAA196619 CJW196619 CTS196619 DDO196619 DNK196619 DXG196619 EHC196619 EQY196619 FAU196619 FKQ196619 FUM196619 GEI196619 GOE196619 GYA196619 HHW196619 HRS196619 IBO196619 ILK196619 IVG196619 JFC196619 JOY196619 JYU196619 KIQ196619 KSM196619 LCI196619 LME196619 LWA196619 MFW196619 MPS196619 MZO196619 NJK196619 NTG196619 ODC196619 OMY196619 OWU196619 PGQ196619 PQM196619 QAI196619 QKE196619 QUA196619 RDW196619 RNS196619 RXO196619 SHK196619 SRG196619 TBC196619 TKY196619 TUU196619 UEQ196619 UOM196619 UYI196619 VIE196619 VSA196619 WBW196619 WLS196619 WVO196619 G262155 JC262155 SY262155 ACU262155 AMQ262155 AWM262155 BGI262155 BQE262155 CAA262155 CJW262155 CTS262155 DDO262155 DNK262155 DXG262155 EHC262155 EQY262155 FAU262155 FKQ262155 FUM262155 GEI262155 GOE262155 GYA262155 HHW262155 HRS262155 IBO262155 ILK262155 IVG262155 JFC262155 JOY262155 JYU262155 KIQ262155 KSM262155 LCI262155 LME262155 LWA262155 MFW262155 MPS262155 MZO262155 NJK262155 NTG262155 ODC262155 OMY262155 OWU262155 PGQ262155 PQM262155 QAI262155 QKE262155 QUA262155 RDW262155 RNS262155 RXO262155 SHK262155 SRG262155 TBC262155 TKY262155 TUU262155 UEQ262155 UOM262155 UYI262155 VIE262155 VSA262155 WBW262155 WLS262155 WVO262155 G327691 JC327691 SY327691 ACU327691 AMQ327691 AWM327691 BGI327691 BQE327691 CAA327691 CJW327691 CTS327691 DDO327691 DNK327691 DXG327691 EHC327691 EQY327691 FAU327691 FKQ327691 FUM327691 GEI327691 GOE327691 GYA327691 HHW327691 HRS327691 IBO327691 ILK327691 IVG327691 JFC327691 JOY327691 JYU327691 KIQ327691 KSM327691 LCI327691 LME327691 LWA327691 MFW327691 MPS327691 MZO327691 NJK327691 NTG327691 ODC327691 OMY327691 OWU327691 PGQ327691 PQM327691 QAI327691 QKE327691 QUA327691 RDW327691 RNS327691 RXO327691 SHK327691 SRG327691 TBC327691 TKY327691 TUU327691 UEQ327691 UOM327691 UYI327691 VIE327691 VSA327691 WBW327691 WLS327691 WVO327691 G393227 JC393227 SY393227 ACU393227 AMQ393227 AWM393227 BGI393227 BQE393227 CAA393227 CJW393227 CTS393227 DDO393227 DNK393227 DXG393227 EHC393227 EQY393227 FAU393227 FKQ393227 FUM393227 GEI393227 GOE393227 GYA393227 HHW393227 HRS393227 IBO393227 ILK393227 IVG393227 JFC393227 JOY393227 JYU393227 KIQ393227 KSM393227 LCI393227 LME393227 LWA393227 MFW393227 MPS393227 MZO393227 NJK393227 NTG393227 ODC393227 OMY393227 OWU393227 PGQ393227 PQM393227 QAI393227 QKE393227 QUA393227 RDW393227 RNS393227 RXO393227 SHK393227 SRG393227 TBC393227 TKY393227 TUU393227 UEQ393227 UOM393227 UYI393227 VIE393227 VSA393227 WBW393227 WLS393227 WVO393227 G458763 JC458763 SY458763 ACU458763 AMQ458763 AWM458763 BGI458763 BQE458763 CAA458763 CJW458763 CTS458763 DDO458763 DNK458763 DXG458763 EHC458763 EQY458763 FAU458763 FKQ458763 FUM458763 GEI458763 GOE458763 GYA458763 HHW458763 HRS458763 IBO458763 ILK458763 IVG458763 JFC458763 JOY458763 JYU458763 KIQ458763 KSM458763 LCI458763 LME458763 LWA458763 MFW458763 MPS458763 MZO458763 NJK458763 NTG458763 ODC458763 OMY458763 OWU458763 PGQ458763 PQM458763 QAI458763 QKE458763 QUA458763 RDW458763 RNS458763 RXO458763 SHK458763 SRG458763 TBC458763 TKY458763 TUU458763 UEQ458763 UOM458763 UYI458763 VIE458763 VSA458763 WBW458763 WLS458763 WVO458763 G524299 JC524299 SY524299 ACU524299 AMQ524299 AWM524299 BGI524299 BQE524299 CAA524299 CJW524299 CTS524299 DDO524299 DNK524299 DXG524299 EHC524299 EQY524299 FAU524299 FKQ524299 FUM524299 GEI524299 GOE524299 GYA524299 HHW524299 HRS524299 IBO524299 ILK524299 IVG524299 JFC524299 JOY524299 JYU524299 KIQ524299 KSM524299 LCI524299 LME524299 LWA524299 MFW524299 MPS524299 MZO524299 NJK524299 NTG524299 ODC524299 OMY524299 OWU524299 PGQ524299 PQM524299 QAI524299 QKE524299 QUA524299 RDW524299 RNS524299 RXO524299 SHK524299 SRG524299 TBC524299 TKY524299 TUU524299 UEQ524299 UOM524299 UYI524299 VIE524299 VSA524299 WBW524299 WLS524299 WVO524299 G589835 JC589835 SY589835 ACU589835 AMQ589835 AWM589835 BGI589835 BQE589835 CAA589835 CJW589835 CTS589835 DDO589835 DNK589835 DXG589835 EHC589835 EQY589835 FAU589835 FKQ589835 FUM589835 GEI589835 GOE589835 GYA589835 HHW589835 HRS589835 IBO589835 ILK589835 IVG589835 JFC589835 JOY589835 JYU589835 KIQ589835 KSM589835 LCI589835 LME589835 LWA589835 MFW589835 MPS589835 MZO589835 NJK589835 NTG589835 ODC589835 OMY589835 OWU589835 PGQ589835 PQM589835 QAI589835 QKE589835 QUA589835 RDW589835 RNS589835 RXO589835 SHK589835 SRG589835 TBC589835 TKY589835 TUU589835 UEQ589835 UOM589835 UYI589835 VIE589835 VSA589835 WBW589835 WLS589835 WVO589835 G655371 JC655371 SY655371 ACU655371 AMQ655371 AWM655371 BGI655371 BQE655371 CAA655371 CJW655371 CTS655371 DDO655371 DNK655371 DXG655371 EHC655371 EQY655371 FAU655371 FKQ655371 FUM655371 GEI655371 GOE655371 GYA655371 HHW655371 HRS655371 IBO655371 ILK655371 IVG655371 JFC655371 JOY655371 JYU655371 KIQ655371 KSM655371 LCI655371 LME655371 LWA655371 MFW655371 MPS655371 MZO655371 NJK655371 NTG655371 ODC655371 OMY655371 OWU655371 PGQ655371 PQM655371 QAI655371 QKE655371 QUA655371 RDW655371 RNS655371 RXO655371 SHK655371 SRG655371 TBC655371 TKY655371 TUU655371 UEQ655371 UOM655371 UYI655371 VIE655371 VSA655371 WBW655371 WLS655371 WVO655371 G720907 JC720907 SY720907 ACU720907 AMQ720907 AWM720907 BGI720907 BQE720907 CAA720907 CJW720907 CTS720907 DDO720907 DNK720907 DXG720907 EHC720907 EQY720907 FAU720907 FKQ720907 FUM720907 GEI720907 GOE720907 GYA720907 HHW720907 HRS720907 IBO720907 ILK720907 IVG720907 JFC720907 JOY720907 JYU720907 KIQ720907 KSM720907 LCI720907 LME720907 LWA720907 MFW720907 MPS720907 MZO720907 NJK720907 NTG720907 ODC720907 OMY720907 OWU720907 PGQ720907 PQM720907 QAI720907 QKE720907 QUA720907 RDW720907 RNS720907 RXO720907 SHK720907 SRG720907 TBC720907 TKY720907 TUU720907 UEQ720907 UOM720907 UYI720907 VIE720907 VSA720907 WBW720907 WLS720907 WVO720907 G786443 JC786443 SY786443 ACU786443 AMQ786443 AWM786443 BGI786443 BQE786443 CAA786443 CJW786443 CTS786443 DDO786443 DNK786443 DXG786443 EHC786443 EQY786443 FAU786443 FKQ786443 FUM786443 GEI786443 GOE786443 GYA786443 HHW786443 HRS786443 IBO786443 ILK786443 IVG786443 JFC786443 JOY786443 JYU786443 KIQ786443 KSM786443 LCI786443 LME786443 LWA786443 MFW786443 MPS786443 MZO786443 NJK786443 NTG786443 ODC786443 OMY786443 OWU786443 PGQ786443 PQM786443 QAI786443 QKE786443 QUA786443 RDW786443 RNS786443 RXO786443 SHK786443 SRG786443 TBC786443 TKY786443 TUU786443 UEQ786443 UOM786443 UYI786443 VIE786443 VSA786443 WBW786443 WLS786443 WVO786443 G851979 JC851979 SY851979 ACU851979 AMQ851979 AWM851979 BGI851979 BQE851979 CAA851979 CJW851979 CTS851979 DDO851979 DNK851979 DXG851979 EHC851979 EQY851979 FAU851979 FKQ851979 FUM851979 GEI851979 GOE851979 GYA851979 HHW851979 HRS851979 IBO851979 ILK851979 IVG851979 JFC851979 JOY851979 JYU851979 KIQ851979 KSM851979 LCI851979 LME851979 LWA851979 MFW851979 MPS851979 MZO851979 NJK851979 NTG851979 ODC851979 OMY851979 OWU851979 PGQ851979 PQM851979 QAI851979 QKE851979 QUA851979 RDW851979 RNS851979 RXO851979 SHK851979 SRG851979 TBC851979 TKY851979 TUU851979 UEQ851979 UOM851979 UYI851979 VIE851979 VSA851979 WBW851979 WLS851979 WVO851979 G917515 JC917515 SY917515 ACU917515 AMQ917515 AWM917515 BGI917515 BQE917515 CAA917515 CJW917515 CTS917515 DDO917515 DNK917515 DXG917515 EHC917515 EQY917515 FAU917515 FKQ917515 FUM917515 GEI917515 GOE917515 GYA917515 HHW917515 HRS917515 IBO917515 ILK917515 IVG917515 JFC917515 JOY917515 JYU917515 KIQ917515 KSM917515 LCI917515 LME917515 LWA917515 MFW917515 MPS917515 MZO917515 NJK917515 NTG917515 ODC917515 OMY917515 OWU917515 PGQ917515 PQM917515 QAI917515 QKE917515 QUA917515 RDW917515 RNS917515 RXO917515 SHK917515 SRG917515 TBC917515 TKY917515 TUU917515 UEQ917515 UOM917515 UYI917515 VIE917515 VSA917515 WBW917515 WLS917515 WVO917515 G983051 JC983051 SY983051 ACU983051 AMQ983051 AWM983051 BGI983051 BQE983051 CAA983051 CJW983051 CTS983051 DDO983051 DNK983051 DXG983051 EHC983051 EQY983051 FAU983051 FKQ983051 FUM983051 GEI983051 GOE983051 GYA983051 HHW983051 HRS983051 IBO983051 ILK983051 IVG983051 JFC983051 JOY983051 JYU983051 KIQ983051 KSM983051 LCI983051 LME983051 LWA983051 MFW983051 MPS983051 MZO983051 NJK983051 NTG983051 ODC983051 OMY983051 OWU983051 PGQ983051 PQM983051 QAI983051 QKE983051 QUA983051 RDW983051 RNS983051 RXO983051 SHK983051 SRG983051 TBC983051 TKY983051 TUU983051 UEQ983051 UOM983051 UYI983051 VIE983051 VSA983051 WBW983051 WLS983051 WVO983051 G13:G20 JC13:JC20 SY13:SY20 ACU13:ACU20 AMQ13:AMQ20 AWM13:AWM20 BGI13:BGI20 BQE13:BQE20 CAA13:CAA20 CJW13:CJW20 CTS13:CTS20 DDO13:DDO20 DNK13:DNK20 DXG13:DXG20 EHC13:EHC20 EQY13:EQY20 FAU13:FAU20 FKQ13:FKQ20 FUM13:FUM20 GEI13:GEI20 GOE13:GOE20 GYA13:GYA20 HHW13:HHW20 HRS13:HRS20 IBO13:IBO20 ILK13:ILK20 IVG13:IVG20 JFC13:JFC20 JOY13:JOY20 JYU13:JYU20 KIQ13:KIQ20 KSM13:KSM20 LCI13:LCI20 LME13:LME20 LWA13:LWA20 MFW13:MFW20 MPS13:MPS20 MZO13:MZO20 NJK13:NJK20 NTG13:NTG20 ODC13:ODC20 OMY13:OMY20 OWU13:OWU20 PGQ13:PGQ20 PQM13:PQM20 QAI13:QAI20 QKE13:QKE20 QUA13:QUA20 RDW13:RDW20 RNS13:RNS20 RXO13:RXO20 SHK13:SHK20 SRG13:SRG20 TBC13:TBC20 TKY13:TKY20 TUU13:TUU20 UEQ13:UEQ20 UOM13:UOM20 UYI13:UYI20 VIE13:VIE20 VSA13:VSA20 WBW13:WBW20 WLS13:WLS20 WVO13:WVO20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formula1>0</formula1>
    </dataValidation>
  </dataValidations>
  <pageMargins left="0.75" right="0.75" top="1" bottom="1" header="0.5" footer="0.5"/>
  <headerFooter alignWithMargins="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sheetPr>
  <dimension ref="A1:M31"/>
  <sheetViews>
    <sheetView showGridLines="0" workbookViewId="0">
      <selection activeCell="B7" sqref="B7"/>
    </sheetView>
  </sheetViews>
  <sheetFormatPr defaultRowHeight="16.5" x14ac:dyDescent="0.3"/>
  <cols>
    <col min="1" max="1" width="1.375" style="14" customWidth="1"/>
    <col min="2" max="2" width="11" style="14" customWidth="1"/>
    <col min="3" max="3" width="17.75" style="14" bestFit="1" customWidth="1"/>
    <col min="4" max="4" width="11.625" style="14" bestFit="1" customWidth="1"/>
    <col min="6" max="6" width="10.25" customWidth="1"/>
    <col min="7" max="7" width="6.75" customWidth="1"/>
    <col min="8" max="8" width="10.625" style="14" bestFit="1" customWidth="1"/>
    <col min="9" max="9" width="16.25" style="14" bestFit="1" customWidth="1"/>
    <col min="11" max="11" width="30.625" style="14" customWidth="1"/>
    <col min="12" max="12" width="8" style="14" customWidth="1"/>
    <col min="13" max="13" width="11.875" style="14" customWidth="1"/>
    <col min="14" max="14" width="7.875" style="14" bestFit="1" customWidth="1"/>
    <col min="15" max="15" width="28.375" style="14" customWidth="1"/>
    <col min="16" max="16" width="9.25" style="14" customWidth="1"/>
    <col min="17" max="258" width="9" style="14"/>
    <col min="259" max="259" width="1.375" style="14" customWidth="1"/>
    <col min="260" max="260" width="10.75" style="14" customWidth="1"/>
    <col min="261" max="261" width="17.75" style="14" bestFit="1" customWidth="1"/>
    <col min="262" max="262" width="11.625" style="14" bestFit="1" customWidth="1"/>
    <col min="263" max="263" width="7.625" style="14" customWidth="1"/>
    <col min="264" max="264" width="8" style="14" bestFit="1" customWidth="1"/>
    <col min="265" max="265" width="28.375" style="14" customWidth="1"/>
    <col min="266" max="266" width="8" style="14" bestFit="1" customWidth="1"/>
    <col min="267" max="267" width="9.125" style="14" bestFit="1" customWidth="1"/>
    <col min="268" max="268" width="8.125" style="14" customWidth="1"/>
    <col min="269" max="269" width="7.875" style="14" bestFit="1" customWidth="1"/>
    <col min="270" max="270" width="8.25" style="14" customWidth="1"/>
    <col min="271" max="271" width="8" style="14" customWidth="1"/>
    <col min="272" max="272" width="18.625" style="14" customWidth="1"/>
    <col min="273" max="514" width="9" style="14"/>
    <col min="515" max="515" width="1.375" style="14" customWidth="1"/>
    <col min="516" max="516" width="10.75" style="14" customWidth="1"/>
    <col min="517" max="517" width="17.75" style="14" bestFit="1" customWidth="1"/>
    <col min="518" max="518" width="11.625" style="14" bestFit="1" customWidth="1"/>
    <col min="519" max="519" width="7.625" style="14" customWidth="1"/>
    <col min="520" max="520" width="8" style="14" bestFit="1" customWidth="1"/>
    <col min="521" max="521" width="28.375" style="14" customWidth="1"/>
    <col min="522" max="522" width="8" style="14" bestFit="1" customWidth="1"/>
    <col min="523" max="523" width="9.125" style="14" bestFit="1" customWidth="1"/>
    <col min="524" max="524" width="8.125" style="14" customWidth="1"/>
    <col min="525" max="525" width="7.875" style="14" bestFit="1" customWidth="1"/>
    <col min="526" max="526" width="8.25" style="14" customWidth="1"/>
    <col min="527" max="527" width="8" style="14" customWidth="1"/>
    <col min="528" max="528" width="18.625" style="14" customWidth="1"/>
    <col min="529" max="770" width="9" style="14"/>
    <col min="771" max="771" width="1.375" style="14" customWidth="1"/>
    <col min="772" max="772" width="10.75" style="14" customWidth="1"/>
    <col min="773" max="773" width="17.75" style="14" bestFit="1" customWidth="1"/>
    <col min="774" max="774" width="11.625" style="14" bestFit="1" customWidth="1"/>
    <col min="775" max="775" width="7.625" style="14" customWidth="1"/>
    <col min="776" max="776" width="8" style="14" bestFit="1" customWidth="1"/>
    <col min="777" max="777" width="28.375" style="14" customWidth="1"/>
    <col min="778" max="778" width="8" style="14" bestFit="1" customWidth="1"/>
    <col min="779" max="779" width="9.125" style="14" bestFit="1" customWidth="1"/>
    <col min="780" max="780" width="8.125" style="14" customWidth="1"/>
    <col min="781" max="781" width="7.875" style="14" bestFit="1" customWidth="1"/>
    <col min="782" max="782" width="8.25" style="14" customWidth="1"/>
    <col min="783" max="783" width="8" style="14" customWidth="1"/>
    <col min="784" max="784" width="18.625" style="14" customWidth="1"/>
    <col min="785" max="1026" width="9" style="14"/>
    <col min="1027" max="1027" width="1.375" style="14" customWidth="1"/>
    <col min="1028" max="1028" width="10.75" style="14" customWidth="1"/>
    <col min="1029" max="1029" width="17.75" style="14" bestFit="1" customWidth="1"/>
    <col min="1030" max="1030" width="11.625" style="14" bestFit="1" customWidth="1"/>
    <col min="1031" max="1031" width="7.625" style="14" customWidth="1"/>
    <col min="1032" max="1032" width="8" style="14" bestFit="1" customWidth="1"/>
    <col min="1033" max="1033" width="28.375" style="14" customWidth="1"/>
    <col min="1034" max="1034" width="8" style="14" bestFit="1" customWidth="1"/>
    <col min="1035" max="1035" width="9.125" style="14" bestFit="1" customWidth="1"/>
    <col min="1036" max="1036" width="8.125" style="14" customWidth="1"/>
    <col min="1037" max="1037" width="7.875" style="14" bestFit="1" customWidth="1"/>
    <col min="1038" max="1038" width="8.25" style="14" customWidth="1"/>
    <col min="1039" max="1039" width="8" style="14" customWidth="1"/>
    <col min="1040" max="1040" width="18.625" style="14" customWidth="1"/>
    <col min="1041" max="1282" width="9" style="14"/>
    <col min="1283" max="1283" width="1.375" style="14" customWidth="1"/>
    <col min="1284" max="1284" width="10.75" style="14" customWidth="1"/>
    <col min="1285" max="1285" width="17.75" style="14" bestFit="1" customWidth="1"/>
    <col min="1286" max="1286" width="11.625" style="14" bestFit="1" customWidth="1"/>
    <col min="1287" max="1287" width="7.625" style="14" customWidth="1"/>
    <col min="1288" max="1288" width="8" style="14" bestFit="1" customWidth="1"/>
    <col min="1289" max="1289" width="28.375" style="14" customWidth="1"/>
    <col min="1290" max="1290" width="8" style="14" bestFit="1" customWidth="1"/>
    <col min="1291" max="1291" width="9.125" style="14" bestFit="1" customWidth="1"/>
    <col min="1292" max="1292" width="8.125" style="14" customWidth="1"/>
    <col min="1293" max="1293" width="7.875" style="14" bestFit="1" customWidth="1"/>
    <col min="1294" max="1294" width="8.25" style="14" customWidth="1"/>
    <col min="1295" max="1295" width="8" style="14" customWidth="1"/>
    <col min="1296" max="1296" width="18.625" style="14" customWidth="1"/>
    <col min="1297" max="1538" width="9" style="14"/>
    <col min="1539" max="1539" width="1.375" style="14" customWidth="1"/>
    <col min="1540" max="1540" width="10.75" style="14" customWidth="1"/>
    <col min="1541" max="1541" width="17.75" style="14" bestFit="1" customWidth="1"/>
    <col min="1542" max="1542" width="11.625" style="14" bestFit="1" customWidth="1"/>
    <col min="1543" max="1543" width="7.625" style="14" customWidth="1"/>
    <col min="1544" max="1544" width="8" style="14" bestFit="1" customWidth="1"/>
    <col min="1545" max="1545" width="28.375" style="14" customWidth="1"/>
    <col min="1546" max="1546" width="8" style="14" bestFit="1" customWidth="1"/>
    <col min="1547" max="1547" width="9.125" style="14" bestFit="1" customWidth="1"/>
    <col min="1548" max="1548" width="8.125" style="14" customWidth="1"/>
    <col min="1549" max="1549" width="7.875" style="14" bestFit="1" customWidth="1"/>
    <col min="1550" max="1550" width="8.25" style="14" customWidth="1"/>
    <col min="1551" max="1551" width="8" style="14" customWidth="1"/>
    <col min="1552" max="1552" width="18.625" style="14" customWidth="1"/>
    <col min="1553" max="1794" width="9" style="14"/>
    <col min="1795" max="1795" width="1.375" style="14" customWidth="1"/>
    <col min="1796" max="1796" width="10.75" style="14" customWidth="1"/>
    <col min="1797" max="1797" width="17.75" style="14" bestFit="1" customWidth="1"/>
    <col min="1798" max="1798" width="11.625" style="14" bestFit="1" customWidth="1"/>
    <col min="1799" max="1799" width="7.625" style="14" customWidth="1"/>
    <col min="1800" max="1800" width="8" style="14" bestFit="1" customWidth="1"/>
    <col min="1801" max="1801" width="28.375" style="14" customWidth="1"/>
    <col min="1802" max="1802" width="8" style="14" bestFit="1" customWidth="1"/>
    <col min="1803" max="1803" width="9.125" style="14" bestFit="1" customWidth="1"/>
    <col min="1804" max="1804" width="8.125" style="14" customWidth="1"/>
    <col min="1805" max="1805" width="7.875" style="14" bestFit="1" customWidth="1"/>
    <col min="1806" max="1806" width="8.25" style="14" customWidth="1"/>
    <col min="1807" max="1807" width="8" style="14" customWidth="1"/>
    <col min="1808" max="1808" width="18.625" style="14" customWidth="1"/>
    <col min="1809" max="2050" width="9" style="14"/>
    <col min="2051" max="2051" width="1.375" style="14" customWidth="1"/>
    <col min="2052" max="2052" width="10.75" style="14" customWidth="1"/>
    <col min="2053" max="2053" width="17.75" style="14" bestFit="1" customWidth="1"/>
    <col min="2054" max="2054" width="11.625" style="14" bestFit="1" customWidth="1"/>
    <col min="2055" max="2055" width="7.625" style="14" customWidth="1"/>
    <col min="2056" max="2056" width="8" style="14" bestFit="1" customWidth="1"/>
    <col min="2057" max="2057" width="28.375" style="14" customWidth="1"/>
    <col min="2058" max="2058" width="8" style="14" bestFit="1" customWidth="1"/>
    <col min="2059" max="2059" width="9.125" style="14" bestFit="1" customWidth="1"/>
    <col min="2060" max="2060" width="8.125" style="14" customWidth="1"/>
    <col min="2061" max="2061" width="7.875" style="14" bestFit="1" customWidth="1"/>
    <col min="2062" max="2062" width="8.25" style="14" customWidth="1"/>
    <col min="2063" max="2063" width="8" style="14" customWidth="1"/>
    <col min="2064" max="2064" width="18.625" style="14" customWidth="1"/>
    <col min="2065" max="2306" width="9" style="14"/>
    <col min="2307" max="2307" width="1.375" style="14" customWidth="1"/>
    <col min="2308" max="2308" width="10.75" style="14" customWidth="1"/>
    <col min="2309" max="2309" width="17.75" style="14" bestFit="1" customWidth="1"/>
    <col min="2310" max="2310" width="11.625" style="14" bestFit="1" customWidth="1"/>
    <col min="2311" max="2311" width="7.625" style="14" customWidth="1"/>
    <col min="2312" max="2312" width="8" style="14" bestFit="1" customWidth="1"/>
    <col min="2313" max="2313" width="28.375" style="14" customWidth="1"/>
    <col min="2314" max="2314" width="8" style="14" bestFit="1" customWidth="1"/>
    <col min="2315" max="2315" width="9.125" style="14" bestFit="1" customWidth="1"/>
    <col min="2316" max="2316" width="8.125" style="14" customWidth="1"/>
    <col min="2317" max="2317" width="7.875" style="14" bestFit="1" customWidth="1"/>
    <col min="2318" max="2318" width="8.25" style="14" customWidth="1"/>
    <col min="2319" max="2319" width="8" style="14" customWidth="1"/>
    <col min="2320" max="2320" width="18.625" style="14" customWidth="1"/>
    <col min="2321" max="2562" width="9" style="14"/>
    <col min="2563" max="2563" width="1.375" style="14" customWidth="1"/>
    <col min="2564" max="2564" width="10.75" style="14" customWidth="1"/>
    <col min="2565" max="2565" width="17.75" style="14" bestFit="1" customWidth="1"/>
    <col min="2566" max="2566" width="11.625" style="14" bestFit="1" customWidth="1"/>
    <col min="2567" max="2567" width="7.625" style="14" customWidth="1"/>
    <col min="2568" max="2568" width="8" style="14" bestFit="1" customWidth="1"/>
    <col min="2569" max="2569" width="28.375" style="14" customWidth="1"/>
    <col min="2570" max="2570" width="8" style="14" bestFit="1" customWidth="1"/>
    <col min="2571" max="2571" width="9.125" style="14" bestFit="1" customWidth="1"/>
    <col min="2572" max="2572" width="8.125" style="14" customWidth="1"/>
    <col min="2573" max="2573" width="7.875" style="14" bestFit="1" customWidth="1"/>
    <col min="2574" max="2574" width="8.25" style="14" customWidth="1"/>
    <col min="2575" max="2575" width="8" style="14" customWidth="1"/>
    <col min="2576" max="2576" width="18.625" style="14" customWidth="1"/>
    <col min="2577" max="2818" width="9" style="14"/>
    <col min="2819" max="2819" width="1.375" style="14" customWidth="1"/>
    <col min="2820" max="2820" width="10.75" style="14" customWidth="1"/>
    <col min="2821" max="2821" width="17.75" style="14" bestFit="1" customWidth="1"/>
    <col min="2822" max="2822" width="11.625" style="14" bestFit="1" customWidth="1"/>
    <col min="2823" max="2823" width="7.625" style="14" customWidth="1"/>
    <col min="2824" max="2824" width="8" style="14" bestFit="1" customWidth="1"/>
    <col min="2825" max="2825" width="28.375" style="14" customWidth="1"/>
    <col min="2826" max="2826" width="8" style="14" bestFit="1" customWidth="1"/>
    <col min="2827" max="2827" width="9.125" style="14" bestFit="1" customWidth="1"/>
    <col min="2828" max="2828" width="8.125" style="14" customWidth="1"/>
    <col min="2829" max="2829" width="7.875" style="14" bestFit="1" customWidth="1"/>
    <col min="2830" max="2830" width="8.25" style="14" customWidth="1"/>
    <col min="2831" max="2831" width="8" style="14" customWidth="1"/>
    <col min="2832" max="2832" width="18.625" style="14" customWidth="1"/>
    <col min="2833" max="3074" width="9" style="14"/>
    <col min="3075" max="3075" width="1.375" style="14" customWidth="1"/>
    <col min="3076" max="3076" width="10.75" style="14" customWidth="1"/>
    <col min="3077" max="3077" width="17.75" style="14" bestFit="1" customWidth="1"/>
    <col min="3078" max="3078" width="11.625" style="14" bestFit="1" customWidth="1"/>
    <col min="3079" max="3079" width="7.625" style="14" customWidth="1"/>
    <col min="3080" max="3080" width="8" style="14" bestFit="1" customWidth="1"/>
    <col min="3081" max="3081" width="28.375" style="14" customWidth="1"/>
    <col min="3082" max="3082" width="8" style="14" bestFit="1" customWidth="1"/>
    <col min="3083" max="3083" width="9.125" style="14" bestFit="1" customWidth="1"/>
    <col min="3084" max="3084" width="8.125" style="14" customWidth="1"/>
    <col min="3085" max="3085" width="7.875" style="14" bestFit="1" customWidth="1"/>
    <col min="3086" max="3086" width="8.25" style="14" customWidth="1"/>
    <col min="3087" max="3087" width="8" style="14" customWidth="1"/>
    <col min="3088" max="3088" width="18.625" style="14" customWidth="1"/>
    <col min="3089" max="3330" width="9" style="14"/>
    <col min="3331" max="3331" width="1.375" style="14" customWidth="1"/>
    <col min="3332" max="3332" width="10.75" style="14" customWidth="1"/>
    <col min="3333" max="3333" width="17.75" style="14" bestFit="1" customWidth="1"/>
    <col min="3334" max="3334" width="11.625" style="14" bestFit="1" customWidth="1"/>
    <col min="3335" max="3335" width="7.625" style="14" customWidth="1"/>
    <col min="3336" max="3336" width="8" style="14" bestFit="1" customWidth="1"/>
    <col min="3337" max="3337" width="28.375" style="14" customWidth="1"/>
    <col min="3338" max="3338" width="8" style="14" bestFit="1" customWidth="1"/>
    <col min="3339" max="3339" width="9.125" style="14" bestFit="1" customWidth="1"/>
    <col min="3340" max="3340" width="8.125" style="14" customWidth="1"/>
    <col min="3341" max="3341" width="7.875" style="14" bestFit="1" customWidth="1"/>
    <col min="3342" max="3342" width="8.25" style="14" customWidth="1"/>
    <col min="3343" max="3343" width="8" style="14" customWidth="1"/>
    <col min="3344" max="3344" width="18.625" style="14" customWidth="1"/>
    <col min="3345" max="3586" width="9" style="14"/>
    <col min="3587" max="3587" width="1.375" style="14" customWidth="1"/>
    <col min="3588" max="3588" width="10.75" style="14" customWidth="1"/>
    <col min="3589" max="3589" width="17.75" style="14" bestFit="1" customWidth="1"/>
    <col min="3590" max="3590" width="11.625" style="14" bestFit="1" customWidth="1"/>
    <col min="3591" max="3591" width="7.625" style="14" customWidth="1"/>
    <col min="3592" max="3592" width="8" style="14" bestFit="1" customWidth="1"/>
    <col min="3593" max="3593" width="28.375" style="14" customWidth="1"/>
    <col min="3594" max="3594" width="8" style="14" bestFit="1" customWidth="1"/>
    <col min="3595" max="3595" width="9.125" style="14" bestFit="1" customWidth="1"/>
    <col min="3596" max="3596" width="8.125" style="14" customWidth="1"/>
    <col min="3597" max="3597" width="7.875" style="14" bestFit="1" customWidth="1"/>
    <col min="3598" max="3598" width="8.25" style="14" customWidth="1"/>
    <col min="3599" max="3599" width="8" style="14" customWidth="1"/>
    <col min="3600" max="3600" width="18.625" style="14" customWidth="1"/>
    <col min="3601" max="3842" width="9" style="14"/>
    <col min="3843" max="3843" width="1.375" style="14" customWidth="1"/>
    <col min="3844" max="3844" width="10.75" style="14" customWidth="1"/>
    <col min="3845" max="3845" width="17.75" style="14" bestFit="1" customWidth="1"/>
    <col min="3846" max="3846" width="11.625" style="14" bestFit="1" customWidth="1"/>
    <col min="3847" max="3847" width="7.625" style="14" customWidth="1"/>
    <col min="3848" max="3848" width="8" style="14" bestFit="1" customWidth="1"/>
    <col min="3849" max="3849" width="28.375" style="14" customWidth="1"/>
    <col min="3850" max="3850" width="8" style="14" bestFit="1" customWidth="1"/>
    <col min="3851" max="3851" width="9.125" style="14" bestFit="1" customWidth="1"/>
    <col min="3852" max="3852" width="8.125" style="14" customWidth="1"/>
    <col min="3853" max="3853" width="7.875" style="14" bestFit="1" customWidth="1"/>
    <col min="3854" max="3854" width="8.25" style="14" customWidth="1"/>
    <col min="3855" max="3855" width="8" style="14" customWidth="1"/>
    <col min="3856" max="3856" width="18.625" style="14" customWidth="1"/>
    <col min="3857" max="4098" width="9" style="14"/>
    <col min="4099" max="4099" width="1.375" style="14" customWidth="1"/>
    <col min="4100" max="4100" width="10.75" style="14" customWidth="1"/>
    <col min="4101" max="4101" width="17.75" style="14" bestFit="1" customWidth="1"/>
    <col min="4102" max="4102" width="11.625" style="14" bestFit="1" customWidth="1"/>
    <col min="4103" max="4103" width="7.625" style="14" customWidth="1"/>
    <col min="4104" max="4104" width="8" style="14" bestFit="1" customWidth="1"/>
    <col min="4105" max="4105" width="28.375" style="14" customWidth="1"/>
    <col min="4106" max="4106" width="8" style="14" bestFit="1" customWidth="1"/>
    <col min="4107" max="4107" width="9.125" style="14" bestFit="1" customWidth="1"/>
    <col min="4108" max="4108" width="8.125" style="14" customWidth="1"/>
    <col min="4109" max="4109" width="7.875" style="14" bestFit="1" customWidth="1"/>
    <col min="4110" max="4110" width="8.25" style="14" customWidth="1"/>
    <col min="4111" max="4111" width="8" style="14" customWidth="1"/>
    <col min="4112" max="4112" width="18.625" style="14" customWidth="1"/>
    <col min="4113" max="4354" width="9" style="14"/>
    <col min="4355" max="4355" width="1.375" style="14" customWidth="1"/>
    <col min="4356" max="4356" width="10.75" style="14" customWidth="1"/>
    <col min="4357" max="4357" width="17.75" style="14" bestFit="1" customWidth="1"/>
    <col min="4358" max="4358" width="11.625" style="14" bestFit="1" customWidth="1"/>
    <col min="4359" max="4359" width="7.625" style="14" customWidth="1"/>
    <col min="4360" max="4360" width="8" style="14" bestFit="1" customWidth="1"/>
    <col min="4361" max="4361" width="28.375" style="14" customWidth="1"/>
    <col min="4362" max="4362" width="8" style="14" bestFit="1" customWidth="1"/>
    <col min="4363" max="4363" width="9.125" style="14" bestFit="1" customWidth="1"/>
    <col min="4364" max="4364" width="8.125" style="14" customWidth="1"/>
    <col min="4365" max="4365" width="7.875" style="14" bestFit="1" customWidth="1"/>
    <col min="4366" max="4366" width="8.25" style="14" customWidth="1"/>
    <col min="4367" max="4367" width="8" style="14" customWidth="1"/>
    <col min="4368" max="4368" width="18.625" style="14" customWidth="1"/>
    <col min="4369" max="4610" width="9" style="14"/>
    <col min="4611" max="4611" width="1.375" style="14" customWidth="1"/>
    <col min="4612" max="4612" width="10.75" style="14" customWidth="1"/>
    <col min="4613" max="4613" width="17.75" style="14" bestFit="1" customWidth="1"/>
    <col min="4614" max="4614" width="11.625" style="14" bestFit="1" customWidth="1"/>
    <col min="4615" max="4615" width="7.625" style="14" customWidth="1"/>
    <col min="4616" max="4616" width="8" style="14" bestFit="1" customWidth="1"/>
    <col min="4617" max="4617" width="28.375" style="14" customWidth="1"/>
    <col min="4618" max="4618" width="8" style="14" bestFit="1" customWidth="1"/>
    <col min="4619" max="4619" width="9.125" style="14" bestFit="1" customWidth="1"/>
    <col min="4620" max="4620" width="8.125" style="14" customWidth="1"/>
    <col min="4621" max="4621" width="7.875" style="14" bestFit="1" customWidth="1"/>
    <col min="4622" max="4622" width="8.25" style="14" customWidth="1"/>
    <col min="4623" max="4623" width="8" style="14" customWidth="1"/>
    <col min="4624" max="4624" width="18.625" style="14" customWidth="1"/>
    <col min="4625" max="4866" width="9" style="14"/>
    <col min="4867" max="4867" width="1.375" style="14" customWidth="1"/>
    <col min="4868" max="4868" width="10.75" style="14" customWidth="1"/>
    <col min="4869" max="4869" width="17.75" style="14" bestFit="1" customWidth="1"/>
    <col min="4870" max="4870" width="11.625" style="14" bestFit="1" customWidth="1"/>
    <col min="4871" max="4871" width="7.625" style="14" customWidth="1"/>
    <col min="4872" max="4872" width="8" style="14" bestFit="1" customWidth="1"/>
    <col min="4873" max="4873" width="28.375" style="14" customWidth="1"/>
    <col min="4874" max="4874" width="8" style="14" bestFit="1" customWidth="1"/>
    <col min="4875" max="4875" width="9.125" style="14" bestFit="1" customWidth="1"/>
    <col min="4876" max="4876" width="8.125" style="14" customWidth="1"/>
    <col min="4877" max="4877" width="7.875" style="14" bestFit="1" customWidth="1"/>
    <col min="4878" max="4878" width="8.25" style="14" customWidth="1"/>
    <col min="4879" max="4879" width="8" style="14" customWidth="1"/>
    <col min="4880" max="4880" width="18.625" style="14" customWidth="1"/>
    <col min="4881" max="5122" width="9" style="14"/>
    <col min="5123" max="5123" width="1.375" style="14" customWidth="1"/>
    <col min="5124" max="5124" width="10.75" style="14" customWidth="1"/>
    <col min="5125" max="5125" width="17.75" style="14" bestFit="1" customWidth="1"/>
    <col min="5126" max="5126" width="11.625" style="14" bestFit="1" customWidth="1"/>
    <col min="5127" max="5127" width="7.625" style="14" customWidth="1"/>
    <col min="5128" max="5128" width="8" style="14" bestFit="1" customWidth="1"/>
    <col min="5129" max="5129" width="28.375" style="14" customWidth="1"/>
    <col min="5130" max="5130" width="8" style="14" bestFit="1" customWidth="1"/>
    <col min="5131" max="5131" width="9.125" style="14" bestFit="1" customWidth="1"/>
    <col min="5132" max="5132" width="8.125" style="14" customWidth="1"/>
    <col min="5133" max="5133" width="7.875" style="14" bestFit="1" customWidth="1"/>
    <col min="5134" max="5134" width="8.25" style="14" customWidth="1"/>
    <col min="5135" max="5135" width="8" style="14" customWidth="1"/>
    <col min="5136" max="5136" width="18.625" style="14" customWidth="1"/>
    <col min="5137" max="5378" width="9" style="14"/>
    <col min="5379" max="5379" width="1.375" style="14" customWidth="1"/>
    <col min="5380" max="5380" width="10.75" style="14" customWidth="1"/>
    <col min="5381" max="5381" width="17.75" style="14" bestFit="1" customWidth="1"/>
    <col min="5382" max="5382" width="11.625" style="14" bestFit="1" customWidth="1"/>
    <col min="5383" max="5383" width="7.625" style="14" customWidth="1"/>
    <col min="5384" max="5384" width="8" style="14" bestFit="1" customWidth="1"/>
    <col min="5385" max="5385" width="28.375" style="14" customWidth="1"/>
    <col min="5386" max="5386" width="8" style="14" bestFit="1" customWidth="1"/>
    <col min="5387" max="5387" width="9.125" style="14" bestFit="1" customWidth="1"/>
    <col min="5388" max="5388" width="8.125" style="14" customWidth="1"/>
    <col min="5389" max="5389" width="7.875" style="14" bestFit="1" customWidth="1"/>
    <col min="5390" max="5390" width="8.25" style="14" customWidth="1"/>
    <col min="5391" max="5391" width="8" style="14" customWidth="1"/>
    <col min="5392" max="5392" width="18.625" style="14" customWidth="1"/>
    <col min="5393" max="5634" width="9" style="14"/>
    <col min="5635" max="5635" width="1.375" style="14" customWidth="1"/>
    <col min="5636" max="5636" width="10.75" style="14" customWidth="1"/>
    <col min="5637" max="5637" width="17.75" style="14" bestFit="1" customWidth="1"/>
    <col min="5638" max="5638" width="11.625" style="14" bestFit="1" customWidth="1"/>
    <col min="5639" max="5639" width="7.625" style="14" customWidth="1"/>
    <col min="5640" max="5640" width="8" style="14" bestFit="1" customWidth="1"/>
    <col min="5641" max="5641" width="28.375" style="14" customWidth="1"/>
    <col min="5642" max="5642" width="8" style="14" bestFit="1" customWidth="1"/>
    <col min="5643" max="5643" width="9.125" style="14" bestFit="1" customWidth="1"/>
    <col min="5644" max="5644" width="8.125" style="14" customWidth="1"/>
    <col min="5645" max="5645" width="7.875" style="14" bestFit="1" customWidth="1"/>
    <col min="5646" max="5646" width="8.25" style="14" customWidth="1"/>
    <col min="5647" max="5647" width="8" style="14" customWidth="1"/>
    <col min="5648" max="5648" width="18.625" style="14" customWidth="1"/>
    <col min="5649" max="5890" width="9" style="14"/>
    <col min="5891" max="5891" width="1.375" style="14" customWidth="1"/>
    <col min="5892" max="5892" width="10.75" style="14" customWidth="1"/>
    <col min="5893" max="5893" width="17.75" style="14" bestFit="1" customWidth="1"/>
    <col min="5894" max="5894" width="11.625" style="14" bestFit="1" customWidth="1"/>
    <col min="5895" max="5895" width="7.625" style="14" customWidth="1"/>
    <col min="5896" max="5896" width="8" style="14" bestFit="1" customWidth="1"/>
    <col min="5897" max="5897" width="28.375" style="14" customWidth="1"/>
    <col min="5898" max="5898" width="8" style="14" bestFit="1" customWidth="1"/>
    <col min="5899" max="5899" width="9.125" style="14" bestFit="1" customWidth="1"/>
    <col min="5900" max="5900" width="8.125" style="14" customWidth="1"/>
    <col min="5901" max="5901" width="7.875" style="14" bestFit="1" customWidth="1"/>
    <col min="5902" max="5902" width="8.25" style="14" customWidth="1"/>
    <col min="5903" max="5903" width="8" style="14" customWidth="1"/>
    <col min="5904" max="5904" width="18.625" style="14" customWidth="1"/>
    <col min="5905" max="6146" width="9" style="14"/>
    <col min="6147" max="6147" width="1.375" style="14" customWidth="1"/>
    <col min="6148" max="6148" width="10.75" style="14" customWidth="1"/>
    <col min="6149" max="6149" width="17.75" style="14" bestFit="1" customWidth="1"/>
    <col min="6150" max="6150" width="11.625" style="14" bestFit="1" customWidth="1"/>
    <col min="6151" max="6151" width="7.625" style="14" customWidth="1"/>
    <col min="6152" max="6152" width="8" style="14" bestFit="1" customWidth="1"/>
    <col min="6153" max="6153" width="28.375" style="14" customWidth="1"/>
    <col min="6154" max="6154" width="8" style="14" bestFit="1" customWidth="1"/>
    <col min="6155" max="6155" width="9.125" style="14" bestFit="1" customWidth="1"/>
    <col min="6156" max="6156" width="8.125" style="14" customWidth="1"/>
    <col min="6157" max="6157" width="7.875" style="14" bestFit="1" customWidth="1"/>
    <col min="6158" max="6158" width="8.25" style="14" customWidth="1"/>
    <col min="6159" max="6159" width="8" style="14" customWidth="1"/>
    <col min="6160" max="6160" width="18.625" style="14" customWidth="1"/>
    <col min="6161" max="6402" width="9" style="14"/>
    <col min="6403" max="6403" width="1.375" style="14" customWidth="1"/>
    <col min="6404" max="6404" width="10.75" style="14" customWidth="1"/>
    <col min="6405" max="6405" width="17.75" style="14" bestFit="1" customWidth="1"/>
    <col min="6406" max="6406" width="11.625" style="14" bestFit="1" customWidth="1"/>
    <col min="6407" max="6407" width="7.625" style="14" customWidth="1"/>
    <col min="6408" max="6408" width="8" style="14" bestFit="1" customWidth="1"/>
    <col min="6409" max="6409" width="28.375" style="14" customWidth="1"/>
    <col min="6410" max="6410" width="8" style="14" bestFit="1" customWidth="1"/>
    <col min="6411" max="6411" width="9.125" style="14" bestFit="1" customWidth="1"/>
    <col min="6412" max="6412" width="8.125" style="14" customWidth="1"/>
    <col min="6413" max="6413" width="7.875" style="14" bestFit="1" customWidth="1"/>
    <col min="6414" max="6414" width="8.25" style="14" customWidth="1"/>
    <col min="6415" max="6415" width="8" style="14" customWidth="1"/>
    <col min="6416" max="6416" width="18.625" style="14" customWidth="1"/>
    <col min="6417" max="6658" width="9" style="14"/>
    <col min="6659" max="6659" width="1.375" style="14" customWidth="1"/>
    <col min="6660" max="6660" width="10.75" style="14" customWidth="1"/>
    <col min="6661" max="6661" width="17.75" style="14" bestFit="1" customWidth="1"/>
    <col min="6662" max="6662" width="11.625" style="14" bestFit="1" customWidth="1"/>
    <col min="6663" max="6663" width="7.625" style="14" customWidth="1"/>
    <col min="6664" max="6664" width="8" style="14" bestFit="1" customWidth="1"/>
    <col min="6665" max="6665" width="28.375" style="14" customWidth="1"/>
    <col min="6666" max="6666" width="8" style="14" bestFit="1" customWidth="1"/>
    <col min="6667" max="6667" width="9.125" style="14" bestFit="1" customWidth="1"/>
    <col min="6668" max="6668" width="8.125" style="14" customWidth="1"/>
    <col min="6669" max="6669" width="7.875" style="14" bestFit="1" customWidth="1"/>
    <col min="6670" max="6670" width="8.25" style="14" customWidth="1"/>
    <col min="6671" max="6671" width="8" style="14" customWidth="1"/>
    <col min="6672" max="6672" width="18.625" style="14" customWidth="1"/>
    <col min="6673" max="6914" width="9" style="14"/>
    <col min="6915" max="6915" width="1.375" style="14" customWidth="1"/>
    <col min="6916" max="6916" width="10.75" style="14" customWidth="1"/>
    <col min="6917" max="6917" width="17.75" style="14" bestFit="1" customWidth="1"/>
    <col min="6918" max="6918" width="11.625" style="14" bestFit="1" customWidth="1"/>
    <col min="6919" max="6919" width="7.625" style="14" customWidth="1"/>
    <col min="6920" max="6920" width="8" style="14" bestFit="1" customWidth="1"/>
    <col min="6921" max="6921" width="28.375" style="14" customWidth="1"/>
    <col min="6922" max="6922" width="8" style="14" bestFit="1" customWidth="1"/>
    <col min="6923" max="6923" width="9.125" style="14" bestFit="1" customWidth="1"/>
    <col min="6924" max="6924" width="8.125" style="14" customWidth="1"/>
    <col min="6925" max="6925" width="7.875" style="14" bestFit="1" customWidth="1"/>
    <col min="6926" max="6926" width="8.25" style="14" customWidth="1"/>
    <col min="6927" max="6927" width="8" style="14" customWidth="1"/>
    <col min="6928" max="6928" width="18.625" style="14" customWidth="1"/>
    <col min="6929" max="7170" width="9" style="14"/>
    <col min="7171" max="7171" width="1.375" style="14" customWidth="1"/>
    <col min="7172" max="7172" width="10.75" style="14" customWidth="1"/>
    <col min="7173" max="7173" width="17.75" style="14" bestFit="1" customWidth="1"/>
    <col min="7174" max="7174" width="11.625" style="14" bestFit="1" customWidth="1"/>
    <col min="7175" max="7175" width="7.625" style="14" customWidth="1"/>
    <col min="7176" max="7176" width="8" style="14" bestFit="1" customWidth="1"/>
    <col min="7177" max="7177" width="28.375" style="14" customWidth="1"/>
    <col min="7178" max="7178" width="8" style="14" bestFit="1" customWidth="1"/>
    <col min="7179" max="7179" width="9.125" style="14" bestFit="1" customWidth="1"/>
    <col min="7180" max="7180" width="8.125" style="14" customWidth="1"/>
    <col min="7181" max="7181" width="7.875" style="14" bestFit="1" customWidth="1"/>
    <col min="7182" max="7182" width="8.25" style="14" customWidth="1"/>
    <col min="7183" max="7183" width="8" style="14" customWidth="1"/>
    <col min="7184" max="7184" width="18.625" style="14" customWidth="1"/>
    <col min="7185" max="7426" width="9" style="14"/>
    <col min="7427" max="7427" width="1.375" style="14" customWidth="1"/>
    <col min="7428" max="7428" width="10.75" style="14" customWidth="1"/>
    <col min="7429" max="7429" width="17.75" style="14" bestFit="1" customWidth="1"/>
    <col min="7430" max="7430" width="11.625" style="14" bestFit="1" customWidth="1"/>
    <col min="7431" max="7431" width="7.625" style="14" customWidth="1"/>
    <col min="7432" max="7432" width="8" style="14" bestFit="1" customWidth="1"/>
    <col min="7433" max="7433" width="28.375" style="14" customWidth="1"/>
    <col min="7434" max="7434" width="8" style="14" bestFit="1" customWidth="1"/>
    <col min="7435" max="7435" width="9.125" style="14" bestFit="1" customWidth="1"/>
    <col min="7436" max="7436" width="8.125" style="14" customWidth="1"/>
    <col min="7437" max="7437" width="7.875" style="14" bestFit="1" customWidth="1"/>
    <col min="7438" max="7438" width="8.25" style="14" customWidth="1"/>
    <col min="7439" max="7439" width="8" style="14" customWidth="1"/>
    <col min="7440" max="7440" width="18.625" style="14" customWidth="1"/>
    <col min="7441" max="7682" width="9" style="14"/>
    <col min="7683" max="7683" width="1.375" style="14" customWidth="1"/>
    <col min="7684" max="7684" width="10.75" style="14" customWidth="1"/>
    <col min="7685" max="7685" width="17.75" style="14" bestFit="1" customWidth="1"/>
    <col min="7686" max="7686" width="11.625" style="14" bestFit="1" customWidth="1"/>
    <col min="7687" max="7687" width="7.625" style="14" customWidth="1"/>
    <col min="7688" max="7688" width="8" style="14" bestFit="1" customWidth="1"/>
    <col min="7689" max="7689" width="28.375" style="14" customWidth="1"/>
    <col min="7690" max="7690" width="8" style="14" bestFit="1" customWidth="1"/>
    <col min="7691" max="7691" width="9.125" style="14" bestFit="1" customWidth="1"/>
    <col min="7692" max="7692" width="8.125" style="14" customWidth="1"/>
    <col min="7693" max="7693" width="7.875" style="14" bestFit="1" customWidth="1"/>
    <col min="7694" max="7694" width="8.25" style="14" customWidth="1"/>
    <col min="7695" max="7695" width="8" style="14" customWidth="1"/>
    <col min="7696" max="7696" width="18.625" style="14" customWidth="1"/>
    <col min="7697" max="7938" width="9" style="14"/>
    <col min="7939" max="7939" width="1.375" style="14" customWidth="1"/>
    <col min="7940" max="7940" width="10.75" style="14" customWidth="1"/>
    <col min="7941" max="7941" width="17.75" style="14" bestFit="1" customWidth="1"/>
    <col min="7942" max="7942" width="11.625" style="14" bestFit="1" customWidth="1"/>
    <col min="7943" max="7943" width="7.625" style="14" customWidth="1"/>
    <col min="7944" max="7944" width="8" style="14" bestFit="1" customWidth="1"/>
    <col min="7945" max="7945" width="28.375" style="14" customWidth="1"/>
    <col min="7946" max="7946" width="8" style="14" bestFit="1" customWidth="1"/>
    <col min="7947" max="7947" width="9.125" style="14" bestFit="1" customWidth="1"/>
    <col min="7948" max="7948" width="8.125" style="14" customWidth="1"/>
    <col min="7949" max="7949" width="7.875" style="14" bestFit="1" customWidth="1"/>
    <col min="7950" max="7950" width="8.25" style="14" customWidth="1"/>
    <col min="7951" max="7951" width="8" style="14" customWidth="1"/>
    <col min="7952" max="7952" width="18.625" style="14" customWidth="1"/>
    <col min="7953" max="8194" width="9" style="14"/>
    <col min="8195" max="8195" width="1.375" style="14" customWidth="1"/>
    <col min="8196" max="8196" width="10.75" style="14" customWidth="1"/>
    <col min="8197" max="8197" width="17.75" style="14" bestFit="1" customWidth="1"/>
    <col min="8198" max="8198" width="11.625" style="14" bestFit="1" customWidth="1"/>
    <col min="8199" max="8199" width="7.625" style="14" customWidth="1"/>
    <col min="8200" max="8200" width="8" style="14" bestFit="1" customWidth="1"/>
    <col min="8201" max="8201" width="28.375" style="14" customWidth="1"/>
    <col min="8202" max="8202" width="8" style="14" bestFit="1" customWidth="1"/>
    <col min="8203" max="8203" width="9.125" style="14" bestFit="1" customWidth="1"/>
    <col min="8204" max="8204" width="8.125" style="14" customWidth="1"/>
    <col min="8205" max="8205" width="7.875" style="14" bestFit="1" customWidth="1"/>
    <col min="8206" max="8206" width="8.25" style="14" customWidth="1"/>
    <col min="8207" max="8207" width="8" style="14" customWidth="1"/>
    <col min="8208" max="8208" width="18.625" style="14" customWidth="1"/>
    <col min="8209" max="8450" width="9" style="14"/>
    <col min="8451" max="8451" width="1.375" style="14" customWidth="1"/>
    <col min="8452" max="8452" width="10.75" style="14" customWidth="1"/>
    <col min="8453" max="8453" width="17.75" style="14" bestFit="1" customWidth="1"/>
    <col min="8454" max="8454" width="11.625" style="14" bestFit="1" customWidth="1"/>
    <col min="8455" max="8455" width="7.625" style="14" customWidth="1"/>
    <col min="8456" max="8456" width="8" style="14" bestFit="1" customWidth="1"/>
    <col min="8457" max="8457" width="28.375" style="14" customWidth="1"/>
    <col min="8458" max="8458" width="8" style="14" bestFit="1" customWidth="1"/>
    <col min="8459" max="8459" width="9.125" style="14" bestFit="1" customWidth="1"/>
    <col min="8460" max="8460" width="8.125" style="14" customWidth="1"/>
    <col min="8461" max="8461" width="7.875" style="14" bestFit="1" customWidth="1"/>
    <col min="8462" max="8462" width="8.25" style="14" customWidth="1"/>
    <col min="8463" max="8463" width="8" style="14" customWidth="1"/>
    <col min="8464" max="8464" width="18.625" style="14" customWidth="1"/>
    <col min="8465" max="8706" width="9" style="14"/>
    <col min="8707" max="8707" width="1.375" style="14" customWidth="1"/>
    <col min="8708" max="8708" width="10.75" style="14" customWidth="1"/>
    <col min="8709" max="8709" width="17.75" style="14" bestFit="1" customWidth="1"/>
    <col min="8710" max="8710" width="11.625" style="14" bestFit="1" customWidth="1"/>
    <col min="8711" max="8711" width="7.625" style="14" customWidth="1"/>
    <col min="8712" max="8712" width="8" style="14" bestFit="1" customWidth="1"/>
    <col min="8713" max="8713" width="28.375" style="14" customWidth="1"/>
    <col min="8714" max="8714" width="8" style="14" bestFit="1" customWidth="1"/>
    <col min="8715" max="8715" width="9.125" style="14" bestFit="1" customWidth="1"/>
    <col min="8716" max="8716" width="8.125" style="14" customWidth="1"/>
    <col min="8717" max="8717" width="7.875" style="14" bestFit="1" customWidth="1"/>
    <col min="8718" max="8718" width="8.25" style="14" customWidth="1"/>
    <col min="8719" max="8719" width="8" style="14" customWidth="1"/>
    <col min="8720" max="8720" width="18.625" style="14" customWidth="1"/>
    <col min="8721" max="8962" width="9" style="14"/>
    <col min="8963" max="8963" width="1.375" style="14" customWidth="1"/>
    <col min="8964" max="8964" width="10.75" style="14" customWidth="1"/>
    <col min="8965" max="8965" width="17.75" style="14" bestFit="1" customWidth="1"/>
    <col min="8966" max="8966" width="11.625" style="14" bestFit="1" customWidth="1"/>
    <col min="8967" max="8967" width="7.625" style="14" customWidth="1"/>
    <col min="8968" max="8968" width="8" style="14" bestFit="1" customWidth="1"/>
    <col min="8969" max="8969" width="28.375" style="14" customWidth="1"/>
    <col min="8970" max="8970" width="8" style="14" bestFit="1" customWidth="1"/>
    <col min="8971" max="8971" width="9.125" style="14" bestFit="1" customWidth="1"/>
    <col min="8972" max="8972" width="8.125" style="14" customWidth="1"/>
    <col min="8973" max="8973" width="7.875" style="14" bestFit="1" customWidth="1"/>
    <col min="8974" max="8974" width="8.25" style="14" customWidth="1"/>
    <col min="8975" max="8975" width="8" style="14" customWidth="1"/>
    <col min="8976" max="8976" width="18.625" style="14" customWidth="1"/>
    <col min="8977" max="9218" width="9" style="14"/>
    <col min="9219" max="9219" width="1.375" style="14" customWidth="1"/>
    <col min="9220" max="9220" width="10.75" style="14" customWidth="1"/>
    <col min="9221" max="9221" width="17.75" style="14" bestFit="1" customWidth="1"/>
    <col min="9222" max="9222" width="11.625" style="14" bestFit="1" customWidth="1"/>
    <col min="9223" max="9223" width="7.625" style="14" customWidth="1"/>
    <col min="9224" max="9224" width="8" style="14" bestFit="1" customWidth="1"/>
    <col min="9225" max="9225" width="28.375" style="14" customWidth="1"/>
    <col min="9226" max="9226" width="8" style="14" bestFit="1" customWidth="1"/>
    <col min="9227" max="9227" width="9.125" style="14" bestFit="1" customWidth="1"/>
    <col min="9228" max="9228" width="8.125" style="14" customWidth="1"/>
    <col min="9229" max="9229" width="7.875" style="14" bestFit="1" customWidth="1"/>
    <col min="9230" max="9230" width="8.25" style="14" customWidth="1"/>
    <col min="9231" max="9231" width="8" style="14" customWidth="1"/>
    <col min="9232" max="9232" width="18.625" style="14" customWidth="1"/>
    <col min="9233" max="9474" width="9" style="14"/>
    <col min="9475" max="9475" width="1.375" style="14" customWidth="1"/>
    <col min="9476" max="9476" width="10.75" style="14" customWidth="1"/>
    <col min="9477" max="9477" width="17.75" style="14" bestFit="1" customWidth="1"/>
    <col min="9478" max="9478" width="11.625" style="14" bestFit="1" customWidth="1"/>
    <col min="9479" max="9479" width="7.625" style="14" customWidth="1"/>
    <col min="9480" max="9480" width="8" style="14" bestFit="1" customWidth="1"/>
    <col min="9481" max="9481" width="28.375" style="14" customWidth="1"/>
    <col min="9482" max="9482" width="8" style="14" bestFit="1" customWidth="1"/>
    <col min="9483" max="9483" width="9.125" style="14" bestFit="1" customWidth="1"/>
    <col min="9484" max="9484" width="8.125" style="14" customWidth="1"/>
    <col min="9485" max="9485" width="7.875" style="14" bestFit="1" customWidth="1"/>
    <col min="9486" max="9486" width="8.25" style="14" customWidth="1"/>
    <col min="9487" max="9487" width="8" style="14" customWidth="1"/>
    <col min="9488" max="9488" width="18.625" style="14" customWidth="1"/>
    <col min="9489" max="9730" width="9" style="14"/>
    <col min="9731" max="9731" width="1.375" style="14" customWidth="1"/>
    <col min="9732" max="9732" width="10.75" style="14" customWidth="1"/>
    <col min="9733" max="9733" width="17.75" style="14" bestFit="1" customWidth="1"/>
    <col min="9734" max="9734" width="11.625" style="14" bestFit="1" customWidth="1"/>
    <col min="9735" max="9735" width="7.625" style="14" customWidth="1"/>
    <col min="9736" max="9736" width="8" style="14" bestFit="1" customWidth="1"/>
    <col min="9737" max="9737" width="28.375" style="14" customWidth="1"/>
    <col min="9738" max="9738" width="8" style="14" bestFit="1" customWidth="1"/>
    <col min="9739" max="9739" width="9.125" style="14" bestFit="1" customWidth="1"/>
    <col min="9740" max="9740" width="8.125" style="14" customWidth="1"/>
    <col min="9741" max="9741" width="7.875" style="14" bestFit="1" customWidth="1"/>
    <col min="9742" max="9742" width="8.25" style="14" customWidth="1"/>
    <col min="9743" max="9743" width="8" style="14" customWidth="1"/>
    <col min="9744" max="9744" width="18.625" style="14" customWidth="1"/>
    <col min="9745" max="9986" width="9" style="14"/>
    <col min="9987" max="9987" width="1.375" style="14" customWidth="1"/>
    <col min="9988" max="9988" width="10.75" style="14" customWidth="1"/>
    <col min="9989" max="9989" width="17.75" style="14" bestFit="1" customWidth="1"/>
    <col min="9990" max="9990" width="11.625" style="14" bestFit="1" customWidth="1"/>
    <col min="9991" max="9991" width="7.625" style="14" customWidth="1"/>
    <col min="9992" max="9992" width="8" style="14" bestFit="1" customWidth="1"/>
    <col min="9993" max="9993" width="28.375" style="14" customWidth="1"/>
    <col min="9994" max="9994" width="8" style="14" bestFit="1" customWidth="1"/>
    <col min="9995" max="9995" width="9.125" style="14" bestFit="1" customWidth="1"/>
    <col min="9996" max="9996" width="8.125" style="14" customWidth="1"/>
    <col min="9997" max="9997" width="7.875" style="14" bestFit="1" customWidth="1"/>
    <col min="9998" max="9998" width="8.25" style="14" customWidth="1"/>
    <col min="9999" max="9999" width="8" style="14" customWidth="1"/>
    <col min="10000" max="10000" width="18.625" style="14" customWidth="1"/>
    <col min="10001" max="10242" width="9" style="14"/>
    <col min="10243" max="10243" width="1.375" style="14" customWidth="1"/>
    <col min="10244" max="10244" width="10.75" style="14" customWidth="1"/>
    <col min="10245" max="10245" width="17.75" style="14" bestFit="1" customWidth="1"/>
    <col min="10246" max="10246" width="11.625" style="14" bestFit="1" customWidth="1"/>
    <col min="10247" max="10247" width="7.625" style="14" customWidth="1"/>
    <col min="10248" max="10248" width="8" style="14" bestFit="1" customWidth="1"/>
    <col min="10249" max="10249" width="28.375" style="14" customWidth="1"/>
    <col min="10250" max="10250" width="8" style="14" bestFit="1" customWidth="1"/>
    <col min="10251" max="10251" width="9.125" style="14" bestFit="1" customWidth="1"/>
    <col min="10252" max="10252" width="8.125" style="14" customWidth="1"/>
    <col min="10253" max="10253" width="7.875" style="14" bestFit="1" customWidth="1"/>
    <col min="10254" max="10254" width="8.25" style="14" customWidth="1"/>
    <col min="10255" max="10255" width="8" style="14" customWidth="1"/>
    <col min="10256" max="10256" width="18.625" style="14" customWidth="1"/>
    <col min="10257" max="10498" width="9" style="14"/>
    <col min="10499" max="10499" width="1.375" style="14" customWidth="1"/>
    <col min="10500" max="10500" width="10.75" style="14" customWidth="1"/>
    <col min="10501" max="10501" width="17.75" style="14" bestFit="1" customWidth="1"/>
    <col min="10502" max="10502" width="11.625" style="14" bestFit="1" customWidth="1"/>
    <col min="10503" max="10503" width="7.625" style="14" customWidth="1"/>
    <col min="10504" max="10504" width="8" style="14" bestFit="1" customWidth="1"/>
    <col min="10505" max="10505" width="28.375" style="14" customWidth="1"/>
    <col min="10506" max="10506" width="8" style="14" bestFit="1" customWidth="1"/>
    <col min="10507" max="10507" width="9.125" style="14" bestFit="1" customWidth="1"/>
    <col min="10508" max="10508" width="8.125" style="14" customWidth="1"/>
    <col min="10509" max="10509" width="7.875" style="14" bestFit="1" customWidth="1"/>
    <col min="10510" max="10510" width="8.25" style="14" customWidth="1"/>
    <col min="10511" max="10511" width="8" style="14" customWidth="1"/>
    <col min="10512" max="10512" width="18.625" style="14" customWidth="1"/>
    <col min="10513" max="10754" width="9" style="14"/>
    <col min="10755" max="10755" width="1.375" style="14" customWidth="1"/>
    <col min="10756" max="10756" width="10.75" style="14" customWidth="1"/>
    <col min="10757" max="10757" width="17.75" style="14" bestFit="1" customWidth="1"/>
    <col min="10758" max="10758" width="11.625" style="14" bestFit="1" customWidth="1"/>
    <col min="10759" max="10759" width="7.625" style="14" customWidth="1"/>
    <col min="10760" max="10760" width="8" style="14" bestFit="1" customWidth="1"/>
    <col min="10761" max="10761" width="28.375" style="14" customWidth="1"/>
    <col min="10762" max="10762" width="8" style="14" bestFit="1" customWidth="1"/>
    <col min="10763" max="10763" width="9.125" style="14" bestFit="1" customWidth="1"/>
    <col min="10764" max="10764" width="8.125" style="14" customWidth="1"/>
    <col min="10765" max="10765" width="7.875" style="14" bestFit="1" customWidth="1"/>
    <col min="10766" max="10766" width="8.25" style="14" customWidth="1"/>
    <col min="10767" max="10767" width="8" style="14" customWidth="1"/>
    <col min="10768" max="10768" width="18.625" style="14" customWidth="1"/>
    <col min="10769" max="11010" width="9" style="14"/>
    <col min="11011" max="11011" width="1.375" style="14" customWidth="1"/>
    <col min="11012" max="11012" width="10.75" style="14" customWidth="1"/>
    <col min="11013" max="11013" width="17.75" style="14" bestFit="1" customWidth="1"/>
    <col min="11014" max="11014" width="11.625" style="14" bestFit="1" customWidth="1"/>
    <col min="11015" max="11015" width="7.625" style="14" customWidth="1"/>
    <col min="11016" max="11016" width="8" style="14" bestFit="1" customWidth="1"/>
    <col min="11017" max="11017" width="28.375" style="14" customWidth="1"/>
    <col min="11018" max="11018" width="8" style="14" bestFit="1" customWidth="1"/>
    <col min="11019" max="11019" width="9.125" style="14" bestFit="1" customWidth="1"/>
    <col min="11020" max="11020" width="8.125" style="14" customWidth="1"/>
    <col min="11021" max="11021" width="7.875" style="14" bestFit="1" customWidth="1"/>
    <col min="11022" max="11022" width="8.25" style="14" customWidth="1"/>
    <col min="11023" max="11023" width="8" style="14" customWidth="1"/>
    <col min="11024" max="11024" width="18.625" style="14" customWidth="1"/>
    <col min="11025" max="11266" width="9" style="14"/>
    <col min="11267" max="11267" width="1.375" style="14" customWidth="1"/>
    <col min="11268" max="11268" width="10.75" style="14" customWidth="1"/>
    <col min="11269" max="11269" width="17.75" style="14" bestFit="1" customWidth="1"/>
    <col min="11270" max="11270" width="11.625" style="14" bestFit="1" customWidth="1"/>
    <col min="11271" max="11271" width="7.625" style="14" customWidth="1"/>
    <col min="11272" max="11272" width="8" style="14" bestFit="1" customWidth="1"/>
    <col min="11273" max="11273" width="28.375" style="14" customWidth="1"/>
    <col min="11274" max="11274" width="8" style="14" bestFit="1" customWidth="1"/>
    <col min="11275" max="11275" width="9.125" style="14" bestFit="1" customWidth="1"/>
    <col min="11276" max="11276" width="8.125" style="14" customWidth="1"/>
    <col min="11277" max="11277" width="7.875" style="14" bestFit="1" customWidth="1"/>
    <col min="11278" max="11278" width="8.25" style="14" customWidth="1"/>
    <col min="11279" max="11279" width="8" style="14" customWidth="1"/>
    <col min="11280" max="11280" width="18.625" style="14" customWidth="1"/>
    <col min="11281" max="11522" width="9" style="14"/>
    <col min="11523" max="11523" width="1.375" style="14" customWidth="1"/>
    <col min="11524" max="11524" width="10.75" style="14" customWidth="1"/>
    <col min="11525" max="11525" width="17.75" style="14" bestFit="1" customWidth="1"/>
    <col min="11526" max="11526" width="11.625" style="14" bestFit="1" customWidth="1"/>
    <col min="11527" max="11527" width="7.625" style="14" customWidth="1"/>
    <col min="11528" max="11528" width="8" style="14" bestFit="1" customWidth="1"/>
    <col min="11529" max="11529" width="28.375" style="14" customWidth="1"/>
    <col min="11530" max="11530" width="8" style="14" bestFit="1" customWidth="1"/>
    <col min="11531" max="11531" width="9.125" style="14" bestFit="1" customWidth="1"/>
    <col min="11532" max="11532" width="8.125" style="14" customWidth="1"/>
    <col min="11533" max="11533" width="7.875" style="14" bestFit="1" customWidth="1"/>
    <col min="11534" max="11534" width="8.25" style="14" customWidth="1"/>
    <col min="11535" max="11535" width="8" style="14" customWidth="1"/>
    <col min="11536" max="11536" width="18.625" style="14" customWidth="1"/>
    <col min="11537" max="11778" width="9" style="14"/>
    <col min="11779" max="11779" width="1.375" style="14" customWidth="1"/>
    <col min="11780" max="11780" width="10.75" style="14" customWidth="1"/>
    <col min="11781" max="11781" width="17.75" style="14" bestFit="1" customWidth="1"/>
    <col min="11782" max="11782" width="11.625" style="14" bestFit="1" customWidth="1"/>
    <col min="11783" max="11783" width="7.625" style="14" customWidth="1"/>
    <col min="11784" max="11784" width="8" style="14" bestFit="1" customWidth="1"/>
    <col min="11785" max="11785" width="28.375" style="14" customWidth="1"/>
    <col min="11786" max="11786" width="8" style="14" bestFit="1" customWidth="1"/>
    <col min="11787" max="11787" width="9.125" style="14" bestFit="1" customWidth="1"/>
    <col min="11788" max="11788" width="8.125" style="14" customWidth="1"/>
    <col min="11789" max="11789" width="7.875" style="14" bestFit="1" customWidth="1"/>
    <col min="11790" max="11790" width="8.25" style="14" customWidth="1"/>
    <col min="11791" max="11791" width="8" style="14" customWidth="1"/>
    <col min="11792" max="11792" width="18.625" style="14" customWidth="1"/>
    <col min="11793" max="12034" width="9" style="14"/>
    <col min="12035" max="12035" width="1.375" style="14" customWidth="1"/>
    <col min="12036" max="12036" width="10.75" style="14" customWidth="1"/>
    <col min="12037" max="12037" width="17.75" style="14" bestFit="1" customWidth="1"/>
    <col min="12038" max="12038" width="11.625" style="14" bestFit="1" customWidth="1"/>
    <col min="12039" max="12039" width="7.625" style="14" customWidth="1"/>
    <col min="12040" max="12040" width="8" style="14" bestFit="1" customWidth="1"/>
    <col min="12041" max="12041" width="28.375" style="14" customWidth="1"/>
    <col min="12042" max="12042" width="8" style="14" bestFit="1" customWidth="1"/>
    <col min="12043" max="12043" width="9.125" style="14" bestFit="1" customWidth="1"/>
    <col min="12044" max="12044" width="8.125" style="14" customWidth="1"/>
    <col min="12045" max="12045" width="7.875" style="14" bestFit="1" customWidth="1"/>
    <col min="12046" max="12046" width="8.25" style="14" customWidth="1"/>
    <col min="12047" max="12047" width="8" style="14" customWidth="1"/>
    <col min="12048" max="12048" width="18.625" style="14" customWidth="1"/>
    <col min="12049" max="12290" width="9" style="14"/>
    <col min="12291" max="12291" width="1.375" style="14" customWidth="1"/>
    <col min="12292" max="12292" width="10.75" style="14" customWidth="1"/>
    <col min="12293" max="12293" width="17.75" style="14" bestFit="1" customWidth="1"/>
    <col min="12294" max="12294" width="11.625" style="14" bestFit="1" customWidth="1"/>
    <col min="12295" max="12295" width="7.625" style="14" customWidth="1"/>
    <col min="12296" max="12296" width="8" style="14" bestFit="1" customWidth="1"/>
    <col min="12297" max="12297" width="28.375" style="14" customWidth="1"/>
    <col min="12298" max="12298" width="8" style="14" bestFit="1" customWidth="1"/>
    <col min="12299" max="12299" width="9.125" style="14" bestFit="1" customWidth="1"/>
    <col min="12300" max="12300" width="8.125" style="14" customWidth="1"/>
    <col min="12301" max="12301" width="7.875" style="14" bestFit="1" customWidth="1"/>
    <col min="12302" max="12302" width="8.25" style="14" customWidth="1"/>
    <col min="12303" max="12303" width="8" style="14" customWidth="1"/>
    <col min="12304" max="12304" width="18.625" style="14" customWidth="1"/>
    <col min="12305" max="12546" width="9" style="14"/>
    <col min="12547" max="12547" width="1.375" style="14" customWidth="1"/>
    <col min="12548" max="12548" width="10.75" style="14" customWidth="1"/>
    <col min="12549" max="12549" width="17.75" style="14" bestFit="1" customWidth="1"/>
    <col min="12550" max="12550" width="11.625" style="14" bestFit="1" customWidth="1"/>
    <col min="12551" max="12551" width="7.625" style="14" customWidth="1"/>
    <col min="12552" max="12552" width="8" style="14" bestFit="1" customWidth="1"/>
    <col min="12553" max="12553" width="28.375" style="14" customWidth="1"/>
    <col min="12554" max="12554" width="8" style="14" bestFit="1" customWidth="1"/>
    <col min="12555" max="12555" width="9.125" style="14" bestFit="1" customWidth="1"/>
    <col min="12556" max="12556" width="8.125" style="14" customWidth="1"/>
    <col min="12557" max="12557" width="7.875" style="14" bestFit="1" customWidth="1"/>
    <col min="12558" max="12558" width="8.25" style="14" customWidth="1"/>
    <col min="12559" max="12559" width="8" style="14" customWidth="1"/>
    <col min="12560" max="12560" width="18.625" style="14" customWidth="1"/>
    <col min="12561" max="12802" width="9" style="14"/>
    <col min="12803" max="12803" width="1.375" style="14" customWidth="1"/>
    <col min="12804" max="12804" width="10.75" style="14" customWidth="1"/>
    <col min="12805" max="12805" width="17.75" style="14" bestFit="1" customWidth="1"/>
    <col min="12806" max="12806" width="11.625" style="14" bestFit="1" customWidth="1"/>
    <col min="12807" max="12807" width="7.625" style="14" customWidth="1"/>
    <col min="12808" max="12808" width="8" style="14" bestFit="1" customWidth="1"/>
    <col min="12809" max="12809" width="28.375" style="14" customWidth="1"/>
    <col min="12810" max="12810" width="8" style="14" bestFit="1" customWidth="1"/>
    <col min="12811" max="12811" width="9.125" style="14" bestFit="1" customWidth="1"/>
    <col min="12812" max="12812" width="8.125" style="14" customWidth="1"/>
    <col min="12813" max="12813" width="7.875" style="14" bestFit="1" customWidth="1"/>
    <col min="12814" max="12814" width="8.25" style="14" customWidth="1"/>
    <col min="12815" max="12815" width="8" style="14" customWidth="1"/>
    <col min="12816" max="12816" width="18.625" style="14" customWidth="1"/>
    <col min="12817" max="13058" width="9" style="14"/>
    <col min="13059" max="13059" width="1.375" style="14" customWidth="1"/>
    <col min="13060" max="13060" width="10.75" style="14" customWidth="1"/>
    <col min="13061" max="13061" width="17.75" style="14" bestFit="1" customWidth="1"/>
    <col min="13062" max="13062" width="11.625" style="14" bestFit="1" customWidth="1"/>
    <col min="13063" max="13063" width="7.625" style="14" customWidth="1"/>
    <col min="13064" max="13064" width="8" style="14" bestFit="1" customWidth="1"/>
    <col min="13065" max="13065" width="28.375" style="14" customWidth="1"/>
    <col min="13066" max="13066" width="8" style="14" bestFit="1" customWidth="1"/>
    <col min="13067" max="13067" width="9.125" style="14" bestFit="1" customWidth="1"/>
    <col min="13068" max="13068" width="8.125" style="14" customWidth="1"/>
    <col min="13069" max="13069" width="7.875" style="14" bestFit="1" customWidth="1"/>
    <col min="13070" max="13070" width="8.25" style="14" customWidth="1"/>
    <col min="13071" max="13071" width="8" style="14" customWidth="1"/>
    <col min="13072" max="13072" width="18.625" style="14" customWidth="1"/>
    <col min="13073" max="13314" width="9" style="14"/>
    <col min="13315" max="13315" width="1.375" style="14" customWidth="1"/>
    <col min="13316" max="13316" width="10.75" style="14" customWidth="1"/>
    <col min="13317" max="13317" width="17.75" style="14" bestFit="1" customWidth="1"/>
    <col min="13318" max="13318" width="11.625" style="14" bestFit="1" customWidth="1"/>
    <col min="13319" max="13319" width="7.625" style="14" customWidth="1"/>
    <col min="13320" max="13320" width="8" style="14" bestFit="1" customWidth="1"/>
    <col min="13321" max="13321" width="28.375" style="14" customWidth="1"/>
    <col min="13322" max="13322" width="8" style="14" bestFit="1" customWidth="1"/>
    <col min="13323" max="13323" width="9.125" style="14" bestFit="1" customWidth="1"/>
    <col min="13324" max="13324" width="8.125" style="14" customWidth="1"/>
    <col min="13325" max="13325" width="7.875" style="14" bestFit="1" customWidth="1"/>
    <col min="13326" max="13326" width="8.25" style="14" customWidth="1"/>
    <col min="13327" max="13327" width="8" style="14" customWidth="1"/>
    <col min="13328" max="13328" width="18.625" style="14" customWidth="1"/>
    <col min="13329" max="13570" width="9" style="14"/>
    <col min="13571" max="13571" width="1.375" style="14" customWidth="1"/>
    <col min="13572" max="13572" width="10.75" style="14" customWidth="1"/>
    <col min="13573" max="13573" width="17.75" style="14" bestFit="1" customWidth="1"/>
    <col min="13574" max="13574" width="11.625" style="14" bestFit="1" customWidth="1"/>
    <col min="13575" max="13575" width="7.625" style="14" customWidth="1"/>
    <col min="13576" max="13576" width="8" style="14" bestFit="1" customWidth="1"/>
    <col min="13577" max="13577" width="28.375" style="14" customWidth="1"/>
    <col min="13578" max="13578" width="8" style="14" bestFit="1" customWidth="1"/>
    <col min="13579" max="13579" width="9.125" style="14" bestFit="1" customWidth="1"/>
    <col min="13580" max="13580" width="8.125" style="14" customWidth="1"/>
    <col min="13581" max="13581" width="7.875" style="14" bestFit="1" customWidth="1"/>
    <col min="13582" max="13582" width="8.25" style="14" customWidth="1"/>
    <col min="13583" max="13583" width="8" style="14" customWidth="1"/>
    <col min="13584" max="13584" width="18.625" style="14" customWidth="1"/>
    <col min="13585" max="13826" width="9" style="14"/>
    <col min="13827" max="13827" width="1.375" style="14" customWidth="1"/>
    <col min="13828" max="13828" width="10.75" style="14" customWidth="1"/>
    <col min="13829" max="13829" width="17.75" style="14" bestFit="1" customWidth="1"/>
    <col min="13830" max="13830" width="11.625" style="14" bestFit="1" customWidth="1"/>
    <col min="13831" max="13831" width="7.625" style="14" customWidth="1"/>
    <col min="13832" max="13832" width="8" style="14" bestFit="1" customWidth="1"/>
    <col min="13833" max="13833" width="28.375" style="14" customWidth="1"/>
    <col min="13834" max="13834" width="8" style="14" bestFit="1" customWidth="1"/>
    <col min="13835" max="13835" width="9.125" style="14" bestFit="1" customWidth="1"/>
    <col min="13836" max="13836" width="8.125" style="14" customWidth="1"/>
    <col min="13837" max="13837" width="7.875" style="14" bestFit="1" customWidth="1"/>
    <col min="13838" max="13838" width="8.25" style="14" customWidth="1"/>
    <col min="13839" max="13839" width="8" style="14" customWidth="1"/>
    <col min="13840" max="13840" width="18.625" style="14" customWidth="1"/>
    <col min="13841" max="14082" width="9" style="14"/>
    <col min="14083" max="14083" width="1.375" style="14" customWidth="1"/>
    <col min="14084" max="14084" width="10.75" style="14" customWidth="1"/>
    <col min="14085" max="14085" width="17.75" style="14" bestFit="1" customWidth="1"/>
    <col min="14086" max="14086" width="11.625" style="14" bestFit="1" customWidth="1"/>
    <col min="14087" max="14087" width="7.625" style="14" customWidth="1"/>
    <col min="14088" max="14088" width="8" style="14" bestFit="1" customWidth="1"/>
    <col min="14089" max="14089" width="28.375" style="14" customWidth="1"/>
    <col min="14090" max="14090" width="8" style="14" bestFit="1" customWidth="1"/>
    <col min="14091" max="14091" width="9.125" style="14" bestFit="1" customWidth="1"/>
    <col min="14092" max="14092" width="8.125" style="14" customWidth="1"/>
    <col min="14093" max="14093" width="7.875" style="14" bestFit="1" customWidth="1"/>
    <col min="14094" max="14094" width="8.25" style="14" customWidth="1"/>
    <col min="14095" max="14095" width="8" style="14" customWidth="1"/>
    <col min="14096" max="14096" width="18.625" style="14" customWidth="1"/>
    <col min="14097" max="14338" width="9" style="14"/>
    <col min="14339" max="14339" width="1.375" style="14" customWidth="1"/>
    <col min="14340" max="14340" width="10.75" style="14" customWidth="1"/>
    <col min="14341" max="14341" width="17.75" style="14" bestFit="1" customWidth="1"/>
    <col min="14342" max="14342" width="11.625" style="14" bestFit="1" customWidth="1"/>
    <col min="14343" max="14343" width="7.625" style="14" customWidth="1"/>
    <col min="14344" max="14344" width="8" style="14" bestFit="1" customWidth="1"/>
    <col min="14345" max="14345" width="28.375" style="14" customWidth="1"/>
    <col min="14346" max="14346" width="8" style="14" bestFit="1" customWidth="1"/>
    <col min="14347" max="14347" width="9.125" style="14" bestFit="1" customWidth="1"/>
    <col min="14348" max="14348" width="8.125" style="14" customWidth="1"/>
    <col min="14349" max="14349" width="7.875" style="14" bestFit="1" customWidth="1"/>
    <col min="14350" max="14350" width="8.25" style="14" customWidth="1"/>
    <col min="14351" max="14351" width="8" style="14" customWidth="1"/>
    <col min="14352" max="14352" width="18.625" style="14" customWidth="1"/>
    <col min="14353" max="14594" width="9" style="14"/>
    <col min="14595" max="14595" width="1.375" style="14" customWidth="1"/>
    <col min="14596" max="14596" width="10.75" style="14" customWidth="1"/>
    <col min="14597" max="14597" width="17.75" style="14" bestFit="1" customWidth="1"/>
    <col min="14598" max="14598" width="11.625" style="14" bestFit="1" customWidth="1"/>
    <col min="14599" max="14599" width="7.625" style="14" customWidth="1"/>
    <col min="14600" max="14600" width="8" style="14" bestFit="1" customWidth="1"/>
    <col min="14601" max="14601" width="28.375" style="14" customWidth="1"/>
    <col min="14602" max="14602" width="8" style="14" bestFit="1" customWidth="1"/>
    <col min="14603" max="14603" width="9.125" style="14" bestFit="1" customWidth="1"/>
    <col min="14604" max="14604" width="8.125" style="14" customWidth="1"/>
    <col min="14605" max="14605" width="7.875" style="14" bestFit="1" customWidth="1"/>
    <col min="14606" max="14606" width="8.25" style="14" customWidth="1"/>
    <col min="14607" max="14607" width="8" style="14" customWidth="1"/>
    <col min="14608" max="14608" width="18.625" style="14" customWidth="1"/>
    <col min="14609" max="14850" width="9" style="14"/>
    <col min="14851" max="14851" width="1.375" style="14" customWidth="1"/>
    <col min="14852" max="14852" width="10.75" style="14" customWidth="1"/>
    <col min="14853" max="14853" width="17.75" style="14" bestFit="1" customWidth="1"/>
    <col min="14854" max="14854" width="11.625" style="14" bestFit="1" customWidth="1"/>
    <col min="14855" max="14855" width="7.625" style="14" customWidth="1"/>
    <col min="14856" max="14856" width="8" style="14" bestFit="1" customWidth="1"/>
    <col min="14857" max="14857" width="28.375" style="14" customWidth="1"/>
    <col min="14858" max="14858" width="8" style="14" bestFit="1" customWidth="1"/>
    <col min="14859" max="14859" width="9.125" style="14" bestFit="1" customWidth="1"/>
    <col min="14860" max="14860" width="8.125" style="14" customWidth="1"/>
    <col min="14861" max="14861" width="7.875" style="14" bestFit="1" customWidth="1"/>
    <col min="14862" max="14862" width="8.25" style="14" customWidth="1"/>
    <col min="14863" max="14863" width="8" style="14" customWidth="1"/>
    <col min="14864" max="14864" width="18.625" style="14" customWidth="1"/>
    <col min="14865" max="15106" width="9" style="14"/>
    <col min="15107" max="15107" width="1.375" style="14" customWidth="1"/>
    <col min="15108" max="15108" width="10.75" style="14" customWidth="1"/>
    <col min="15109" max="15109" width="17.75" style="14" bestFit="1" customWidth="1"/>
    <col min="15110" max="15110" width="11.625" style="14" bestFit="1" customWidth="1"/>
    <col min="15111" max="15111" width="7.625" style="14" customWidth="1"/>
    <col min="15112" max="15112" width="8" style="14" bestFit="1" customWidth="1"/>
    <col min="15113" max="15113" width="28.375" style="14" customWidth="1"/>
    <col min="15114" max="15114" width="8" style="14" bestFit="1" customWidth="1"/>
    <col min="15115" max="15115" width="9.125" style="14" bestFit="1" customWidth="1"/>
    <col min="15116" max="15116" width="8.125" style="14" customWidth="1"/>
    <col min="15117" max="15117" width="7.875" style="14" bestFit="1" customWidth="1"/>
    <col min="15118" max="15118" width="8.25" style="14" customWidth="1"/>
    <col min="15119" max="15119" width="8" style="14" customWidth="1"/>
    <col min="15120" max="15120" width="18.625" style="14" customWidth="1"/>
    <col min="15121" max="15362" width="9" style="14"/>
    <col min="15363" max="15363" width="1.375" style="14" customWidth="1"/>
    <col min="15364" max="15364" width="10.75" style="14" customWidth="1"/>
    <col min="15365" max="15365" width="17.75" style="14" bestFit="1" customWidth="1"/>
    <col min="15366" max="15366" width="11.625" style="14" bestFit="1" customWidth="1"/>
    <col min="15367" max="15367" width="7.625" style="14" customWidth="1"/>
    <col min="15368" max="15368" width="8" style="14" bestFit="1" customWidth="1"/>
    <col min="15369" max="15369" width="28.375" style="14" customWidth="1"/>
    <col min="15370" max="15370" width="8" style="14" bestFit="1" customWidth="1"/>
    <col min="15371" max="15371" width="9.125" style="14" bestFit="1" customWidth="1"/>
    <col min="15372" max="15372" width="8.125" style="14" customWidth="1"/>
    <col min="15373" max="15373" width="7.875" style="14" bestFit="1" customWidth="1"/>
    <col min="15374" max="15374" width="8.25" style="14" customWidth="1"/>
    <col min="15375" max="15375" width="8" style="14" customWidth="1"/>
    <col min="15376" max="15376" width="18.625" style="14" customWidth="1"/>
    <col min="15377" max="15618" width="9" style="14"/>
    <col min="15619" max="15619" width="1.375" style="14" customWidth="1"/>
    <col min="15620" max="15620" width="10.75" style="14" customWidth="1"/>
    <col min="15621" max="15621" width="17.75" style="14" bestFit="1" customWidth="1"/>
    <col min="15622" max="15622" width="11.625" style="14" bestFit="1" customWidth="1"/>
    <col min="15623" max="15623" width="7.625" style="14" customWidth="1"/>
    <col min="15624" max="15624" width="8" style="14" bestFit="1" customWidth="1"/>
    <col min="15625" max="15625" width="28.375" style="14" customWidth="1"/>
    <col min="15626" max="15626" width="8" style="14" bestFit="1" customWidth="1"/>
    <col min="15627" max="15627" width="9.125" style="14" bestFit="1" customWidth="1"/>
    <col min="15628" max="15628" width="8.125" style="14" customWidth="1"/>
    <col min="15629" max="15629" width="7.875" style="14" bestFit="1" customWidth="1"/>
    <col min="15630" max="15630" width="8.25" style="14" customWidth="1"/>
    <col min="15631" max="15631" width="8" style="14" customWidth="1"/>
    <col min="15632" max="15632" width="18.625" style="14" customWidth="1"/>
    <col min="15633" max="15874" width="9" style="14"/>
    <col min="15875" max="15875" width="1.375" style="14" customWidth="1"/>
    <col min="15876" max="15876" width="10.75" style="14" customWidth="1"/>
    <col min="15877" max="15877" width="17.75" style="14" bestFit="1" customWidth="1"/>
    <col min="15878" max="15878" width="11.625" style="14" bestFit="1" customWidth="1"/>
    <col min="15879" max="15879" width="7.625" style="14" customWidth="1"/>
    <col min="15880" max="15880" width="8" style="14" bestFit="1" customWidth="1"/>
    <col min="15881" max="15881" width="28.375" style="14" customWidth="1"/>
    <col min="15882" max="15882" width="8" style="14" bestFit="1" customWidth="1"/>
    <col min="15883" max="15883" width="9.125" style="14" bestFit="1" customWidth="1"/>
    <col min="15884" max="15884" width="8.125" style="14" customWidth="1"/>
    <col min="15885" max="15885" width="7.875" style="14" bestFit="1" customWidth="1"/>
    <col min="15886" max="15886" width="8.25" style="14" customWidth="1"/>
    <col min="15887" max="15887" width="8" style="14" customWidth="1"/>
    <col min="15888" max="15888" width="18.625" style="14" customWidth="1"/>
    <col min="15889" max="16130" width="9" style="14"/>
    <col min="16131" max="16131" width="1.375" style="14" customWidth="1"/>
    <col min="16132" max="16132" width="10.75" style="14" customWidth="1"/>
    <col min="16133" max="16133" width="17.75" style="14" bestFit="1" customWidth="1"/>
    <col min="16134" max="16134" width="11.625" style="14" bestFit="1" customWidth="1"/>
    <col min="16135" max="16135" width="7.625" style="14" customWidth="1"/>
    <col min="16136" max="16136" width="8" style="14" bestFit="1" customWidth="1"/>
    <col min="16137" max="16137" width="28.375" style="14" customWidth="1"/>
    <col min="16138" max="16138" width="8" style="14" bestFit="1" customWidth="1"/>
    <col min="16139" max="16139" width="9.125" style="14" bestFit="1" customWidth="1"/>
    <col min="16140" max="16140" width="8.125" style="14" customWidth="1"/>
    <col min="16141" max="16141" width="7.875" style="14" bestFit="1" customWidth="1"/>
    <col min="16142" max="16142" width="8.25" style="14" customWidth="1"/>
    <col min="16143" max="16143" width="8" style="14" customWidth="1"/>
    <col min="16144" max="16144" width="18.625" style="14" customWidth="1"/>
    <col min="16145" max="16384" width="9" style="14"/>
  </cols>
  <sheetData>
    <row r="1" spans="1:13" ht="13.5" x14ac:dyDescent="0.3">
      <c r="A1" s="25" t="s">
        <v>41</v>
      </c>
      <c r="B1" s="25"/>
      <c r="C1" s="25" t="s">
        <v>81</v>
      </c>
      <c r="D1" s="27"/>
      <c r="E1" s="27"/>
      <c r="F1" s="27"/>
      <c r="G1" s="27"/>
      <c r="H1" s="27"/>
      <c r="I1" s="27"/>
      <c r="J1" s="27"/>
      <c r="K1" s="27"/>
      <c r="L1" s="27"/>
      <c r="M1" s="27"/>
    </row>
    <row r="2" spans="1:13" ht="13.5" x14ac:dyDescent="0.3">
      <c r="A2" s="25" t="s">
        <v>241</v>
      </c>
      <c r="B2" s="25"/>
      <c r="C2" s="27" t="s">
        <v>82</v>
      </c>
      <c r="D2" s="27"/>
      <c r="E2" s="27"/>
      <c r="F2" s="27"/>
      <c r="G2" s="27"/>
      <c r="H2" s="27"/>
      <c r="I2" s="27"/>
      <c r="J2" s="27"/>
      <c r="K2" s="27"/>
      <c r="L2" s="27"/>
      <c r="M2" s="27"/>
    </row>
    <row r="3" spans="1:13" ht="13.5" x14ac:dyDescent="0.3">
      <c r="A3" s="25" t="s">
        <v>242</v>
      </c>
      <c r="B3" s="25"/>
      <c r="C3" s="27" t="s">
        <v>243</v>
      </c>
      <c r="D3" s="27"/>
      <c r="E3" s="27"/>
      <c r="F3" s="27"/>
      <c r="G3" s="27"/>
      <c r="H3" s="27"/>
      <c r="I3" s="27"/>
      <c r="J3" s="27"/>
      <c r="K3" s="27"/>
      <c r="L3" s="27"/>
      <c r="M3" s="27"/>
    </row>
    <row r="4" spans="1:13" ht="13.5" x14ac:dyDescent="0.3">
      <c r="A4" s="1"/>
      <c r="B4" s="33"/>
      <c r="C4" s="34"/>
      <c r="D4" s="35"/>
      <c r="E4" s="37"/>
      <c r="F4" s="1"/>
      <c r="G4" s="38"/>
      <c r="H4" s="38"/>
      <c r="I4" s="1"/>
      <c r="J4" s="35"/>
      <c r="K4" s="36"/>
      <c r="L4" s="36"/>
      <c r="M4" s="1"/>
    </row>
    <row r="5" spans="1:13" ht="20.100000000000001" customHeight="1" x14ac:dyDescent="0.3">
      <c r="A5" s="16"/>
      <c r="B5" s="60" t="s">
        <v>83</v>
      </c>
      <c r="C5" s="61" t="s">
        <v>84</v>
      </c>
      <c r="D5" s="61" t="s">
        <v>2</v>
      </c>
      <c r="E5" s="62" t="s">
        <v>88</v>
      </c>
      <c r="F5" s="63" t="s">
        <v>89</v>
      </c>
      <c r="G5" s="61" t="s">
        <v>90</v>
      </c>
      <c r="H5" s="61" t="s">
        <v>240</v>
      </c>
      <c r="I5" s="61" t="s">
        <v>385</v>
      </c>
      <c r="J5" s="60" t="s">
        <v>85</v>
      </c>
      <c r="K5" s="62" t="s">
        <v>86</v>
      </c>
      <c r="L5" s="62" t="s">
        <v>87</v>
      </c>
      <c r="M5" s="61" t="s">
        <v>50</v>
      </c>
    </row>
    <row r="6" spans="1:13" ht="13.5" x14ac:dyDescent="0.3">
      <c r="A6" s="16"/>
      <c r="B6" s="48">
        <v>1</v>
      </c>
      <c r="C6" s="44" t="s">
        <v>91</v>
      </c>
      <c r="D6" s="45" t="s">
        <v>293</v>
      </c>
      <c r="E6" s="44" t="s">
        <v>95</v>
      </c>
      <c r="F6" s="44" t="s">
        <v>96</v>
      </c>
      <c r="G6" s="44" t="s">
        <v>97</v>
      </c>
      <c r="H6" s="47" t="s">
        <v>318</v>
      </c>
      <c r="I6" s="47" t="s">
        <v>346</v>
      </c>
      <c r="J6" s="45" t="s">
        <v>92</v>
      </c>
      <c r="K6" s="44" t="s">
        <v>93</v>
      </c>
      <c r="L6" s="45" t="s">
        <v>94</v>
      </c>
      <c r="M6" s="44"/>
    </row>
    <row r="7" spans="1:13" ht="13.5" x14ac:dyDescent="0.3">
      <c r="A7" s="16"/>
      <c r="B7" s="48">
        <v>2</v>
      </c>
      <c r="C7" s="44" t="s">
        <v>98</v>
      </c>
      <c r="D7" s="45" t="s">
        <v>294</v>
      </c>
      <c r="E7" s="44" t="s">
        <v>102</v>
      </c>
      <c r="F7" s="44" t="s">
        <v>103</v>
      </c>
      <c r="G7" s="44" t="s">
        <v>104</v>
      </c>
      <c r="H7" s="47" t="s">
        <v>319</v>
      </c>
      <c r="I7" s="47" t="s">
        <v>347</v>
      </c>
      <c r="J7" s="45" t="s">
        <v>99</v>
      </c>
      <c r="K7" s="44" t="s">
        <v>100</v>
      </c>
      <c r="L7" s="45" t="s">
        <v>101</v>
      </c>
      <c r="M7" s="44"/>
    </row>
    <row r="8" spans="1:13" ht="13.5" x14ac:dyDescent="0.3">
      <c r="A8" s="16"/>
      <c r="B8" s="48">
        <v>3</v>
      </c>
      <c r="C8" s="44" t="s">
        <v>105</v>
      </c>
      <c r="D8" s="45" t="s">
        <v>295</v>
      </c>
      <c r="E8" s="44" t="s">
        <v>108</v>
      </c>
      <c r="F8" s="44" t="s">
        <v>109</v>
      </c>
      <c r="G8" s="44" t="s">
        <v>110</v>
      </c>
      <c r="H8" s="47" t="s">
        <v>320</v>
      </c>
      <c r="I8" s="47" t="s">
        <v>348</v>
      </c>
      <c r="J8" s="45" t="s">
        <v>106</v>
      </c>
      <c r="K8" s="44" t="s">
        <v>107</v>
      </c>
      <c r="L8" s="45" t="s">
        <v>101</v>
      </c>
      <c r="M8" s="44"/>
    </row>
    <row r="9" spans="1:13" ht="13.5" x14ac:dyDescent="0.3">
      <c r="A9" s="16"/>
      <c r="B9" s="48">
        <v>4</v>
      </c>
      <c r="C9" s="44" t="s">
        <v>111</v>
      </c>
      <c r="D9" s="45" t="s">
        <v>296</v>
      </c>
      <c r="E9" s="44" t="s">
        <v>115</v>
      </c>
      <c r="F9" s="44" t="s">
        <v>116</v>
      </c>
      <c r="G9" s="44" t="s">
        <v>117</v>
      </c>
      <c r="H9" s="47" t="s">
        <v>321</v>
      </c>
      <c r="I9" s="47" t="s">
        <v>349</v>
      </c>
      <c r="J9" s="45" t="s">
        <v>112</v>
      </c>
      <c r="K9" s="44" t="s">
        <v>113</v>
      </c>
      <c r="L9" s="45" t="s">
        <v>114</v>
      </c>
      <c r="M9" s="44"/>
    </row>
    <row r="10" spans="1:13" ht="13.5" x14ac:dyDescent="0.3">
      <c r="A10" s="16"/>
      <c r="B10" s="48">
        <v>5</v>
      </c>
      <c r="C10" s="44" t="s">
        <v>118</v>
      </c>
      <c r="D10" s="45" t="s">
        <v>297</v>
      </c>
      <c r="E10" s="44" t="s">
        <v>122</v>
      </c>
      <c r="F10" s="44" t="s">
        <v>123</v>
      </c>
      <c r="G10" s="44" t="s">
        <v>124</v>
      </c>
      <c r="H10" s="47" t="s">
        <v>345</v>
      </c>
      <c r="I10" s="47" t="s">
        <v>350</v>
      </c>
      <c r="J10" s="45" t="s">
        <v>119</v>
      </c>
      <c r="K10" s="44" t="s">
        <v>120</v>
      </c>
      <c r="L10" s="45" t="s">
        <v>121</v>
      </c>
      <c r="M10" s="44"/>
    </row>
    <row r="11" spans="1:13" ht="13.5" x14ac:dyDescent="0.3">
      <c r="A11" s="16"/>
      <c r="B11" s="48">
        <v>6</v>
      </c>
      <c r="C11" s="44" t="s">
        <v>339</v>
      </c>
      <c r="D11" s="45" t="s">
        <v>298</v>
      </c>
      <c r="E11" s="44" t="s">
        <v>102</v>
      </c>
      <c r="F11" s="44" t="s">
        <v>128</v>
      </c>
      <c r="G11" s="44" t="s">
        <v>337</v>
      </c>
      <c r="H11" s="47" t="s">
        <v>322</v>
      </c>
      <c r="I11" s="47" t="s">
        <v>351</v>
      </c>
      <c r="J11" s="45" t="s">
        <v>125</v>
      </c>
      <c r="K11" s="44" t="s">
        <v>126</v>
      </c>
      <c r="L11" s="45" t="s">
        <v>127</v>
      </c>
      <c r="M11" s="44"/>
    </row>
    <row r="12" spans="1:13" ht="13.5" x14ac:dyDescent="0.3">
      <c r="A12" s="16"/>
      <c r="B12" s="48">
        <v>7</v>
      </c>
      <c r="C12" s="44" t="s">
        <v>129</v>
      </c>
      <c r="D12" s="45" t="s">
        <v>299</v>
      </c>
      <c r="E12" s="44" t="s">
        <v>132</v>
      </c>
      <c r="F12" s="44" t="s">
        <v>133</v>
      </c>
      <c r="G12" s="44" t="s">
        <v>134</v>
      </c>
      <c r="H12" s="47" t="s">
        <v>323</v>
      </c>
      <c r="I12" s="47" t="s">
        <v>352</v>
      </c>
      <c r="J12" s="45" t="s">
        <v>130</v>
      </c>
      <c r="K12" s="44" t="s">
        <v>131</v>
      </c>
      <c r="L12" s="45" t="s">
        <v>101</v>
      </c>
      <c r="M12" s="44"/>
    </row>
    <row r="13" spans="1:13" ht="13.5" x14ac:dyDescent="0.3">
      <c r="A13" s="16"/>
      <c r="B13" s="48">
        <v>8</v>
      </c>
      <c r="C13" s="44" t="s">
        <v>135</v>
      </c>
      <c r="D13" s="45" t="s">
        <v>300</v>
      </c>
      <c r="E13" s="44" t="s">
        <v>102</v>
      </c>
      <c r="F13" s="44" t="s">
        <v>139</v>
      </c>
      <c r="G13" s="44" t="s">
        <v>140</v>
      </c>
      <c r="H13" s="47" t="s">
        <v>324</v>
      </c>
      <c r="I13" s="47" t="s">
        <v>353</v>
      </c>
      <c r="J13" s="45" t="s">
        <v>136</v>
      </c>
      <c r="K13" s="44" t="s">
        <v>137</v>
      </c>
      <c r="L13" s="45" t="s">
        <v>138</v>
      </c>
      <c r="M13" s="44"/>
    </row>
    <row r="14" spans="1:13" ht="13.5" x14ac:dyDescent="0.3">
      <c r="A14" s="16"/>
      <c r="B14" s="48">
        <v>9</v>
      </c>
      <c r="C14" s="44" t="s">
        <v>141</v>
      </c>
      <c r="D14" s="45" t="s">
        <v>301</v>
      </c>
      <c r="E14" s="44" t="s">
        <v>144</v>
      </c>
      <c r="F14" s="44" t="s">
        <v>145</v>
      </c>
      <c r="G14" s="44" t="s">
        <v>146</v>
      </c>
      <c r="H14" s="47" t="s">
        <v>325</v>
      </c>
      <c r="I14" s="47" t="s">
        <v>354</v>
      </c>
      <c r="J14" s="45" t="s">
        <v>254</v>
      </c>
      <c r="K14" s="44" t="s">
        <v>142</v>
      </c>
      <c r="L14" s="45" t="s">
        <v>143</v>
      </c>
      <c r="M14" s="44"/>
    </row>
    <row r="15" spans="1:13" ht="13.5" x14ac:dyDescent="0.3">
      <c r="A15" s="16"/>
      <c r="B15" s="48">
        <v>10</v>
      </c>
      <c r="C15" s="44" t="s">
        <v>147</v>
      </c>
      <c r="D15" s="45" t="s">
        <v>302</v>
      </c>
      <c r="E15" s="44" t="s">
        <v>150</v>
      </c>
      <c r="F15" s="44" t="s">
        <v>151</v>
      </c>
      <c r="G15" s="44" t="s">
        <v>152</v>
      </c>
      <c r="H15" s="47" t="s">
        <v>326</v>
      </c>
      <c r="I15" s="47" t="s">
        <v>355</v>
      </c>
      <c r="J15" s="45" t="s">
        <v>148</v>
      </c>
      <c r="K15" s="44" t="s">
        <v>149</v>
      </c>
      <c r="L15" s="45" t="s">
        <v>101</v>
      </c>
      <c r="M15" s="44"/>
    </row>
    <row r="16" spans="1:13" ht="13.5" x14ac:dyDescent="0.3">
      <c r="A16" s="16"/>
      <c r="B16" s="48">
        <v>11</v>
      </c>
      <c r="C16" s="44" t="s">
        <v>153</v>
      </c>
      <c r="D16" s="45" t="s">
        <v>303</v>
      </c>
      <c r="E16" s="44" t="s">
        <v>157</v>
      </c>
      <c r="F16" s="44" t="s">
        <v>158</v>
      </c>
      <c r="G16" s="44" t="s">
        <v>159</v>
      </c>
      <c r="H16" s="47" t="s">
        <v>342</v>
      </c>
      <c r="I16" s="47" t="s">
        <v>356</v>
      </c>
      <c r="J16" s="45" t="s">
        <v>154</v>
      </c>
      <c r="K16" s="44" t="s">
        <v>155</v>
      </c>
      <c r="L16" s="45" t="s">
        <v>156</v>
      </c>
      <c r="M16" s="44"/>
    </row>
    <row r="17" spans="1:13" ht="13.5" x14ac:dyDescent="0.3">
      <c r="A17" s="16"/>
      <c r="B17" s="48">
        <v>12</v>
      </c>
      <c r="C17" s="44" t="s">
        <v>160</v>
      </c>
      <c r="D17" s="45" t="s">
        <v>304</v>
      </c>
      <c r="E17" s="44" t="s">
        <v>102</v>
      </c>
      <c r="F17" s="44" t="s">
        <v>164</v>
      </c>
      <c r="G17" s="44" t="s">
        <v>165</v>
      </c>
      <c r="H17" s="47" t="s">
        <v>327</v>
      </c>
      <c r="I17" s="47" t="s">
        <v>357</v>
      </c>
      <c r="J17" s="45" t="s">
        <v>161</v>
      </c>
      <c r="K17" s="44" t="s">
        <v>162</v>
      </c>
      <c r="L17" s="45" t="s">
        <v>163</v>
      </c>
      <c r="M17" s="44"/>
    </row>
    <row r="18" spans="1:13" ht="13.5" x14ac:dyDescent="0.3">
      <c r="A18" s="16"/>
      <c r="B18" s="48">
        <v>13</v>
      </c>
      <c r="C18" s="44" t="s">
        <v>166</v>
      </c>
      <c r="D18" s="45" t="s">
        <v>305</v>
      </c>
      <c r="E18" s="44" t="s">
        <v>102</v>
      </c>
      <c r="F18" s="44" t="s">
        <v>170</v>
      </c>
      <c r="G18" s="44" t="s">
        <v>171</v>
      </c>
      <c r="H18" s="47" t="s">
        <v>328</v>
      </c>
      <c r="I18" s="47" t="s">
        <v>358</v>
      </c>
      <c r="J18" s="45" t="s">
        <v>167</v>
      </c>
      <c r="K18" s="44" t="s">
        <v>168</v>
      </c>
      <c r="L18" s="45" t="s">
        <v>169</v>
      </c>
      <c r="M18" s="44"/>
    </row>
    <row r="19" spans="1:13" ht="13.5" x14ac:dyDescent="0.3">
      <c r="A19" s="16"/>
      <c r="B19" s="48">
        <v>14</v>
      </c>
      <c r="C19" s="44" t="s">
        <v>172</v>
      </c>
      <c r="D19" s="46" t="s">
        <v>306</v>
      </c>
      <c r="E19" s="44" t="s">
        <v>122</v>
      </c>
      <c r="F19" s="44" t="s">
        <v>176</v>
      </c>
      <c r="G19" s="44" t="s">
        <v>177</v>
      </c>
      <c r="H19" s="47" t="s">
        <v>329</v>
      </c>
      <c r="I19" s="47" t="s">
        <v>359</v>
      </c>
      <c r="J19" s="46" t="s">
        <v>173</v>
      </c>
      <c r="K19" s="44" t="s">
        <v>174</v>
      </c>
      <c r="L19" s="45" t="s">
        <v>175</v>
      </c>
      <c r="M19" s="44"/>
    </row>
    <row r="20" spans="1:13" ht="13.5" x14ac:dyDescent="0.3">
      <c r="A20" s="16"/>
      <c r="B20" s="48">
        <v>15</v>
      </c>
      <c r="C20" s="44" t="s">
        <v>178</v>
      </c>
      <c r="D20" s="46" t="s">
        <v>307</v>
      </c>
      <c r="E20" s="44" t="s">
        <v>182</v>
      </c>
      <c r="F20" s="44" t="s">
        <v>183</v>
      </c>
      <c r="G20" s="44" t="s">
        <v>184</v>
      </c>
      <c r="H20" s="47" t="s">
        <v>330</v>
      </c>
      <c r="I20" s="47" t="s">
        <v>360</v>
      </c>
      <c r="J20" s="46" t="s">
        <v>179</v>
      </c>
      <c r="K20" s="44" t="s">
        <v>180</v>
      </c>
      <c r="L20" s="45" t="s">
        <v>181</v>
      </c>
      <c r="M20" s="44"/>
    </row>
    <row r="21" spans="1:13" ht="13.5" x14ac:dyDescent="0.3">
      <c r="A21" s="16"/>
      <c r="B21" s="48">
        <v>16</v>
      </c>
      <c r="C21" s="44" t="s">
        <v>185</v>
      </c>
      <c r="D21" s="46" t="s">
        <v>308</v>
      </c>
      <c r="E21" s="44" t="s">
        <v>188</v>
      </c>
      <c r="F21" s="44" t="s">
        <v>189</v>
      </c>
      <c r="G21" s="44" t="s">
        <v>190</v>
      </c>
      <c r="H21" s="47" t="s">
        <v>331</v>
      </c>
      <c r="I21" s="47" t="s">
        <v>361</v>
      </c>
      <c r="J21" s="46" t="s">
        <v>253</v>
      </c>
      <c r="K21" s="44" t="s">
        <v>186</v>
      </c>
      <c r="L21" s="45" t="s">
        <v>187</v>
      </c>
      <c r="M21" s="44"/>
    </row>
    <row r="22" spans="1:13" ht="13.5" x14ac:dyDescent="0.3">
      <c r="A22" s="16"/>
      <c r="B22" s="48">
        <v>17</v>
      </c>
      <c r="C22" s="44" t="s">
        <v>191</v>
      </c>
      <c r="D22" s="46" t="s">
        <v>309</v>
      </c>
      <c r="E22" s="44" t="s">
        <v>195</v>
      </c>
      <c r="F22" s="44" t="s">
        <v>151</v>
      </c>
      <c r="G22" s="44" t="s">
        <v>196</v>
      </c>
      <c r="H22" s="47" t="s">
        <v>343</v>
      </c>
      <c r="I22" s="47" t="s">
        <v>362</v>
      </c>
      <c r="J22" s="46" t="s">
        <v>192</v>
      </c>
      <c r="K22" s="44" t="s">
        <v>193</v>
      </c>
      <c r="L22" s="45" t="s">
        <v>194</v>
      </c>
      <c r="M22" s="44"/>
    </row>
    <row r="23" spans="1:13" ht="13.5" x14ac:dyDescent="0.3">
      <c r="A23" s="16"/>
      <c r="B23" s="48">
        <v>18</v>
      </c>
      <c r="C23" s="44" t="s">
        <v>197</v>
      </c>
      <c r="D23" s="46" t="s">
        <v>310</v>
      </c>
      <c r="E23" s="44" t="s">
        <v>201</v>
      </c>
      <c r="F23" s="44" t="s">
        <v>202</v>
      </c>
      <c r="G23" s="44" t="s">
        <v>203</v>
      </c>
      <c r="H23" s="47" t="s">
        <v>332</v>
      </c>
      <c r="I23" s="47" t="s">
        <v>363</v>
      </c>
      <c r="J23" s="46" t="s">
        <v>198</v>
      </c>
      <c r="K23" s="44" t="s">
        <v>199</v>
      </c>
      <c r="L23" s="45" t="s">
        <v>200</v>
      </c>
      <c r="M23" s="44"/>
    </row>
    <row r="24" spans="1:13" ht="13.5" x14ac:dyDescent="0.3">
      <c r="A24" s="16"/>
      <c r="B24" s="48">
        <v>19</v>
      </c>
      <c r="C24" s="44" t="s">
        <v>204</v>
      </c>
      <c r="D24" s="46" t="s">
        <v>311</v>
      </c>
      <c r="E24" s="44" t="s">
        <v>207</v>
      </c>
      <c r="F24" s="44" t="s">
        <v>208</v>
      </c>
      <c r="G24" s="44" t="s">
        <v>209</v>
      </c>
      <c r="H24" s="47" t="s">
        <v>333</v>
      </c>
      <c r="I24" s="47" t="s">
        <v>364</v>
      </c>
      <c r="J24" s="46" t="s">
        <v>205</v>
      </c>
      <c r="K24" s="44" t="s">
        <v>206</v>
      </c>
      <c r="L24" s="45" t="s">
        <v>143</v>
      </c>
      <c r="M24" s="44"/>
    </row>
    <row r="25" spans="1:13" ht="13.5" x14ac:dyDescent="0.3">
      <c r="A25" s="16"/>
      <c r="B25" s="48">
        <v>20</v>
      </c>
      <c r="C25" s="44" t="s">
        <v>210</v>
      </c>
      <c r="D25" s="46" t="s">
        <v>312</v>
      </c>
      <c r="E25" s="44" t="s">
        <v>214</v>
      </c>
      <c r="F25" s="44" t="s">
        <v>215</v>
      </c>
      <c r="G25" s="44" t="s">
        <v>216</v>
      </c>
      <c r="H25" s="47" t="s">
        <v>334</v>
      </c>
      <c r="I25" s="47" t="s">
        <v>365</v>
      </c>
      <c r="J25" s="46" t="s">
        <v>211</v>
      </c>
      <c r="K25" s="44" t="s">
        <v>212</v>
      </c>
      <c r="L25" s="45" t="s">
        <v>213</v>
      </c>
      <c r="M25" s="44"/>
    </row>
    <row r="26" spans="1:13" ht="13.5" x14ac:dyDescent="0.3">
      <c r="A26" s="16"/>
      <c r="B26" s="48">
        <v>21</v>
      </c>
      <c r="C26" s="44" t="s">
        <v>217</v>
      </c>
      <c r="D26" s="46" t="s">
        <v>313</v>
      </c>
      <c r="E26" s="44" t="s">
        <v>122</v>
      </c>
      <c r="F26" s="44" t="s">
        <v>221</v>
      </c>
      <c r="G26" s="44" t="s">
        <v>338</v>
      </c>
      <c r="H26" s="47" t="s">
        <v>335</v>
      </c>
      <c r="I26" s="47" t="s">
        <v>366</v>
      </c>
      <c r="J26" s="46" t="s">
        <v>218</v>
      </c>
      <c r="K26" s="44" t="s">
        <v>219</v>
      </c>
      <c r="L26" s="45" t="s">
        <v>220</v>
      </c>
      <c r="M26" s="44"/>
    </row>
    <row r="27" spans="1:13" ht="13.5" x14ac:dyDescent="0.3">
      <c r="A27" s="16"/>
      <c r="B27" s="48">
        <v>22</v>
      </c>
      <c r="C27" s="44" t="s">
        <v>222</v>
      </c>
      <c r="D27" s="46" t="s">
        <v>314</v>
      </c>
      <c r="E27" s="44" t="s">
        <v>122</v>
      </c>
      <c r="F27" s="44" t="s">
        <v>226</v>
      </c>
      <c r="G27" s="44" t="s">
        <v>227</v>
      </c>
      <c r="H27" s="47" t="s">
        <v>336</v>
      </c>
      <c r="I27" s="47" t="s">
        <v>367</v>
      </c>
      <c r="J27" s="46" t="s">
        <v>223</v>
      </c>
      <c r="K27" s="44" t="s">
        <v>224</v>
      </c>
      <c r="L27" s="45" t="s">
        <v>225</v>
      </c>
      <c r="M27" s="44"/>
    </row>
    <row r="28" spans="1:13" ht="13.5" x14ac:dyDescent="0.3">
      <c r="A28" s="16"/>
      <c r="B28" s="48">
        <v>23</v>
      </c>
      <c r="C28" s="44" t="s">
        <v>443</v>
      </c>
      <c r="D28" s="46" t="s">
        <v>315</v>
      </c>
      <c r="E28" s="44"/>
      <c r="F28" s="44"/>
      <c r="G28" s="44" t="s">
        <v>230</v>
      </c>
      <c r="H28" s="47" t="s">
        <v>344</v>
      </c>
      <c r="I28" s="47" t="s">
        <v>368</v>
      </c>
      <c r="J28" s="46" t="s">
        <v>255</v>
      </c>
      <c r="K28" s="44" t="s">
        <v>228</v>
      </c>
      <c r="L28" s="45" t="s">
        <v>229</v>
      </c>
      <c r="M28" s="44"/>
    </row>
    <row r="29" spans="1:13" ht="13.5" x14ac:dyDescent="0.3">
      <c r="A29" s="16"/>
      <c r="B29" s="48">
        <v>24</v>
      </c>
      <c r="C29" s="44" t="s">
        <v>441</v>
      </c>
      <c r="D29" s="46" t="s">
        <v>316</v>
      </c>
      <c r="E29" s="44" t="s">
        <v>102</v>
      </c>
      <c r="F29" s="44" t="s">
        <v>233</v>
      </c>
      <c r="G29" s="44" t="s">
        <v>92</v>
      </c>
      <c r="H29" s="47" t="s">
        <v>340</v>
      </c>
      <c r="I29" s="47" t="s">
        <v>369</v>
      </c>
      <c r="J29" s="46" t="s">
        <v>231</v>
      </c>
      <c r="K29" s="44" t="s">
        <v>442</v>
      </c>
      <c r="L29" s="45" t="s">
        <v>232</v>
      </c>
      <c r="M29" s="44" t="s">
        <v>234</v>
      </c>
    </row>
    <row r="30" spans="1:13" ht="13.5" x14ac:dyDescent="0.3">
      <c r="A30" s="16"/>
      <c r="B30" s="48">
        <v>25</v>
      </c>
      <c r="C30" s="44" t="s">
        <v>235</v>
      </c>
      <c r="D30" s="46" t="s">
        <v>317</v>
      </c>
      <c r="E30" s="44" t="s">
        <v>102</v>
      </c>
      <c r="F30" s="44" t="s">
        <v>238</v>
      </c>
      <c r="G30" s="44" t="s">
        <v>254</v>
      </c>
      <c r="H30" s="47" t="s">
        <v>341</v>
      </c>
      <c r="I30" s="47" t="s">
        <v>370</v>
      </c>
      <c r="J30" s="46" t="s">
        <v>92</v>
      </c>
      <c r="K30" s="44" t="s">
        <v>236</v>
      </c>
      <c r="L30" s="45" t="s">
        <v>237</v>
      </c>
      <c r="M30" s="44" t="s">
        <v>234</v>
      </c>
    </row>
    <row r="31" spans="1:13" ht="13.5" x14ac:dyDescent="0.3">
      <c r="A31" s="16"/>
      <c r="B31" s="48"/>
      <c r="C31" s="44"/>
      <c r="D31" s="46"/>
      <c r="E31" s="44"/>
      <c r="F31" s="44"/>
      <c r="G31" s="44"/>
      <c r="H31" s="47"/>
      <c r="I31" s="47"/>
      <c r="J31" s="46"/>
      <c r="K31" s="44"/>
      <c r="L31" s="45"/>
      <c r="M31" s="44"/>
    </row>
  </sheetData>
  <phoneticPr fontId="4" type="noConversion"/>
  <conditionalFormatting sqref="G26:G31 B6:F31 J19:J31 H6:I31 K6:M31">
    <cfRule type="expression" dxfId="15" priority="2" stopIfTrue="1">
      <formula>$C5&lt;&gt;""</formula>
    </cfRule>
  </conditionalFormatting>
  <conditionalFormatting sqref="J6:J18 G6:G25">
    <cfRule type="expression" dxfId="14" priority="1" stopIfTrue="1">
      <formula>$C11&lt;&gt;""</formula>
    </cfRule>
  </conditionalFormatting>
  <pageMargins left="0.75" right="0.75" top="1" bottom="1" header="0.5" footer="0.5"/>
  <headerFooter alignWithMargins="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AM30"/>
  <sheetViews>
    <sheetView showGridLines="0" workbookViewId="0">
      <selection activeCell="C5" sqref="C5:C6"/>
    </sheetView>
  </sheetViews>
  <sheetFormatPr defaultRowHeight="16.5" x14ac:dyDescent="0.3"/>
  <cols>
    <col min="1" max="1" width="11.5" customWidth="1"/>
    <col min="2" max="2" width="2.75" customWidth="1"/>
    <col min="4" max="4" width="2.75" customWidth="1"/>
    <col min="5" max="5" width="10.25" customWidth="1"/>
    <col min="6" max="6" width="9.625" bestFit="1" customWidth="1"/>
    <col min="7" max="7" width="14" customWidth="1"/>
    <col min="8" max="8" width="8.75" bestFit="1" customWidth="1"/>
    <col min="9" max="9" width="9.25" customWidth="1"/>
    <col min="10" max="10" width="13" customWidth="1"/>
    <col min="11" max="11" width="9.875" customWidth="1"/>
    <col min="12" max="12" width="11.5" customWidth="1"/>
    <col min="13" max="13" width="9.875" customWidth="1"/>
    <col min="15" max="15" width="10.25" bestFit="1" customWidth="1"/>
    <col min="16" max="17" width="11.375" bestFit="1" customWidth="1"/>
    <col min="18" max="18" width="18.125" bestFit="1" customWidth="1"/>
    <col min="19" max="19" width="14.375" customWidth="1"/>
    <col min="20" max="20" width="2.75" customWidth="1"/>
    <col min="22" max="22" width="2.75" customWidth="1"/>
    <col min="23" max="23" width="11.125" customWidth="1"/>
    <col min="24" max="24" width="11.25" customWidth="1"/>
    <col min="25" max="25" width="29.25" bestFit="1" customWidth="1"/>
    <col min="26" max="26" width="4.75" bestFit="1" customWidth="1"/>
    <col min="27" max="28" width="7.875" customWidth="1"/>
    <col min="29" max="29" width="2.5" customWidth="1"/>
    <col min="31" max="31" width="2.75" customWidth="1"/>
    <col min="32" max="32" width="11" customWidth="1"/>
    <col min="33" max="33" width="17.75" bestFit="1" customWidth="1"/>
    <col min="34" max="34" width="11.625" bestFit="1" customWidth="1"/>
    <col min="36" max="36" width="10.25" customWidth="1"/>
    <col min="37" max="37" width="6.75" customWidth="1"/>
    <col min="38" max="38" width="10.625" bestFit="1" customWidth="1"/>
    <col min="39" max="39" width="16.25" bestFit="1" customWidth="1"/>
  </cols>
  <sheetData>
    <row r="1" spans="1:39" x14ac:dyDescent="0.3">
      <c r="A1" s="41" t="s">
        <v>244</v>
      </c>
    </row>
    <row r="2" spans="1:39" ht="9" customHeight="1" x14ac:dyDescent="0.3">
      <c r="A2" s="41"/>
    </row>
    <row r="3" spans="1:39" x14ac:dyDescent="0.3">
      <c r="A3" t="s">
        <v>267</v>
      </c>
      <c r="C3" t="s">
        <v>256</v>
      </c>
      <c r="E3" t="s">
        <v>257</v>
      </c>
      <c r="U3" t="s">
        <v>256</v>
      </c>
      <c r="W3" t="s">
        <v>258</v>
      </c>
      <c r="AD3" t="s">
        <v>245</v>
      </c>
      <c r="AF3" t="s">
        <v>246</v>
      </c>
    </row>
    <row r="4" spans="1:39" ht="10.5" customHeight="1" thickBot="1" x14ac:dyDescent="0.35"/>
    <row r="5" spans="1:39" ht="24.75" customHeight="1" x14ac:dyDescent="0.3">
      <c r="A5" s="74" t="s">
        <v>247</v>
      </c>
      <c r="C5" s="76" t="s">
        <v>0</v>
      </c>
      <c r="E5" s="69" t="s">
        <v>266</v>
      </c>
      <c r="F5" s="70" t="s">
        <v>16</v>
      </c>
      <c r="G5" s="70" t="s">
        <v>17</v>
      </c>
      <c r="H5" s="70" t="s">
        <v>10</v>
      </c>
      <c r="I5" s="71" t="s">
        <v>268</v>
      </c>
      <c r="J5" s="72" t="s">
        <v>384</v>
      </c>
      <c r="K5" s="72" t="s">
        <v>260</v>
      </c>
      <c r="L5" s="72" t="s">
        <v>280</v>
      </c>
      <c r="M5" s="71" t="s">
        <v>259</v>
      </c>
      <c r="N5" s="73" t="s">
        <v>18</v>
      </c>
      <c r="O5" s="73" t="s">
        <v>282</v>
      </c>
      <c r="P5" s="73" t="s">
        <v>284</v>
      </c>
      <c r="Q5" s="73" t="s">
        <v>283</v>
      </c>
      <c r="R5" s="73" t="s">
        <v>285</v>
      </c>
      <c r="S5" s="71" t="s">
        <v>13</v>
      </c>
      <c r="U5" s="78" t="s">
        <v>266</v>
      </c>
      <c r="W5" s="81" t="s">
        <v>252</v>
      </c>
      <c r="X5" s="82" t="s">
        <v>249</v>
      </c>
      <c r="Y5" s="82" t="s">
        <v>29</v>
      </c>
      <c r="Z5" s="82" t="s">
        <v>30</v>
      </c>
      <c r="AA5" s="83" t="s">
        <v>31</v>
      </c>
      <c r="AB5" s="82" t="s">
        <v>261</v>
      </c>
      <c r="AD5" s="89" t="s">
        <v>0</v>
      </c>
      <c r="AF5" s="88" t="s">
        <v>83</v>
      </c>
      <c r="AG5" s="89" t="s">
        <v>84</v>
      </c>
      <c r="AH5" s="89" t="s">
        <v>2</v>
      </c>
      <c r="AI5" s="90" t="s">
        <v>88</v>
      </c>
      <c r="AJ5" s="91" t="s">
        <v>89</v>
      </c>
      <c r="AK5" s="89" t="s">
        <v>90</v>
      </c>
      <c r="AL5" s="89" t="s">
        <v>240</v>
      </c>
      <c r="AM5" s="89" t="s">
        <v>386</v>
      </c>
    </row>
    <row r="6" spans="1:39" x14ac:dyDescent="0.3">
      <c r="A6" s="77" t="str">
        <f t="array" aca="1" ref="A6" ca="1">YEAR(TODAY())&amp;"-"&amp;TEXT(MAX(RIGHT(tbl견적서발급[문서번호],3)*1)+1,"000")</f>
        <v>2014-006</v>
      </c>
      <c r="C6" s="75" t="s">
        <v>498</v>
      </c>
      <c r="E6" s="43" t="s">
        <v>276</v>
      </c>
      <c r="F6" s="43">
        <v>11</v>
      </c>
      <c r="G6" s="42" t="s">
        <v>486</v>
      </c>
      <c r="H6" s="27" t="s">
        <v>19</v>
      </c>
      <c r="I6" s="27" t="s">
        <v>20</v>
      </c>
      <c r="J6" s="100" t="s">
        <v>278</v>
      </c>
      <c r="K6" s="49">
        <v>41960</v>
      </c>
      <c r="L6" s="49">
        <v>41963</v>
      </c>
      <c r="M6" s="43" t="s">
        <v>21</v>
      </c>
      <c r="N6" s="28">
        <v>1416000</v>
      </c>
      <c r="O6" s="28" t="s">
        <v>286</v>
      </c>
      <c r="P6" s="28" t="s">
        <v>287</v>
      </c>
      <c r="Q6" s="28" t="s">
        <v>289</v>
      </c>
      <c r="R6" t="s">
        <v>291</v>
      </c>
      <c r="S6" s="27"/>
      <c r="U6" s="77" t="s">
        <v>489</v>
      </c>
      <c r="W6" s="43">
        <v>1</v>
      </c>
      <c r="X6" s="27" t="s">
        <v>32</v>
      </c>
      <c r="Y6" s="42" t="s">
        <v>379</v>
      </c>
      <c r="Z6" s="27">
        <v>10</v>
      </c>
      <c r="AA6" s="50">
        <v>18000</v>
      </c>
      <c r="AB6" s="27" t="s">
        <v>264</v>
      </c>
      <c r="AD6" s="75" t="s">
        <v>499</v>
      </c>
      <c r="AF6" s="52">
        <v>1</v>
      </c>
      <c r="AG6" s="53" t="s">
        <v>91</v>
      </c>
      <c r="AH6" s="54" t="s">
        <v>293</v>
      </c>
      <c r="AI6" s="53" t="s">
        <v>95</v>
      </c>
      <c r="AJ6" s="53" t="s">
        <v>96</v>
      </c>
      <c r="AK6" s="53" t="s">
        <v>97</v>
      </c>
      <c r="AL6" s="92" t="s">
        <v>318</v>
      </c>
      <c r="AM6" s="92" t="s">
        <v>346</v>
      </c>
    </row>
    <row r="7" spans="1:39" x14ac:dyDescent="0.3">
      <c r="E7" s="43" t="s">
        <v>277</v>
      </c>
      <c r="F7" s="43">
        <v>17</v>
      </c>
      <c r="G7" s="42" t="s">
        <v>22</v>
      </c>
      <c r="H7" s="27" t="s">
        <v>23</v>
      </c>
      <c r="I7" s="27" t="s">
        <v>24</v>
      </c>
      <c r="J7" s="100" t="s">
        <v>279</v>
      </c>
      <c r="K7" s="49">
        <v>41961</v>
      </c>
      <c r="L7" s="49">
        <v>41968</v>
      </c>
      <c r="M7" s="43" t="s">
        <v>25</v>
      </c>
      <c r="N7" s="28">
        <v>1720000</v>
      </c>
      <c r="O7" s="28" t="s">
        <v>281</v>
      </c>
      <c r="P7" s="28" t="s">
        <v>288</v>
      </c>
      <c r="Q7" s="28" t="s">
        <v>290</v>
      </c>
      <c r="R7" t="s">
        <v>292</v>
      </c>
      <c r="S7" s="27" t="s">
        <v>389</v>
      </c>
      <c r="W7" s="43">
        <v>2</v>
      </c>
      <c r="X7" s="27" t="s">
        <v>33</v>
      </c>
      <c r="Y7" s="42" t="s">
        <v>382</v>
      </c>
      <c r="Z7" s="27">
        <v>20</v>
      </c>
      <c r="AA7" s="50">
        <v>19800</v>
      </c>
      <c r="AB7" s="27"/>
      <c r="AF7" s="52">
        <v>2</v>
      </c>
      <c r="AG7" s="53" t="s">
        <v>98</v>
      </c>
      <c r="AH7" s="54" t="s">
        <v>294</v>
      </c>
      <c r="AI7" s="53" t="s">
        <v>102</v>
      </c>
      <c r="AJ7" s="53" t="s">
        <v>103</v>
      </c>
      <c r="AK7" s="53" t="s">
        <v>104</v>
      </c>
      <c r="AL7" s="92" t="s">
        <v>319</v>
      </c>
      <c r="AM7" s="92" t="s">
        <v>347</v>
      </c>
    </row>
    <row r="8" spans="1:39" x14ac:dyDescent="0.3">
      <c r="E8" s="43" t="s">
        <v>480</v>
      </c>
      <c r="F8" s="43">
        <v>15</v>
      </c>
      <c r="G8" s="42" t="s">
        <v>481</v>
      </c>
      <c r="H8" s="27" t="s">
        <v>482</v>
      </c>
      <c r="I8" s="27" t="s">
        <v>483</v>
      </c>
      <c r="J8" s="100" t="s">
        <v>484</v>
      </c>
      <c r="K8" s="49">
        <v>41961</v>
      </c>
      <c r="L8" s="49">
        <v>41969</v>
      </c>
      <c r="M8" s="43" t="s">
        <v>485</v>
      </c>
      <c r="N8" s="28">
        <v>2765400</v>
      </c>
      <c r="O8" s="28" t="s">
        <v>476</v>
      </c>
      <c r="P8" s="28" t="s">
        <v>478</v>
      </c>
      <c r="Q8" s="28" t="s">
        <v>477</v>
      </c>
      <c r="R8" t="s">
        <v>479</v>
      </c>
      <c r="S8" s="27"/>
      <c r="W8" s="43">
        <v>3</v>
      </c>
      <c r="X8" s="27" t="s">
        <v>34</v>
      </c>
      <c r="Y8" s="42" t="s">
        <v>490</v>
      </c>
      <c r="Z8" s="27">
        <v>10</v>
      </c>
      <c r="AA8" s="50">
        <v>25000</v>
      </c>
      <c r="AB8" s="27"/>
      <c r="AF8" s="52">
        <v>3</v>
      </c>
      <c r="AG8" s="53" t="s">
        <v>105</v>
      </c>
      <c r="AH8" s="54" t="s">
        <v>295</v>
      </c>
      <c r="AI8" s="53" t="s">
        <v>108</v>
      </c>
      <c r="AJ8" s="53" t="s">
        <v>109</v>
      </c>
      <c r="AK8" s="53" t="s">
        <v>110</v>
      </c>
      <c r="AL8" s="92" t="s">
        <v>320</v>
      </c>
      <c r="AM8" s="92" t="s">
        <v>348</v>
      </c>
    </row>
    <row r="9" spans="1:39" x14ac:dyDescent="0.3">
      <c r="E9" s="43" t="s">
        <v>392</v>
      </c>
      <c r="F9" s="43">
        <v>17</v>
      </c>
      <c r="G9" s="42" t="s">
        <v>22</v>
      </c>
      <c r="H9" s="27" t="s">
        <v>23</v>
      </c>
      <c r="I9" s="27" t="s">
        <v>455</v>
      </c>
      <c r="J9" s="100" t="s">
        <v>362</v>
      </c>
      <c r="K9" s="49">
        <v>41771</v>
      </c>
      <c r="L9" s="49">
        <v>41722</v>
      </c>
      <c r="M9" s="43" t="s">
        <v>456</v>
      </c>
      <c r="N9" s="28">
        <v>1233100</v>
      </c>
      <c r="O9" s="28" t="s">
        <v>457</v>
      </c>
      <c r="P9" s="28" t="s">
        <v>458</v>
      </c>
      <c r="Q9" s="28" t="s">
        <v>459</v>
      </c>
      <c r="R9" s="28" t="s">
        <v>460</v>
      </c>
      <c r="S9" s="28"/>
      <c r="W9" s="43">
        <v>4</v>
      </c>
      <c r="X9" s="27" t="s">
        <v>35</v>
      </c>
      <c r="Y9" s="42" t="s">
        <v>383</v>
      </c>
      <c r="Z9" s="27">
        <v>20</v>
      </c>
      <c r="AA9" s="50">
        <v>18000</v>
      </c>
      <c r="AB9" s="27"/>
      <c r="AF9" s="52">
        <v>4</v>
      </c>
      <c r="AG9" s="53" t="s">
        <v>111</v>
      </c>
      <c r="AH9" s="54" t="s">
        <v>296</v>
      </c>
      <c r="AI9" s="53" t="s">
        <v>115</v>
      </c>
      <c r="AJ9" s="53" t="s">
        <v>116</v>
      </c>
      <c r="AK9" s="53" t="s">
        <v>117</v>
      </c>
      <c r="AL9" s="92" t="s">
        <v>321</v>
      </c>
      <c r="AM9" s="92" t="s">
        <v>349</v>
      </c>
    </row>
    <row r="10" spans="1:39" x14ac:dyDescent="0.3">
      <c r="E10" s="43" t="s">
        <v>466</v>
      </c>
      <c r="F10" s="43">
        <v>24</v>
      </c>
      <c r="G10" s="42" t="s">
        <v>467</v>
      </c>
      <c r="H10" s="27" t="s">
        <v>468</v>
      </c>
      <c r="I10" s="27" t="s">
        <v>469</v>
      </c>
      <c r="J10" s="100" t="s">
        <v>470</v>
      </c>
      <c r="K10" s="49">
        <v>41772</v>
      </c>
      <c r="L10" s="49">
        <v>41787</v>
      </c>
      <c r="M10" s="43" t="s">
        <v>471</v>
      </c>
      <c r="N10" s="28">
        <v>2789622</v>
      </c>
      <c r="O10" s="28" t="s">
        <v>472</v>
      </c>
      <c r="P10" s="28" t="s">
        <v>473</v>
      </c>
      <c r="Q10" s="28" t="s">
        <v>474</v>
      </c>
      <c r="R10" s="28" t="s">
        <v>475</v>
      </c>
      <c r="S10" s="28"/>
      <c r="W10" s="43">
        <v>5</v>
      </c>
      <c r="X10" s="27" t="s">
        <v>36</v>
      </c>
      <c r="Y10" s="42" t="s">
        <v>374</v>
      </c>
      <c r="Z10" s="27">
        <v>10</v>
      </c>
      <c r="AA10" s="50">
        <v>23000</v>
      </c>
      <c r="AB10" s="27"/>
      <c r="AF10" s="52">
        <v>5</v>
      </c>
      <c r="AG10" s="53" t="s">
        <v>118</v>
      </c>
      <c r="AH10" s="54" t="s">
        <v>297</v>
      </c>
      <c r="AI10" s="53" t="s">
        <v>122</v>
      </c>
      <c r="AJ10" s="53" t="s">
        <v>123</v>
      </c>
      <c r="AK10" s="53" t="s">
        <v>124</v>
      </c>
      <c r="AL10" s="92" t="s">
        <v>345</v>
      </c>
      <c r="AM10" s="92" t="s">
        <v>350</v>
      </c>
    </row>
    <row r="11" spans="1:39" x14ac:dyDescent="0.3">
      <c r="W11" s="43"/>
      <c r="X11" s="27"/>
      <c r="Y11" s="42"/>
      <c r="Z11" s="27"/>
      <c r="AA11" s="50"/>
      <c r="AB11" s="27"/>
      <c r="AF11" s="52">
        <v>6</v>
      </c>
      <c r="AG11" s="53" t="s">
        <v>339</v>
      </c>
      <c r="AH11" s="54" t="s">
        <v>298</v>
      </c>
      <c r="AI11" s="53" t="s">
        <v>102</v>
      </c>
      <c r="AJ11" s="53" t="s">
        <v>128</v>
      </c>
      <c r="AK11" s="53" t="s">
        <v>337</v>
      </c>
      <c r="AL11" s="92" t="s">
        <v>322</v>
      </c>
      <c r="AM11" s="92" t="s">
        <v>351</v>
      </c>
    </row>
    <row r="12" spans="1:39" x14ac:dyDescent="0.3">
      <c r="W12" s="43"/>
      <c r="X12" s="27"/>
      <c r="AF12" s="52">
        <v>7</v>
      </c>
      <c r="AG12" s="53" t="s">
        <v>129</v>
      </c>
      <c r="AH12" s="54" t="s">
        <v>299</v>
      </c>
      <c r="AI12" s="53" t="s">
        <v>132</v>
      </c>
      <c r="AJ12" s="53" t="s">
        <v>133</v>
      </c>
      <c r="AK12" s="53" t="s">
        <v>134</v>
      </c>
      <c r="AL12" s="92" t="s">
        <v>323</v>
      </c>
      <c r="AM12" s="92" t="s">
        <v>352</v>
      </c>
    </row>
    <row r="13" spans="1:39" x14ac:dyDescent="0.3">
      <c r="AF13" s="52">
        <v>8</v>
      </c>
      <c r="AG13" s="53" t="s">
        <v>135</v>
      </c>
      <c r="AH13" s="54" t="s">
        <v>300</v>
      </c>
      <c r="AI13" s="53" t="s">
        <v>102</v>
      </c>
      <c r="AJ13" s="53" t="s">
        <v>139</v>
      </c>
      <c r="AK13" s="53" t="s">
        <v>140</v>
      </c>
      <c r="AL13" s="92" t="s">
        <v>324</v>
      </c>
      <c r="AM13" s="92" t="s">
        <v>353</v>
      </c>
    </row>
    <row r="14" spans="1:39" x14ac:dyDescent="0.3">
      <c r="AF14" s="52">
        <v>9</v>
      </c>
      <c r="AG14" s="53" t="s">
        <v>141</v>
      </c>
      <c r="AH14" s="54" t="s">
        <v>301</v>
      </c>
      <c r="AI14" s="53" t="s">
        <v>144</v>
      </c>
      <c r="AJ14" s="53" t="s">
        <v>145</v>
      </c>
      <c r="AK14" s="53" t="s">
        <v>146</v>
      </c>
      <c r="AL14" s="92" t="s">
        <v>325</v>
      </c>
      <c r="AM14" s="92" t="s">
        <v>354</v>
      </c>
    </row>
    <row r="15" spans="1:39" x14ac:dyDescent="0.3">
      <c r="AF15" s="52">
        <v>10</v>
      </c>
      <c r="AG15" s="53" t="s">
        <v>147</v>
      </c>
      <c r="AH15" s="54" t="s">
        <v>302</v>
      </c>
      <c r="AI15" s="53" t="s">
        <v>150</v>
      </c>
      <c r="AJ15" s="53" t="s">
        <v>151</v>
      </c>
      <c r="AK15" s="53" t="s">
        <v>152</v>
      </c>
      <c r="AL15" s="92" t="s">
        <v>326</v>
      </c>
      <c r="AM15" s="92" t="s">
        <v>355</v>
      </c>
    </row>
    <row r="16" spans="1:39" x14ac:dyDescent="0.3">
      <c r="AF16" s="52">
        <v>11</v>
      </c>
      <c r="AG16" s="53" t="s">
        <v>153</v>
      </c>
      <c r="AH16" s="54" t="s">
        <v>303</v>
      </c>
      <c r="AI16" s="53" t="s">
        <v>157</v>
      </c>
      <c r="AJ16" s="53" t="s">
        <v>158</v>
      </c>
      <c r="AK16" s="53" t="s">
        <v>159</v>
      </c>
      <c r="AL16" s="92" t="s">
        <v>342</v>
      </c>
      <c r="AM16" s="92" t="s">
        <v>356</v>
      </c>
    </row>
    <row r="17" spans="32:39" x14ac:dyDescent="0.3">
      <c r="AF17" s="52">
        <v>12</v>
      </c>
      <c r="AG17" s="53" t="s">
        <v>160</v>
      </c>
      <c r="AH17" s="54" t="s">
        <v>304</v>
      </c>
      <c r="AI17" s="53" t="s">
        <v>102</v>
      </c>
      <c r="AJ17" s="53" t="s">
        <v>164</v>
      </c>
      <c r="AK17" s="53" t="s">
        <v>165</v>
      </c>
      <c r="AL17" s="92" t="s">
        <v>327</v>
      </c>
      <c r="AM17" s="92" t="s">
        <v>357</v>
      </c>
    </row>
    <row r="18" spans="32:39" x14ac:dyDescent="0.3">
      <c r="AF18" s="52">
        <v>13</v>
      </c>
      <c r="AG18" s="53" t="s">
        <v>166</v>
      </c>
      <c r="AH18" s="54" t="s">
        <v>305</v>
      </c>
      <c r="AI18" s="53" t="s">
        <v>102</v>
      </c>
      <c r="AJ18" s="53" t="s">
        <v>170</v>
      </c>
      <c r="AK18" s="53" t="s">
        <v>171</v>
      </c>
      <c r="AL18" s="92" t="s">
        <v>328</v>
      </c>
      <c r="AM18" s="92" t="s">
        <v>358</v>
      </c>
    </row>
    <row r="19" spans="32:39" x14ac:dyDescent="0.3">
      <c r="AF19" s="52">
        <v>14</v>
      </c>
      <c r="AG19" s="53" t="s">
        <v>172</v>
      </c>
      <c r="AH19" s="55" t="s">
        <v>306</v>
      </c>
      <c r="AI19" s="53" t="s">
        <v>122</v>
      </c>
      <c r="AJ19" s="53" t="s">
        <v>176</v>
      </c>
      <c r="AK19" s="53" t="s">
        <v>177</v>
      </c>
      <c r="AL19" s="92" t="s">
        <v>329</v>
      </c>
      <c r="AM19" s="92" t="s">
        <v>359</v>
      </c>
    </row>
    <row r="20" spans="32:39" x14ac:dyDescent="0.3">
      <c r="AF20" s="52">
        <v>15</v>
      </c>
      <c r="AG20" s="53" t="s">
        <v>178</v>
      </c>
      <c r="AH20" s="55" t="s">
        <v>307</v>
      </c>
      <c r="AI20" s="53" t="s">
        <v>182</v>
      </c>
      <c r="AJ20" s="53" t="s">
        <v>183</v>
      </c>
      <c r="AK20" s="53" t="s">
        <v>184</v>
      </c>
      <c r="AL20" s="92" t="s">
        <v>330</v>
      </c>
      <c r="AM20" s="92" t="s">
        <v>360</v>
      </c>
    </row>
    <row r="21" spans="32:39" x14ac:dyDescent="0.3">
      <c r="AF21" s="52">
        <v>16</v>
      </c>
      <c r="AG21" s="53" t="s">
        <v>185</v>
      </c>
      <c r="AH21" s="55" t="s">
        <v>308</v>
      </c>
      <c r="AI21" s="53" t="s">
        <v>188</v>
      </c>
      <c r="AJ21" s="53" t="s">
        <v>189</v>
      </c>
      <c r="AK21" s="53" t="s">
        <v>190</v>
      </c>
      <c r="AL21" s="92" t="s">
        <v>331</v>
      </c>
      <c r="AM21" s="92" t="s">
        <v>361</v>
      </c>
    </row>
    <row r="22" spans="32:39" x14ac:dyDescent="0.3">
      <c r="AF22" s="52">
        <v>17</v>
      </c>
      <c r="AG22" s="53" t="s">
        <v>191</v>
      </c>
      <c r="AH22" s="55" t="s">
        <v>309</v>
      </c>
      <c r="AI22" s="53" t="s">
        <v>195</v>
      </c>
      <c r="AJ22" s="53" t="s">
        <v>151</v>
      </c>
      <c r="AK22" s="53" t="s">
        <v>196</v>
      </c>
      <c r="AL22" s="92" t="s">
        <v>343</v>
      </c>
      <c r="AM22" s="92" t="s">
        <v>362</v>
      </c>
    </row>
    <row r="23" spans="32:39" x14ac:dyDescent="0.3">
      <c r="AF23" s="52">
        <v>18</v>
      </c>
      <c r="AG23" s="53" t="s">
        <v>197</v>
      </c>
      <c r="AH23" s="55" t="s">
        <v>310</v>
      </c>
      <c r="AI23" s="53" t="s">
        <v>201</v>
      </c>
      <c r="AJ23" s="53" t="s">
        <v>202</v>
      </c>
      <c r="AK23" s="53" t="s">
        <v>203</v>
      </c>
      <c r="AL23" s="92" t="s">
        <v>332</v>
      </c>
      <c r="AM23" s="92" t="s">
        <v>363</v>
      </c>
    </row>
    <row r="24" spans="32:39" x14ac:dyDescent="0.3">
      <c r="AF24" s="52">
        <v>19</v>
      </c>
      <c r="AG24" s="53" t="s">
        <v>204</v>
      </c>
      <c r="AH24" s="55" t="s">
        <v>311</v>
      </c>
      <c r="AI24" s="53" t="s">
        <v>207</v>
      </c>
      <c r="AJ24" s="53" t="s">
        <v>208</v>
      </c>
      <c r="AK24" s="53" t="s">
        <v>209</v>
      </c>
      <c r="AL24" s="92" t="s">
        <v>333</v>
      </c>
      <c r="AM24" s="92" t="s">
        <v>364</v>
      </c>
    </row>
    <row r="25" spans="32:39" x14ac:dyDescent="0.3">
      <c r="AF25" s="52">
        <v>20</v>
      </c>
      <c r="AG25" s="53" t="s">
        <v>210</v>
      </c>
      <c r="AH25" s="55" t="s">
        <v>312</v>
      </c>
      <c r="AI25" s="53" t="s">
        <v>214</v>
      </c>
      <c r="AJ25" s="53" t="s">
        <v>215</v>
      </c>
      <c r="AK25" s="53" t="s">
        <v>216</v>
      </c>
      <c r="AL25" s="92" t="s">
        <v>334</v>
      </c>
      <c r="AM25" s="92" t="s">
        <v>365</v>
      </c>
    </row>
    <row r="26" spans="32:39" x14ac:dyDescent="0.3">
      <c r="AF26" s="52">
        <v>21</v>
      </c>
      <c r="AG26" s="53" t="s">
        <v>217</v>
      </c>
      <c r="AH26" s="55" t="s">
        <v>313</v>
      </c>
      <c r="AI26" s="53" t="s">
        <v>122</v>
      </c>
      <c r="AJ26" s="53" t="s">
        <v>221</v>
      </c>
      <c r="AK26" s="53" t="s">
        <v>338</v>
      </c>
      <c r="AL26" s="92" t="s">
        <v>335</v>
      </c>
      <c r="AM26" s="92" t="s">
        <v>366</v>
      </c>
    </row>
    <row r="27" spans="32:39" x14ac:dyDescent="0.3">
      <c r="AF27" s="52">
        <v>22</v>
      </c>
      <c r="AG27" s="53" t="s">
        <v>222</v>
      </c>
      <c r="AH27" s="55" t="s">
        <v>314</v>
      </c>
      <c r="AI27" s="53" t="s">
        <v>122</v>
      </c>
      <c r="AJ27" s="53" t="s">
        <v>226</v>
      </c>
      <c r="AK27" s="53" t="s">
        <v>227</v>
      </c>
      <c r="AL27" s="92" t="s">
        <v>336</v>
      </c>
      <c r="AM27" s="92" t="s">
        <v>367</v>
      </c>
    </row>
    <row r="28" spans="32:39" x14ac:dyDescent="0.3">
      <c r="AF28" s="52">
        <v>23</v>
      </c>
      <c r="AG28" s="53" t="s">
        <v>443</v>
      </c>
      <c r="AH28" s="55" t="s">
        <v>315</v>
      </c>
      <c r="AI28" s="53"/>
      <c r="AJ28" s="53"/>
      <c r="AK28" s="53" t="s">
        <v>230</v>
      </c>
      <c r="AL28" s="92" t="s">
        <v>344</v>
      </c>
      <c r="AM28" s="92" t="s">
        <v>368</v>
      </c>
    </row>
    <row r="29" spans="32:39" x14ac:dyDescent="0.3">
      <c r="AF29" s="52">
        <v>24</v>
      </c>
      <c r="AG29" s="53" t="s">
        <v>441</v>
      </c>
      <c r="AH29" s="55" t="s">
        <v>316</v>
      </c>
      <c r="AI29" s="53" t="s">
        <v>102</v>
      </c>
      <c r="AJ29" s="53" t="s">
        <v>233</v>
      </c>
      <c r="AK29" s="53" t="s">
        <v>92</v>
      </c>
      <c r="AL29" s="92" t="s">
        <v>340</v>
      </c>
      <c r="AM29" s="92" t="s">
        <v>369</v>
      </c>
    </row>
    <row r="30" spans="32:39" x14ac:dyDescent="0.3">
      <c r="AF30" s="52">
        <v>25</v>
      </c>
      <c r="AG30" s="53" t="s">
        <v>235</v>
      </c>
      <c r="AH30" s="55" t="s">
        <v>317</v>
      </c>
      <c r="AI30" s="53" t="s">
        <v>102</v>
      </c>
      <c r="AJ30" s="53" t="s">
        <v>238</v>
      </c>
      <c r="AK30" s="53" t="s">
        <v>254</v>
      </c>
      <c r="AL30" s="92" t="s">
        <v>341</v>
      </c>
      <c r="AM30" s="92" t="s">
        <v>370</v>
      </c>
    </row>
  </sheetData>
  <phoneticPr fontId="1" type="noConversion"/>
  <dataValidations count="1">
    <dataValidation imeMode="halfHangul" allowBlank="1" showInputMessage="1" showErrorMessage="1" sqref="U5 W5:Y5"/>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26</vt:i4>
      </vt:variant>
    </vt:vector>
  </HeadingPairs>
  <TitlesOfParts>
    <vt:vector size="33" baseType="lpstr">
      <vt:lpstr>사용도움말</vt:lpstr>
      <vt:lpstr>Main</vt:lpstr>
      <vt:lpstr>견적서발급</vt:lpstr>
      <vt:lpstr>견적서세부내용</vt:lpstr>
      <vt:lpstr>제품목록</vt:lpstr>
      <vt:lpstr>거래처목록</vt:lpstr>
      <vt:lpstr>@작업시트</vt:lpstr>
      <vt:lpstr>'@작업시트'!Criteria</vt:lpstr>
      <vt:lpstr>'@작업시트'!Extract</vt:lpstr>
      <vt:lpstr>nmD_EMail</vt:lpstr>
      <vt:lpstr>nmD_거래처명</vt:lpstr>
      <vt:lpstr>nmD_거래처코드</vt:lpstr>
      <vt:lpstr>nmD_견적세부시작셀</vt:lpstr>
      <vt:lpstr>nmD_견적일자</vt:lpstr>
      <vt:lpstr>nmD_공급가액</vt:lpstr>
      <vt:lpstr>nmD_납품예정일</vt:lpstr>
      <vt:lpstr>nmD_납품장소</vt:lpstr>
      <vt:lpstr>nmD_담당자</vt:lpstr>
      <vt:lpstr>nmD_문서번호</vt:lpstr>
      <vt:lpstr>nmD_본사Email</vt:lpstr>
      <vt:lpstr>nmD_본사담당자</vt:lpstr>
      <vt:lpstr>nmD_본사연락처1</vt:lpstr>
      <vt:lpstr>nmD_본사연락처2</vt:lpstr>
      <vt:lpstr>nmD_비고</vt:lpstr>
      <vt:lpstr>nmD_연락처</vt:lpstr>
      <vt:lpstr>nmMax코드</vt:lpstr>
      <vt:lpstr>nm거래처_조건</vt:lpstr>
      <vt:lpstr>nm거래처_출력</vt:lpstr>
      <vt:lpstr>nm견적_조건</vt:lpstr>
      <vt:lpstr>nm견적_출력</vt:lpstr>
      <vt:lpstr>nm견적세부_조건</vt:lpstr>
      <vt:lpstr>nm견적세부_출력</vt:lpstr>
      <vt:lpstr>Main!Print_Area</vt:lpstr>
    </vt:vector>
  </TitlesOfParts>
  <Manager>이동숙</Manager>
  <Company>도서출판 길벗</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길벗 엑셀 2013 매크로와 VBA</dc:title>
  <dc:subject>길벗 엑셀 2013 매크로와 VBA</dc:subject>
  <dc:creator>DSLee</dc:creator>
  <cp:keywords>길벗 엑셀 2013 매크로와 VBA</cp:keywords>
  <cp:lastModifiedBy>DSLee</cp:lastModifiedBy>
  <cp:lastPrinted>2014-05-17T10:55:21Z</cp:lastPrinted>
  <dcterms:created xsi:type="dcterms:W3CDTF">2013-11-01T06:50:11Z</dcterms:created>
  <dcterms:modified xsi:type="dcterms:W3CDTF">2014-05-17T10:55:36Z</dcterms:modified>
  <cp:category>엑셀 매크로</cp:category>
</cp:coreProperties>
</file>