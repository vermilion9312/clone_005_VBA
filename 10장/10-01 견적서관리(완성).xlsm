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F:\01_매크로2013\부록CD_2차\예제파일\10장\"/>
    </mc:Choice>
  </mc:AlternateContent>
  <bookViews>
    <workbookView xWindow="0" yWindow="0" windowWidth="25200" windowHeight="10890" tabRatio="821"/>
  </bookViews>
  <sheets>
    <sheet name="사용도움말" sheetId="10" r:id="rId1"/>
    <sheet name="Main" sheetId="9" r:id="rId2"/>
    <sheet name="견적서발급" sheetId="4" r:id="rId3"/>
    <sheet name="견적서세부내용" sheetId="5" r:id="rId4"/>
    <sheet name="제품목록" sheetId="6" r:id="rId5"/>
    <sheet name="거래처목록" sheetId="7" r:id="rId6"/>
    <sheet name="@작업시트" sheetId="1" r:id="rId7"/>
  </sheets>
  <definedNames>
    <definedName name="_xlnm._FilterDatabase" localSheetId="5" hidden="1">거래처목록!$B$5:$M$31</definedName>
    <definedName name="_xlnm._FilterDatabase" localSheetId="2" hidden="1">견적서발급!$B$5:$P$11</definedName>
    <definedName name="_xlnm._FilterDatabase" localSheetId="3" hidden="1">견적서세부내용!$B$5:$H$32</definedName>
    <definedName name="_xlnm.Criteria" localSheetId="6">'@작업시트'!$AD$5:$AD$6</definedName>
    <definedName name="_xlnm.Extract" localSheetId="6">'@작업시트'!$AF$5:$AM$5</definedName>
    <definedName name="nmD_EMail">Main!$E$9</definedName>
    <definedName name="nmD_거래처명">Main!$C$5</definedName>
    <definedName name="nmD_거래처코드">Main!$B$5</definedName>
    <definedName name="nmD_견적세부시작셀">Main!$C$17</definedName>
    <definedName name="nmD_견적일자">Main!$E$12</definedName>
    <definedName name="nmD_공급가액">Main!$I$16</definedName>
    <definedName name="nmD_납품예정일">Main!$E$13</definedName>
    <definedName name="nmD_납품장소">Main!$E$14</definedName>
    <definedName name="nmD_담당자">Main!$E$7</definedName>
    <definedName name="nmD_문서번호">Main!$K$2</definedName>
    <definedName name="nmD_본사Email">Main!$I$14</definedName>
    <definedName name="nmD_본사담당자">Main!$I$11</definedName>
    <definedName name="nmD_본사연락처1">Main!$I$12</definedName>
    <definedName name="nmD_본사연락처2">Main!$I$13</definedName>
    <definedName name="nmD_비고">Main!$C$35</definedName>
    <definedName name="nmD_연락처">Main!$E$8</definedName>
    <definedName name="nmMax코드">'@작업시트'!$A$6</definedName>
    <definedName name="nm거래처_조건">'@작업시트'!$AD$5:$AD$6</definedName>
    <definedName name="nm거래처_출력">'@작업시트'!$AF$5:$AM$5</definedName>
    <definedName name="nm견적_조건">'@작업시트'!$C$5:$C$6</definedName>
    <definedName name="nm견적_출력">'@작업시트'!$E$5:$S$5</definedName>
    <definedName name="nm견적세부_조건">'@작업시트'!$U$5:$U$6</definedName>
    <definedName name="nm견적세부_출력">'@작업시트'!$W$5:$AB$5</definedName>
    <definedName name="_xlnm.Print_Area" localSheetId="1">Main!$C$2:$K$35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2" i="5" l="1"/>
  <c r="G32" i="5"/>
  <c r="E31" i="5"/>
  <c r="G31" i="5"/>
  <c r="I31" i="9" l="1"/>
  <c r="H31" i="9"/>
  <c r="G31" i="9"/>
  <c r="D31" i="9"/>
  <c r="C31" i="9" s="1"/>
  <c r="I30" i="9"/>
  <c r="H30" i="9"/>
  <c r="G30" i="9"/>
  <c r="D30" i="9"/>
  <c r="C30" i="9" s="1"/>
  <c r="I29" i="9"/>
  <c r="H29" i="9"/>
  <c r="G29" i="9"/>
  <c r="D29" i="9"/>
  <c r="C29" i="9"/>
  <c r="I28" i="9"/>
  <c r="H28" i="9"/>
  <c r="G28" i="9"/>
  <c r="D28" i="9"/>
  <c r="C28" i="9" s="1"/>
  <c r="I27" i="9"/>
  <c r="H27" i="9"/>
  <c r="G27" i="9"/>
  <c r="D27" i="9"/>
  <c r="C27" i="9" s="1"/>
  <c r="I26" i="9"/>
  <c r="H26" i="9"/>
  <c r="G26" i="9"/>
  <c r="D26" i="9"/>
  <c r="C26" i="9"/>
  <c r="I25" i="9"/>
  <c r="H25" i="9"/>
  <c r="G25" i="9"/>
  <c r="D25" i="9"/>
  <c r="C25" i="9" s="1"/>
  <c r="E30" i="5"/>
  <c r="G30" i="5"/>
  <c r="E29" i="5"/>
  <c r="G29" i="5"/>
  <c r="E28" i="5"/>
  <c r="G28" i="5"/>
  <c r="E27" i="5"/>
  <c r="G27" i="5"/>
  <c r="E26" i="5"/>
  <c r="G26" i="5"/>
  <c r="E25" i="5"/>
  <c r="G25" i="5"/>
  <c r="E24" i="5"/>
  <c r="G24" i="5"/>
  <c r="E23" i="5"/>
  <c r="G23" i="5"/>
  <c r="E22" i="5"/>
  <c r="G22" i="5"/>
  <c r="E21" i="5"/>
  <c r="G21" i="5"/>
  <c r="E20" i="5"/>
  <c r="G20" i="5"/>
  <c r="E19" i="5"/>
  <c r="G19" i="5"/>
  <c r="E18" i="5"/>
  <c r="G18" i="5"/>
  <c r="E17" i="5"/>
  <c r="G17" i="5"/>
  <c r="E16" i="5"/>
  <c r="G16" i="5"/>
  <c r="E15" i="5"/>
  <c r="G15" i="5"/>
  <c r="C1" i="9"/>
  <c r="G23" i="9"/>
  <c r="H23" i="9" s="1"/>
  <c r="I23" i="9" s="1"/>
  <c r="D23" i="9"/>
  <c r="G22" i="9"/>
  <c r="H22" i="9" s="1"/>
  <c r="I22" i="9" s="1"/>
  <c r="D22" i="9"/>
  <c r="G21" i="9"/>
  <c r="H21" i="9" s="1"/>
  <c r="I21" i="9" s="1"/>
  <c r="D21" i="9"/>
  <c r="G20" i="9"/>
  <c r="H20" i="9" s="1"/>
  <c r="I20" i="9" s="1"/>
  <c r="D20" i="9"/>
  <c r="G19" i="9"/>
  <c r="H19" i="9" s="1"/>
  <c r="I19" i="9" s="1"/>
  <c r="D19" i="9"/>
  <c r="G24" i="9"/>
  <c r="H24" i="9" s="1"/>
  <c r="I24" i="9" s="1"/>
  <c r="D24" i="9"/>
  <c r="A6" i="1" l="1" a="1"/>
  <c r="A6" i="1" s="1"/>
  <c r="E6" i="5"/>
  <c r="G6" i="5"/>
  <c r="E7" i="5"/>
  <c r="G7" i="5"/>
  <c r="E8" i="5"/>
  <c r="G8" i="5"/>
  <c r="E9" i="5"/>
  <c r="G9" i="5"/>
  <c r="E10" i="5"/>
  <c r="G10" i="5"/>
  <c r="I32" i="9" l="1"/>
  <c r="D18" i="9"/>
  <c r="C23" i="9" s="1"/>
  <c r="D32" i="9"/>
  <c r="C32" i="9" s="1"/>
  <c r="H32" i="9"/>
  <c r="G32" i="9"/>
  <c r="C19" i="9" l="1"/>
  <c r="C21" i="9"/>
  <c r="C22" i="9"/>
  <c r="C20" i="9"/>
  <c r="C24" i="9"/>
  <c r="G18" i="9"/>
  <c r="H18" i="9" s="1"/>
  <c r="I18" i="9" s="1"/>
  <c r="C18" i="9"/>
  <c r="G11" i="5"/>
  <c r="G12" i="5"/>
  <c r="G13" i="5"/>
  <c r="G14" i="5"/>
  <c r="E11" i="5"/>
  <c r="E12" i="5"/>
  <c r="E13" i="5"/>
  <c r="E14" i="5"/>
  <c r="D7" i="4"/>
  <c r="D6" i="4"/>
  <c r="I16" i="9" l="1"/>
  <c r="E16" i="9" s="1"/>
</calcChain>
</file>

<file path=xl/comments1.xml><?xml version="1.0" encoding="utf-8"?>
<comments xmlns="http://schemas.openxmlformats.org/spreadsheetml/2006/main">
  <authors>
    <author>DSLee</author>
  </authors>
  <commentList>
    <comment ref="A6" authorId="0" shapeId="0">
      <text>
        <r>
          <rPr>
            <b/>
            <sz val="9"/>
            <color indexed="81"/>
            <rFont val="Tahoma"/>
            <family val="2"/>
          </rPr>
          <t>DSLee:</t>
        </r>
        <r>
          <rPr>
            <sz val="9"/>
            <color indexed="81"/>
            <rFont val="Tahoma"/>
            <family val="2"/>
          </rPr>
          <t xml:space="preserve">
</t>
        </r>
        <r>
          <rPr>
            <sz val="9"/>
            <color indexed="81"/>
            <rFont val="돋움"/>
            <family val="3"/>
            <charset val="129"/>
          </rPr>
          <t>배열</t>
        </r>
        <r>
          <rPr>
            <sz val="9"/>
            <color indexed="81"/>
            <rFont val="Tahoma"/>
            <family val="2"/>
          </rPr>
          <t xml:space="preserve"> </t>
        </r>
        <r>
          <rPr>
            <sz val="9"/>
            <color indexed="81"/>
            <rFont val="돋움"/>
            <family val="3"/>
            <charset val="129"/>
          </rPr>
          <t>수식으로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하기때문에</t>
        </r>
        <r>
          <rPr>
            <sz val="9"/>
            <color indexed="81"/>
            <rFont val="Tahoma"/>
            <family val="2"/>
          </rPr>
          <t xml:space="preserve"> </t>
        </r>
        <r>
          <rPr>
            <sz val="9"/>
            <color indexed="81"/>
            <rFont val="돋움"/>
            <family val="3"/>
            <charset val="129"/>
          </rPr>
          <t>만드시</t>
        </r>
        <r>
          <rPr>
            <sz val="9"/>
            <color indexed="81"/>
            <rFont val="Tahoma"/>
            <family val="2"/>
          </rPr>
          <t xml:space="preserve"> </t>
        </r>
        <r>
          <rPr>
            <b/>
            <sz val="10"/>
            <color indexed="10"/>
            <rFont val="Tahoma"/>
            <family val="2"/>
          </rPr>
          <t xml:space="preserve">Ctrl+Shift+Enter </t>
        </r>
        <r>
          <rPr>
            <sz val="9"/>
            <color indexed="81"/>
            <rFont val="돋움"/>
            <family val="3"/>
            <charset val="129"/>
          </rPr>
          <t>키로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함</t>
        </r>
      </text>
    </comment>
  </commentList>
</comments>
</file>

<file path=xl/sharedStrings.xml><?xml version="1.0" encoding="utf-8"?>
<sst xmlns="http://schemas.openxmlformats.org/spreadsheetml/2006/main" count="921" uniqueCount="549">
  <si>
    <t>거래처명</t>
    <phoneticPr fontId="4" type="noConversion"/>
  </si>
  <si>
    <t>납품 장소</t>
    <phoneticPr fontId="4" type="noConversion"/>
  </si>
  <si>
    <t>사업자번호</t>
    <phoneticPr fontId="4" type="noConversion"/>
  </si>
  <si>
    <t>견적 일자</t>
    <phoneticPr fontId="4" type="noConversion"/>
  </si>
  <si>
    <t>공급가액</t>
    <phoneticPr fontId="4" type="noConversion"/>
  </si>
  <si>
    <t>세 액</t>
    <phoneticPr fontId="4" type="noConversion"/>
  </si>
  <si>
    <t>견   적   서</t>
    <phoneticPr fontId="4" type="noConversion"/>
  </si>
  <si>
    <t>귀하</t>
    <phoneticPr fontId="4" type="noConversion"/>
  </si>
  <si>
    <t>아래와 같이 견적합니다.</t>
    <phoneticPr fontId="4" type="noConversion"/>
  </si>
  <si>
    <t>납품 예정일</t>
    <phoneticPr fontId="4" type="noConversion"/>
  </si>
  <si>
    <t>담당자</t>
    <phoneticPr fontId="4" type="noConversion"/>
  </si>
  <si>
    <t>수  량</t>
    <phoneticPr fontId="4" type="noConversion"/>
  </si>
  <si>
    <t>단 가</t>
    <phoneticPr fontId="4" type="noConversion"/>
  </si>
  <si>
    <t>비고</t>
    <phoneticPr fontId="4" type="noConversion"/>
  </si>
  <si>
    <t>견적 발행 내역</t>
    <phoneticPr fontId="4" type="noConversion"/>
  </si>
  <si>
    <t>'견적 내용 입력' 시트에서 작성한 견적서 발급 대장입니다.</t>
    <phoneticPr fontId="4" type="noConversion"/>
  </si>
  <si>
    <t>거래처코드</t>
  </si>
  <si>
    <t>거래처명</t>
    <phoneticPr fontId="4" type="noConversion"/>
  </si>
  <si>
    <t>공급가액</t>
    <phoneticPr fontId="4" type="noConversion"/>
  </si>
  <si>
    <t>유병찬</t>
    <phoneticPr fontId="1" type="noConversion"/>
  </si>
  <si>
    <t>620-1485</t>
    <phoneticPr fontId="1" type="noConversion"/>
  </si>
  <si>
    <t>전산실</t>
    <phoneticPr fontId="1" type="noConversion"/>
  </si>
  <si>
    <t>현대약품공업㈜</t>
  </si>
  <si>
    <t>윤영우</t>
  </si>
  <si>
    <t>822-8630</t>
  </si>
  <si>
    <t>연수원</t>
  </si>
  <si>
    <t>견적서 세부 항목</t>
    <phoneticPr fontId="4" type="noConversion"/>
  </si>
  <si>
    <t>견적 내용 입력' 시트에서 작성한 견적서 세부 내용</t>
    <phoneticPr fontId="4" type="noConversion"/>
  </si>
  <si>
    <t>번호</t>
    <phoneticPr fontId="4" type="noConversion"/>
  </si>
  <si>
    <t>품목명</t>
    <phoneticPr fontId="4" type="noConversion"/>
  </si>
  <si>
    <t>수량</t>
    <phoneticPr fontId="4" type="noConversion"/>
  </si>
  <si>
    <t>단가</t>
    <phoneticPr fontId="4" type="noConversion"/>
  </si>
  <si>
    <t>BAS-01</t>
  </si>
  <si>
    <t>PPT-02</t>
  </si>
  <si>
    <t>PTS-01</t>
  </si>
  <si>
    <t>COM-01</t>
  </si>
  <si>
    <t>MDB-01</t>
  </si>
  <si>
    <t>XLS-03</t>
  </si>
  <si>
    <t>XLS-01</t>
  </si>
  <si>
    <t>XLS-02</t>
  </si>
  <si>
    <t>XLS-06</t>
  </si>
  <si>
    <t>▣ 자료 종류 :</t>
    <phoneticPr fontId="4" type="noConversion"/>
  </si>
  <si>
    <t>판매 품목</t>
    <phoneticPr fontId="4" type="noConversion"/>
  </si>
  <si>
    <t>견적서 등록시 상품의 종류와 가격등을 표시함</t>
    <phoneticPr fontId="4" type="noConversion"/>
  </si>
  <si>
    <t>번호</t>
    <phoneticPr fontId="4" type="noConversion"/>
  </si>
  <si>
    <t>품목코드</t>
    <phoneticPr fontId="4" type="noConversion"/>
  </si>
  <si>
    <t>품목</t>
    <phoneticPr fontId="4" type="noConversion"/>
  </si>
  <si>
    <t>규격</t>
    <phoneticPr fontId="4" type="noConversion"/>
  </si>
  <si>
    <t>저자</t>
    <phoneticPr fontId="4" type="noConversion"/>
  </si>
  <si>
    <t>단가</t>
    <phoneticPr fontId="4" type="noConversion"/>
  </si>
  <si>
    <t>비고</t>
    <phoneticPr fontId="4" type="noConversion"/>
  </si>
  <si>
    <t>A4</t>
    <phoneticPr fontId="4" type="noConversion"/>
  </si>
  <si>
    <t>김종학</t>
    <phoneticPr fontId="4" type="noConversion"/>
  </si>
  <si>
    <t>PPT-01</t>
    <phoneticPr fontId="4" type="noConversion"/>
  </si>
  <si>
    <t>이승일/윤주희</t>
    <phoneticPr fontId="4" type="noConversion"/>
  </si>
  <si>
    <t>MDB-01</t>
    <phoneticPr fontId="4" type="noConversion"/>
  </si>
  <si>
    <t>이종석</t>
    <phoneticPr fontId="4" type="noConversion"/>
  </si>
  <si>
    <t>B5</t>
    <phoneticPr fontId="4" type="noConversion"/>
  </si>
  <si>
    <t>이동숙</t>
    <phoneticPr fontId="4" type="noConversion"/>
  </si>
  <si>
    <t>XLS-07</t>
  </si>
  <si>
    <t>XLS 수식&amp;함수 활용 185</t>
  </si>
  <si>
    <t>DOC-07</t>
  </si>
  <si>
    <r>
      <t>A5</t>
    </r>
    <r>
      <rPr>
        <sz val="9"/>
        <rFont val="굴림"/>
        <family val="3"/>
        <charset val="129"/>
      </rPr>
      <t/>
    </r>
  </si>
  <si>
    <t>신유경</t>
    <phoneticPr fontId="4" type="noConversion"/>
  </si>
  <si>
    <t>XLS-04</t>
  </si>
  <si>
    <t>김종학/공병훈</t>
    <phoneticPr fontId="4" type="noConversion"/>
  </si>
  <si>
    <t>BAS-01</t>
    <phoneticPr fontId="16" type="noConversion"/>
  </si>
  <si>
    <t>XLS-05</t>
  </si>
  <si>
    <t>A4</t>
    <phoneticPr fontId="1" type="noConversion"/>
  </si>
  <si>
    <t>박미정</t>
    <phoneticPr fontId="1" type="noConversion"/>
  </si>
  <si>
    <t>WA4</t>
    <phoneticPr fontId="1" type="noConversion"/>
  </si>
  <si>
    <t>김종학</t>
    <phoneticPr fontId="1" type="noConversion"/>
  </si>
  <si>
    <t>PPT-02</t>
    <phoneticPr fontId="1" type="noConversion"/>
  </si>
  <si>
    <t>이승일/이종욱</t>
    <phoneticPr fontId="4" type="noConversion"/>
  </si>
  <si>
    <t>WIN-01</t>
    <phoneticPr fontId="1" type="noConversion"/>
  </si>
  <si>
    <t>고경희</t>
    <phoneticPr fontId="1" type="noConversion"/>
  </si>
  <si>
    <t>PTS-01</t>
    <phoneticPr fontId="1" type="noConversion"/>
  </si>
  <si>
    <t>장미가족의 내맘대로 포토샵</t>
    <phoneticPr fontId="1" type="noConversion"/>
  </si>
  <si>
    <t>이영주/이정민</t>
    <phoneticPr fontId="1" type="noConversion"/>
  </si>
  <si>
    <t>COM-01</t>
    <phoneticPr fontId="1" type="noConversion"/>
  </si>
  <si>
    <t>김부회/김복례</t>
    <phoneticPr fontId="1" type="noConversion"/>
  </si>
  <si>
    <t>거래처 관리 대장</t>
    <phoneticPr fontId="4" type="noConversion"/>
  </si>
  <si>
    <t>견적서 등록시 거래처코드만 사용하면 해당 자료를 조회할 수 있도록 함</t>
    <phoneticPr fontId="4" type="noConversion"/>
  </si>
  <si>
    <t>거래처코드</t>
    <phoneticPr fontId="4" type="noConversion"/>
  </si>
  <si>
    <t>거래처명</t>
    <phoneticPr fontId="4" type="noConversion"/>
  </si>
  <si>
    <t>대표자</t>
    <phoneticPr fontId="4" type="noConversion"/>
  </si>
  <si>
    <t>주소</t>
    <phoneticPr fontId="4" type="noConversion"/>
  </si>
  <si>
    <t>우편번호</t>
    <phoneticPr fontId="4" type="noConversion"/>
  </si>
  <si>
    <t>업태</t>
    <phoneticPr fontId="4" type="noConversion"/>
  </si>
  <si>
    <t>종목</t>
    <phoneticPr fontId="4" type="noConversion"/>
  </si>
  <si>
    <t>담당자</t>
    <phoneticPr fontId="4" type="noConversion"/>
  </si>
  <si>
    <t>키컴소프트뱅크</t>
    <phoneticPr fontId="4" type="noConversion"/>
  </si>
  <si>
    <t>이동숙</t>
    <phoneticPr fontId="4" type="noConversion"/>
  </si>
  <si>
    <t>서울 강동구 성내동 449-15 203호</t>
    <phoneticPr fontId="4" type="noConversion"/>
  </si>
  <si>
    <t>134-030</t>
    <phoneticPr fontId="4" type="noConversion"/>
  </si>
  <si>
    <t>도소매</t>
    <phoneticPr fontId="4" type="noConversion"/>
  </si>
  <si>
    <t>컴퓨터주변</t>
    <phoneticPr fontId="4" type="noConversion"/>
  </si>
  <si>
    <t>송기원</t>
    <phoneticPr fontId="4" type="noConversion"/>
  </si>
  <si>
    <t>듀오정보주식회사</t>
    <phoneticPr fontId="4" type="noConversion"/>
  </si>
  <si>
    <t>최영길</t>
    <phoneticPr fontId="4" type="noConversion"/>
  </si>
  <si>
    <t>서울 강남구 역삼동 678-35역삼빌딩6층</t>
    <phoneticPr fontId="4" type="noConversion"/>
  </si>
  <si>
    <t>135-080</t>
    <phoneticPr fontId="4" type="noConversion"/>
  </si>
  <si>
    <t>서비스</t>
    <phoneticPr fontId="4" type="noConversion"/>
  </si>
  <si>
    <t>서적출판업</t>
    <phoneticPr fontId="4" type="noConversion"/>
  </si>
  <si>
    <t>정의진</t>
    <phoneticPr fontId="4" type="noConversion"/>
  </si>
  <si>
    <t>㈜유니콘펀드</t>
    <phoneticPr fontId="4" type="noConversion"/>
  </si>
  <si>
    <t>이유신</t>
    <phoneticPr fontId="4" type="noConversion"/>
  </si>
  <si>
    <t>서울 강남구 역삼동 708-32</t>
    <phoneticPr fontId="4" type="noConversion"/>
  </si>
  <si>
    <t>서비스외</t>
    <phoneticPr fontId="4" type="noConversion"/>
  </si>
  <si>
    <t>컨설팅업외</t>
    <phoneticPr fontId="4" type="noConversion"/>
  </si>
  <si>
    <t>이근영</t>
    <phoneticPr fontId="4" type="noConversion"/>
  </si>
  <si>
    <t>㈜KSS해운</t>
    <phoneticPr fontId="4" type="noConversion"/>
  </si>
  <si>
    <t>표삼수</t>
    <phoneticPr fontId="4" type="noConversion"/>
  </si>
  <si>
    <t>서울 종로구 관훈동 198-42</t>
    <phoneticPr fontId="4" type="noConversion"/>
  </si>
  <si>
    <t>110-300</t>
    <phoneticPr fontId="4" type="noConversion"/>
  </si>
  <si>
    <t>써비스외</t>
    <phoneticPr fontId="4" type="noConversion"/>
  </si>
  <si>
    <t>해운대리외</t>
    <phoneticPr fontId="4" type="noConversion"/>
  </si>
  <si>
    <t>김유상</t>
    <phoneticPr fontId="4" type="noConversion"/>
  </si>
  <si>
    <t>동일산자㈜</t>
    <phoneticPr fontId="4" type="noConversion"/>
  </si>
  <si>
    <t>채인철</t>
    <phoneticPr fontId="4" type="noConversion"/>
  </si>
  <si>
    <t>경기 안산시 원시동 725-5</t>
    <phoneticPr fontId="4" type="noConversion"/>
  </si>
  <si>
    <t>425-090</t>
    <phoneticPr fontId="4" type="noConversion"/>
  </si>
  <si>
    <t>제조외</t>
    <phoneticPr fontId="4" type="noConversion"/>
  </si>
  <si>
    <t>임대외</t>
    <phoneticPr fontId="4" type="noConversion"/>
  </si>
  <si>
    <t>윤도범</t>
    <phoneticPr fontId="4" type="noConversion"/>
  </si>
  <si>
    <t>최성욱</t>
    <phoneticPr fontId="4" type="noConversion"/>
  </si>
  <si>
    <t>서울 마포구 상수동 262-1 리버힐빌딩</t>
    <phoneticPr fontId="4" type="noConversion"/>
  </si>
  <si>
    <t>121-160</t>
    <phoneticPr fontId="4" type="noConversion"/>
  </si>
  <si>
    <t>소프트웨어</t>
    <phoneticPr fontId="4" type="noConversion"/>
  </si>
  <si>
    <t>한솔씨에스엔㈜</t>
    <phoneticPr fontId="4" type="noConversion"/>
  </si>
  <si>
    <t>염대식</t>
    <phoneticPr fontId="4" type="noConversion"/>
  </si>
  <si>
    <t>서울 강남구 역삼동 736-1</t>
    <phoneticPr fontId="4" type="noConversion"/>
  </si>
  <si>
    <t>운송보관</t>
    <phoneticPr fontId="4" type="noConversion"/>
  </si>
  <si>
    <t>창고외</t>
    <phoneticPr fontId="4" type="noConversion"/>
  </si>
  <si>
    <t>성기학</t>
    <phoneticPr fontId="4" type="noConversion"/>
  </si>
  <si>
    <t>㈜세웅컨설팅</t>
    <phoneticPr fontId="4" type="noConversion"/>
  </si>
  <si>
    <t>차재능</t>
    <phoneticPr fontId="4" type="noConversion"/>
  </si>
  <si>
    <t>서울 중구 정동 11-3 풍전빌딩</t>
    <phoneticPr fontId="4" type="noConversion"/>
  </si>
  <si>
    <t>110-120</t>
    <phoneticPr fontId="4" type="noConversion"/>
  </si>
  <si>
    <t>경영컨설팅</t>
    <phoneticPr fontId="4" type="noConversion"/>
  </si>
  <si>
    <t>우석형</t>
    <phoneticPr fontId="4" type="noConversion"/>
  </si>
  <si>
    <t>신용협동조합중앙회</t>
    <phoneticPr fontId="4" type="noConversion"/>
  </si>
  <si>
    <t>서울 서초구 방배동 874-1</t>
    <phoneticPr fontId="4" type="noConversion"/>
  </si>
  <si>
    <t>137-060</t>
    <phoneticPr fontId="4" type="noConversion"/>
  </si>
  <si>
    <t>금융제조외</t>
    <phoneticPr fontId="4" type="noConversion"/>
  </si>
  <si>
    <t>금융출판외</t>
    <phoneticPr fontId="4" type="noConversion"/>
  </si>
  <si>
    <t>송영채</t>
    <phoneticPr fontId="4" type="noConversion"/>
  </si>
  <si>
    <t>한국오츠카제약㈜</t>
    <phoneticPr fontId="4" type="noConversion"/>
  </si>
  <si>
    <t>하윤도</t>
    <phoneticPr fontId="4" type="noConversion"/>
  </si>
  <si>
    <t>서울 강남구 역삼동 809</t>
    <phoneticPr fontId="4" type="noConversion"/>
  </si>
  <si>
    <t>제조도매</t>
    <phoneticPr fontId="4" type="noConversion"/>
  </si>
  <si>
    <t>양약외</t>
    <phoneticPr fontId="4" type="noConversion"/>
  </si>
  <si>
    <t>이균철</t>
    <phoneticPr fontId="4" type="noConversion"/>
  </si>
  <si>
    <t>동서석유화학㈜</t>
    <phoneticPr fontId="4" type="noConversion"/>
  </si>
  <si>
    <t>이한구</t>
    <phoneticPr fontId="4" type="noConversion"/>
  </si>
  <si>
    <t>울산 남구 부곡동 154</t>
    <phoneticPr fontId="4" type="noConversion"/>
  </si>
  <si>
    <t>680-110</t>
    <phoneticPr fontId="4" type="noConversion"/>
  </si>
  <si>
    <t>도매외</t>
    <phoneticPr fontId="4" type="noConversion"/>
  </si>
  <si>
    <t>무역업외</t>
    <phoneticPr fontId="4" type="noConversion"/>
  </si>
  <si>
    <t>유병찬</t>
    <phoneticPr fontId="4" type="noConversion"/>
  </si>
  <si>
    <t>㈜파워코리아21</t>
    <phoneticPr fontId="4" type="noConversion"/>
  </si>
  <si>
    <t>최완호</t>
    <phoneticPr fontId="4" type="noConversion"/>
  </si>
  <si>
    <t>서울 강남구 삼성동15-1 무역회관3105</t>
    <phoneticPr fontId="4" type="noConversion"/>
  </si>
  <si>
    <t>135-090</t>
    <phoneticPr fontId="4" type="noConversion"/>
  </si>
  <si>
    <t>시스템개발</t>
    <phoneticPr fontId="4" type="noConversion"/>
  </si>
  <si>
    <t>임충헌</t>
    <phoneticPr fontId="4" type="noConversion"/>
  </si>
  <si>
    <t>㈜아리수미디어</t>
    <phoneticPr fontId="4" type="noConversion"/>
  </si>
  <si>
    <t>박진우</t>
    <phoneticPr fontId="4" type="noConversion"/>
  </si>
  <si>
    <t>서울 서초구 서초동 1594-4</t>
    <phoneticPr fontId="4" type="noConversion"/>
  </si>
  <si>
    <t>137-070</t>
    <phoneticPr fontId="4" type="noConversion"/>
  </si>
  <si>
    <t>개발외</t>
    <phoneticPr fontId="4" type="noConversion"/>
  </si>
  <si>
    <t>이동규</t>
    <phoneticPr fontId="4" type="noConversion"/>
  </si>
  <si>
    <t>한국화장품㈜</t>
    <phoneticPr fontId="4" type="noConversion"/>
  </si>
  <si>
    <t>이기동</t>
    <phoneticPr fontId="4" type="noConversion"/>
  </si>
  <si>
    <t>서울 종로구 서린동 88</t>
    <phoneticPr fontId="4" type="noConversion"/>
  </si>
  <si>
    <t>110-726</t>
    <phoneticPr fontId="4" type="noConversion"/>
  </si>
  <si>
    <t>화장품외</t>
    <phoneticPr fontId="4" type="noConversion"/>
  </si>
  <si>
    <t>김시영</t>
    <phoneticPr fontId="4" type="noConversion"/>
  </si>
  <si>
    <t>한국건설경제협의회</t>
    <phoneticPr fontId="4" type="noConversion"/>
  </si>
  <si>
    <t>한봉근</t>
    <phoneticPr fontId="4" type="noConversion"/>
  </si>
  <si>
    <t>서울 중구 남대문로4가 상의빌딩 7층</t>
    <phoneticPr fontId="4" type="noConversion"/>
  </si>
  <si>
    <t>100-094</t>
    <phoneticPr fontId="4" type="noConversion"/>
  </si>
  <si>
    <t>비영리</t>
    <phoneticPr fontId="4" type="noConversion"/>
  </si>
  <si>
    <t>기타금융</t>
    <phoneticPr fontId="4" type="noConversion"/>
  </si>
  <si>
    <t xml:space="preserve">이종우 </t>
    <phoneticPr fontId="4" type="noConversion"/>
  </si>
  <si>
    <t>한국훼스토㈜</t>
    <phoneticPr fontId="4" type="noConversion"/>
  </si>
  <si>
    <t>서울 금천구 가산동 470-9</t>
    <phoneticPr fontId="4" type="noConversion"/>
  </si>
  <si>
    <t>153-023</t>
    <phoneticPr fontId="4" type="noConversion"/>
  </si>
  <si>
    <t>제조업외</t>
    <phoneticPr fontId="4" type="noConversion"/>
  </si>
  <si>
    <t>공구류외</t>
    <phoneticPr fontId="4" type="noConversion"/>
  </si>
  <si>
    <t>안재원</t>
    <phoneticPr fontId="4" type="noConversion"/>
  </si>
  <si>
    <t>현대약품공업㈜</t>
    <phoneticPr fontId="4" type="noConversion"/>
  </si>
  <si>
    <t>정유진</t>
    <phoneticPr fontId="4" type="noConversion"/>
  </si>
  <si>
    <t>경기 부천시 소사구 소사본동 213</t>
    <phoneticPr fontId="4" type="noConversion"/>
  </si>
  <si>
    <t>422-230</t>
    <phoneticPr fontId="4" type="noConversion"/>
  </si>
  <si>
    <t>제조</t>
    <phoneticPr fontId="4" type="noConversion"/>
  </si>
  <si>
    <t>윤영우</t>
    <phoneticPr fontId="4" type="noConversion"/>
  </si>
  <si>
    <t>엘지하다찌㈜</t>
    <phoneticPr fontId="4" type="noConversion"/>
  </si>
  <si>
    <t>프레드바</t>
    <phoneticPr fontId="4" type="noConversion"/>
  </si>
  <si>
    <t>서울 마포구 공덕동 275</t>
    <phoneticPr fontId="4" type="noConversion"/>
  </si>
  <si>
    <t>121-020</t>
    <phoneticPr fontId="4" type="noConversion"/>
  </si>
  <si>
    <t>제조도매외</t>
    <phoneticPr fontId="4" type="noConversion"/>
  </si>
  <si>
    <t>무역외</t>
    <phoneticPr fontId="4" type="noConversion"/>
  </si>
  <si>
    <t>이진범</t>
    <phoneticPr fontId="4" type="noConversion"/>
  </si>
  <si>
    <t>한양건장㈜</t>
    <phoneticPr fontId="4" type="noConversion"/>
  </si>
  <si>
    <t>민경훈</t>
    <phoneticPr fontId="4" type="noConversion"/>
  </si>
  <si>
    <t>서울 서초구 방배동 750-12학림빌딩201</t>
    <phoneticPr fontId="4" type="noConversion"/>
  </si>
  <si>
    <t>건설외</t>
    <phoneticPr fontId="4" type="noConversion"/>
  </si>
  <si>
    <t>실내장식외</t>
    <phoneticPr fontId="4" type="noConversion"/>
  </si>
  <si>
    <t>조운호</t>
    <phoneticPr fontId="4" type="noConversion"/>
  </si>
  <si>
    <t>두레시닝㈜</t>
    <phoneticPr fontId="4" type="noConversion"/>
  </si>
  <si>
    <t>폴에스한</t>
    <phoneticPr fontId="4" type="noConversion"/>
  </si>
  <si>
    <t>서울 중구 을지로2가 9-10</t>
    <phoneticPr fontId="4" type="noConversion"/>
  </si>
  <si>
    <t>100-192</t>
    <phoneticPr fontId="4" type="noConversion"/>
  </si>
  <si>
    <t>도소매외</t>
    <phoneticPr fontId="4" type="noConversion"/>
  </si>
  <si>
    <t>인쇄물외</t>
    <phoneticPr fontId="4" type="noConversion"/>
  </si>
  <si>
    <t>김홍식</t>
    <phoneticPr fontId="4" type="noConversion"/>
  </si>
  <si>
    <t>에스엠아이티</t>
    <phoneticPr fontId="4" type="noConversion"/>
  </si>
  <si>
    <t>토마스에</t>
    <phoneticPr fontId="4" type="noConversion"/>
  </si>
  <si>
    <t>서울 은평구 갈현동 455-9</t>
    <phoneticPr fontId="4" type="noConversion"/>
  </si>
  <si>
    <t>122-050</t>
    <phoneticPr fontId="4" type="noConversion"/>
  </si>
  <si>
    <t>출판외</t>
    <phoneticPr fontId="4" type="noConversion"/>
  </si>
  <si>
    <t>프라이즈택㈜</t>
    <phoneticPr fontId="4" type="noConversion"/>
  </si>
  <si>
    <t>최영돈</t>
    <phoneticPr fontId="4" type="noConversion"/>
  </si>
  <si>
    <t>서울 영등포구 여의도동 26번지 5</t>
    <phoneticPr fontId="4" type="noConversion"/>
  </si>
  <si>
    <t>150-879</t>
    <phoneticPr fontId="4" type="noConversion"/>
  </si>
  <si>
    <t>전자출판외</t>
    <phoneticPr fontId="4" type="noConversion"/>
  </si>
  <si>
    <t>이문수</t>
    <phoneticPr fontId="4" type="noConversion"/>
  </si>
  <si>
    <t>경기 수원시 팔달구 이의동 산94-6</t>
    <phoneticPr fontId="4" type="noConversion"/>
  </si>
  <si>
    <t>442-270</t>
    <phoneticPr fontId="4" type="noConversion"/>
  </si>
  <si>
    <t>정성한</t>
    <phoneticPr fontId="4" type="noConversion"/>
  </si>
  <si>
    <t>이영</t>
    <phoneticPr fontId="4" type="noConversion"/>
  </si>
  <si>
    <t>110-053</t>
    <phoneticPr fontId="4" type="noConversion"/>
  </si>
  <si>
    <t>교육</t>
    <phoneticPr fontId="4" type="noConversion"/>
  </si>
  <si>
    <t/>
  </si>
  <si>
    <t>이동 홈쇼핑</t>
    <phoneticPr fontId="4" type="noConversion"/>
  </si>
  <si>
    <t>서울 종로구 내자동 세양빌딩 3층</t>
    <phoneticPr fontId="4" type="noConversion"/>
  </si>
  <si>
    <t>110-720</t>
    <phoneticPr fontId="4" type="noConversion"/>
  </si>
  <si>
    <t>유통</t>
    <phoneticPr fontId="4" type="noConversion"/>
  </si>
  <si>
    <t>거래처코드</t>
    <phoneticPr fontId="1" type="noConversion"/>
  </si>
  <si>
    <t>전화번호</t>
  </si>
  <si>
    <t>▣ 용      도 :</t>
    <phoneticPr fontId="4" type="noConversion"/>
  </si>
  <si>
    <t>▣ 표   이름 :</t>
    <phoneticPr fontId="4" type="noConversion"/>
  </si>
  <si>
    <t>tbl거래처</t>
    <phoneticPr fontId="4" type="noConversion"/>
  </si>
  <si>
    <t>※ 작업 시트의  내용은 사용자  정의 화면의 목록 상자 출력과 연결되기때문에 임의로 수정하지 않도록 하세요.</t>
    <phoneticPr fontId="16" type="noConversion"/>
  </si>
  <si>
    <t>【거래처조건】</t>
    <phoneticPr fontId="16" type="noConversion"/>
  </si>
  <si>
    <t>【거래처조건에 맞는 자료 출력】</t>
    <phoneticPr fontId="16" type="noConversion"/>
  </si>
  <si>
    <t>제일 큰 번호</t>
    <phoneticPr fontId="4" type="noConversion"/>
  </si>
  <si>
    <t>tbl견적서발급</t>
    <phoneticPr fontId="4" type="noConversion"/>
  </si>
  <si>
    <t>품목코드</t>
    <phoneticPr fontId="1" type="noConversion"/>
  </si>
  <si>
    <t>tbl견적서세부</t>
    <phoneticPr fontId="4" type="noConversion"/>
  </si>
  <si>
    <t>tbl제품</t>
    <phoneticPr fontId="4" type="noConversion"/>
  </si>
  <si>
    <t>출력번호</t>
    <phoneticPr fontId="4" type="noConversion"/>
  </si>
  <si>
    <t>박은경</t>
  </si>
  <si>
    <t>홍라정</t>
  </si>
  <si>
    <t>이수정</t>
  </si>
  <si>
    <t>【견적조건】</t>
    <phoneticPr fontId="16" type="noConversion"/>
  </si>
  <si>
    <t>【견적조건에 맞는 자료 출력】</t>
    <phoneticPr fontId="16" type="noConversion"/>
  </si>
  <si>
    <t>【견적조건에 맞는 견적서 세부 자료 출력】</t>
    <phoneticPr fontId="16" type="noConversion"/>
  </si>
  <si>
    <t>납품장소</t>
    <phoneticPr fontId="1" type="noConversion"/>
  </si>
  <si>
    <t>견적일자</t>
    <phoneticPr fontId="1" type="noConversion"/>
  </si>
  <si>
    <t>비고</t>
    <phoneticPr fontId="1" type="noConversion"/>
  </si>
  <si>
    <t>품명</t>
    <phoneticPr fontId="1" type="noConversion"/>
  </si>
  <si>
    <t>픔목코드</t>
    <phoneticPr fontId="1" type="noConversion"/>
  </si>
  <si>
    <t>증정1</t>
    <phoneticPr fontId="1" type="noConversion"/>
  </si>
  <si>
    <t>증정2</t>
    <phoneticPr fontId="1" type="noConversion"/>
  </si>
  <si>
    <t>문서번호</t>
    <phoneticPr fontId="4" type="noConversion"/>
  </si>
  <si>
    <t>【견적 문서번호】</t>
    <phoneticPr fontId="16" type="noConversion"/>
  </si>
  <si>
    <t>연락처</t>
    <phoneticPr fontId="4" type="noConversion"/>
  </si>
  <si>
    <t>E-Mail</t>
    <phoneticPr fontId="4" type="noConversion"/>
  </si>
  <si>
    <t>도서출판 길벗</t>
    <phoneticPr fontId="1" type="noConversion"/>
  </si>
  <si>
    <t>서울시 마포구 서교동 월드컵로 10길 56</t>
    <phoneticPr fontId="1" type="noConversion"/>
  </si>
  <si>
    <t>대표이사   이  종  원</t>
    <phoneticPr fontId="1" type="noConversion"/>
  </si>
  <si>
    <t>사업자등록번호: 111-11-11111</t>
    <phoneticPr fontId="1" type="noConversion"/>
  </si>
  <si>
    <t>비고 :</t>
    <phoneticPr fontId="1" type="noConversion"/>
  </si>
  <si>
    <t>공급가액</t>
    <phoneticPr fontId="4" type="noConversion"/>
  </si>
  <si>
    <t>2014-001</t>
    <phoneticPr fontId="1" type="noConversion"/>
  </si>
  <si>
    <t>2014-002</t>
    <phoneticPr fontId="1" type="noConversion"/>
  </si>
  <si>
    <t>aaa@aaa.com</t>
    <phoneticPr fontId="1" type="noConversion"/>
  </si>
  <si>
    <t>bbb@bbb.com</t>
    <phoneticPr fontId="1" type="noConversion"/>
  </si>
  <si>
    <t>납품예정일</t>
    <phoneticPr fontId="1" type="noConversion"/>
  </si>
  <si>
    <t>홍길동</t>
    <phoneticPr fontId="1" type="noConversion"/>
  </si>
  <si>
    <t>본사담당자</t>
    <phoneticPr fontId="1" type="noConversion"/>
  </si>
  <si>
    <t>본사연락처2</t>
    <phoneticPr fontId="1" type="noConversion"/>
  </si>
  <si>
    <t>본사연락처1</t>
    <phoneticPr fontId="1" type="noConversion"/>
  </si>
  <si>
    <t>본사Email</t>
    <phoneticPr fontId="1" type="noConversion"/>
  </si>
  <si>
    <t>정유진</t>
    <phoneticPr fontId="1" type="noConversion"/>
  </si>
  <si>
    <t>02-111-2222</t>
    <phoneticPr fontId="1" type="noConversion"/>
  </si>
  <si>
    <t>02-111-2223</t>
    <phoneticPr fontId="1" type="noConversion"/>
  </si>
  <si>
    <t>010-111-1111</t>
    <phoneticPr fontId="1" type="noConversion"/>
  </si>
  <si>
    <t>010-111-1112</t>
    <phoneticPr fontId="1" type="noConversion"/>
  </si>
  <si>
    <t>aaa@gilbut.co.kr</t>
    <phoneticPr fontId="1" type="noConversion"/>
  </si>
  <si>
    <t>bbb@gilbut.co.kr</t>
    <phoneticPr fontId="1" type="noConversion"/>
  </si>
  <si>
    <t>193-84-00000</t>
  </si>
  <si>
    <t>182-28-00000</t>
  </si>
  <si>
    <t>132-29-00000</t>
  </si>
  <si>
    <t>142-34-00000</t>
  </si>
  <si>
    <t>118-04-00000</t>
  </si>
  <si>
    <t>162-00-00000</t>
  </si>
  <si>
    <t>135-41-00000</t>
  </si>
  <si>
    <t>106-36-00000</t>
  </si>
  <si>
    <t>115-02-00000</t>
  </si>
  <si>
    <t>146-14-00000</t>
  </si>
  <si>
    <t>174-02-00000</t>
  </si>
  <si>
    <t>110-96-00000</t>
  </si>
  <si>
    <t>141-49-00000</t>
  </si>
  <si>
    <t>136-20-00000</t>
  </si>
  <si>
    <t>157-06-00000</t>
  </si>
  <si>
    <t>159-02-00000</t>
  </si>
  <si>
    <t>198-00-00000</t>
  </si>
  <si>
    <t>131-33-00000</t>
  </si>
  <si>
    <t>188-86-00000</t>
  </si>
  <si>
    <t>153-64-00000</t>
  </si>
  <si>
    <t>106-81-00000</t>
  </si>
  <si>
    <t>185-35-00000</t>
  </si>
  <si>
    <t>152-03-00000</t>
  </si>
  <si>
    <t>123-13-00000</t>
    <phoneticPr fontId="4" type="noConversion"/>
  </si>
  <si>
    <t>123-14-00000</t>
    <phoneticPr fontId="4" type="noConversion"/>
  </si>
  <si>
    <t>02-328-0000</t>
  </si>
  <si>
    <t>02-349-0000</t>
  </si>
  <si>
    <t>02-288-0000</t>
  </si>
  <si>
    <t>02-306-0000</t>
  </si>
  <si>
    <t>02-377-0000</t>
  </si>
  <si>
    <t>02-387-0000</t>
  </si>
  <si>
    <t>02-436-0000</t>
  </si>
  <si>
    <t>02-547-0000</t>
  </si>
  <si>
    <t>02-565-0000</t>
  </si>
  <si>
    <t>02-650-0000</t>
  </si>
  <si>
    <t>02-687-0000</t>
  </si>
  <si>
    <t>02-745-0000</t>
  </si>
  <si>
    <t>02-753-0000</t>
  </si>
  <si>
    <t>02-779-0000</t>
  </si>
  <si>
    <t>02-842-0000</t>
  </si>
  <si>
    <t>02-869-0000</t>
  </si>
  <si>
    <t>02-878-0000</t>
  </si>
  <si>
    <t>02-886-0000</t>
  </si>
  <si>
    <t>02-894-0000</t>
  </si>
  <si>
    <t>심영섭</t>
    <phoneticPr fontId="4" type="noConversion"/>
  </si>
  <si>
    <t>조정래</t>
    <phoneticPr fontId="4" type="noConversion"/>
  </si>
  <si>
    <t>주식회사타이니</t>
    <phoneticPr fontId="4" type="noConversion"/>
  </si>
  <si>
    <t>02-1234-0000</t>
    <phoneticPr fontId="4" type="noConversion"/>
  </si>
  <si>
    <t>02-1111-0000</t>
    <phoneticPr fontId="4" type="noConversion"/>
  </si>
  <si>
    <t>052-620-0000</t>
    <phoneticPr fontId="4" type="noConversion"/>
  </si>
  <si>
    <t>031-822-0000</t>
    <phoneticPr fontId="4" type="noConversion"/>
  </si>
  <si>
    <t>031-914-0000</t>
    <phoneticPr fontId="4" type="noConversion"/>
  </si>
  <si>
    <t>031-345-0000</t>
    <phoneticPr fontId="4" type="noConversion"/>
  </si>
  <si>
    <t>akj@dum.com</t>
  </si>
  <si>
    <t>rrl@g@a23.co.kr</t>
  </si>
  <si>
    <t>cur@d@ggg.co.kr</t>
  </si>
  <si>
    <t>wqp@g@a23.co.kr</t>
  </si>
  <si>
    <t>thlea@a23.co.kr</t>
  </si>
  <si>
    <t>cen@d@nver.com</t>
  </si>
  <si>
    <t>xrhv@dum.com</t>
  </si>
  <si>
    <t>seh@a23.co.kr</t>
  </si>
  <si>
    <t>mda@c@ggg.co.kr</t>
  </si>
  <si>
    <t>wwm@c@ggg.co.kr</t>
  </si>
  <si>
    <t>jndr@dum.com</t>
  </si>
  <si>
    <t>ado@a23.co.kr</t>
  </si>
  <si>
    <t>jlz@nver.com</t>
  </si>
  <si>
    <t>tyt@@ggg.co.kr</t>
  </si>
  <si>
    <t>nibu@ggg.co.kr</t>
  </si>
  <si>
    <t>ohdj@@nver.com</t>
  </si>
  <si>
    <t>lmul@a23.co.kr</t>
  </si>
  <si>
    <t>ulam@a23.co.kr</t>
  </si>
  <si>
    <t>ren@@dum.com</t>
  </si>
  <si>
    <t>kfnw@@nver.com</t>
  </si>
  <si>
    <t>tefz@@dum.com</t>
  </si>
  <si>
    <t>nvi@@nver.com</t>
  </si>
  <si>
    <t>npb@n@nver.com</t>
  </si>
  <si>
    <t>peapx@nver.com</t>
  </si>
  <si>
    <t>fjmc@@ggg.co.kr</t>
  </si>
  <si>
    <t>김종학</t>
    <phoneticPr fontId="4" type="noConversion"/>
  </si>
  <si>
    <t>엑셀 2013 기능 완전 정복</t>
  </si>
  <si>
    <t>파워포인트 기능 완전 정복</t>
  </si>
  <si>
    <t>액세스 2013 기능 완전 정복</t>
  </si>
  <si>
    <t>엑셀 실무활용 기능 완전 정복</t>
  </si>
  <si>
    <t>엑셀 매크로&amp;VBA 기능 완전 정복</t>
  </si>
  <si>
    <t>워드 2013 기능 완전 정복</t>
  </si>
  <si>
    <t>엑셀 2013기능 완전 정복</t>
  </si>
  <si>
    <t>비주얼베이직 6.0 기능 완전 정복</t>
  </si>
  <si>
    <t>엑셀&amp;파워포인트 2013 기능 완전 정복</t>
  </si>
  <si>
    <t>엑셀 2007 기능 완전 정복</t>
  </si>
  <si>
    <t>파워포인트 2007 기능 완전 정복</t>
  </si>
  <si>
    <t>컴퓨터 기능 완전 정복</t>
  </si>
  <si>
    <t>EMail</t>
    <phoneticPr fontId="1" type="noConversion"/>
  </si>
  <si>
    <t>Email</t>
    <phoneticPr fontId="4" type="noConversion"/>
  </si>
  <si>
    <t>Email</t>
    <phoneticPr fontId="4" type="noConversion"/>
  </si>
  <si>
    <t>문서번호</t>
    <phoneticPr fontId="4" type="noConversion"/>
  </si>
  <si>
    <t>증정1</t>
  </si>
  <si>
    <t>상세 교육 안내도 요청</t>
    <phoneticPr fontId="1" type="noConversion"/>
  </si>
  <si>
    <t>온라인</t>
  </si>
  <si>
    <t>2014-003</t>
  </si>
  <si>
    <t>2014-004</t>
  </si>
  <si>
    <t>※ 이 파일은 매크로를 포함한 파일로 매크로를 포함하여 연 경우에만 정상 작동됩니다.</t>
    <phoneticPr fontId="1" type="noConversion"/>
  </si>
  <si>
    <t>견적서발급</t>
    <phoneticPr fontId="1" type="noConversion"/>
  </si>
  <si>
    <t>견적서세부내용</t>
    <phoneticPr fontId="1" type="noConversion"/>
  </si>
  <si>
    <t>제품목록</t>
    <phoneticPr fontId="1" type="noConversion"/>
  </si>
  <si>
    <t>거래처목록</t>
    <phoneticPr fontId="1" type="noConversion"/>
  </si>
  <si>
    <t>@작업시트</t>
    <phoneticPr fontId="1" type="noConversion"/>
  </si>
  <si>
    <t>시트명</t>
    <phoneticPr fontId="1" type="noConversion"/>
  </si>
  <si>
    <t>Main</t>
    <phoneticPr fontId="1" type="noConversion"/>
  </si>
  <si>
    <t>설명</t>
    <phoneticPr fontId="1" type="noConversion"/>
  </si>
  <si>
    <t>설  명</t>
    <phoneticPr fontId="1" type="noConversion"/>
  </si>
  <si>
    <t>- 견적서를 조회, 수정, 작성할 수 있는 양식 제공
- 시트가 보호된 상태로 연두색으로 표시된 부분에만 내용입력</t>
    <phoneticPr fontId="1" type="noConversion"/>
  </si>
  <si>
    <t>- Main 시트의 거래처, 견적서 검색을 할 때 사용하는 작업 공간으로
   임의로 시트 안의 셀 위치를 변경하지 말 것</t>
    <phoneticPr fontId="1" type="noConversion"/>
  </si>
  <si>
    <r>
      <t xml:space="preserve">- 제품 정보가 등록된 시트로 견적서에서 사용할 </t>
    </r>
    <r>
      <rPr>
        <sz val="10"/>
        <color rgb="FFFF0000"/>
        <rFont val="맑은 고딕"/>
        <family val="3"/>
        <charset val="129"/>
        <scheme val="minor"/>
      </rPr>
      <t>제품 정보는 이 시트에
  미리 등록</t>
    </r>
    <r>
      <rPr>
        <sz val="10"/>
        <color theme="1"/>
        <rFont val="맑은 고딕"/>
        <family val="2"/>
        <charset val="129"/>
        <scheme val="minor"/>
      </rPr>
      <t>되어 있어야 함</t>
    </r>
    <phoneticPr fontId="1" type="noConversion"/>
  </si>
  <si>
    <r>
      <t xml:space="preserve">- 거래처 정보가 등록된 시트로 견적서에서 사용할 </t>
    </r>
    <r>
      <rPr>
        <sz val="10"/>
        <color rgb="FFFF0000"/>
        <rFont val="맑은 고딕"/>
        <family val="3"/>
        <charset val="129"/>
        <scheme val="minor"/>
      </rPr>
      <t>거래처 정보는
  이 시트에  미리 등록</t>
    </r>
    <r>
      <rPr>
        <sz val="10"/>
        <color theme="1"/>
        <rFont val="맑은 고딕"/>
        <family val="2"/>
        <charset val="129"/>
        <scheme val="minor"/>
      </rPr>
      <t>되어 있어야 함</t>
    </r>
    <phoneticPr fontId="1" type="noConversion"/>
  </si>
  <si>
    <r>
      <t xml:space="preserve">- 견적서 발급 내용이 기록되는 시트로 </t>
    </r>
    <r>
      <rPr>
        <sz val="10"/>
        <color rgb="FFFF0000"/>
        <rFont val="맑은 고딕"/>
        <family val="3"/>
        <charset val="129"/>
        <scheme val="minor"/>
      </rPr>
      <t>'Main' 시트에서 
   '문서번호'를 이용하여 조회</t>
    </r>
    <r>
      <rPr>
        <sz val="10"/>
        <color theme="1"/>
        <rFont val="맑은 고딕"/>
        <family val="2"/>
        <charset val="129"/>
        <scheme val="minor"/>
      </rPr>
      <t xml:space="preserve"> 및 수정, 삭제, 신규 등록 등이 가능</t>
    </r>
    <phoneticPr fontId="1" type="noConversion"/>
  </si>
  <si>
    <r>
      <t>- 견적서 발급 세부 내용이 기록되는 시트로</t>
    </r>
    <r>
      <rPr>
        <sz val="10"/>
        <color rgb="FFFF0000"/>
        <rFont val="맑은 고딕"/>
        <family val="3"/>
        <charset val="129"/>
        <scheme val="minor"/>
      </rPr>
      <t xml:space="preserve"> 'Main' 시트에서 
   '문서번호'를 이용하여 조회 </t>
    </r>
    <r>
      <rPr>
        <sz val="10"/>
        <color theme="1"/>
        <rFont val="맑은 고딕"/>
        <family val="2"/>
        <charset val="129"/>
        <scheme val="minor"/>
      </rPr>
      <t>및 수정, 삭제, 신규 등록 등이 가능</t>
    </r>
    <phoneticPr fontId="1" type="noConversion"/>
  </si>
  <si>
    <t>■ 파일 구조 이해</t>
    <phoneticPr fontId="1" type="noConversion"/>
  </si>
  <si>
    <t>1. 시트의 기능</t>
    <phoneticPr fontId="1" type="noConversion"/>
  </si>
  <si>
    <t>- 각 시트는 다음과 같은 기능을 하며, 시트별로 표가 정의되어 있거나, 중요한 셀 위치에  이름이 정의되어있습니다.</t>
    <phoneticPr fontId="1" type="noConversion"/>
  </si>
  <si>
    <t>nmD_EMail</t>
  </si>
  <si>
    <t>=Main!$E$9</t>
  </si>
  <si>
    <t>nmD_거래처명</t>
  </si>
  <si>
    <t>=Main!$C$5</t>
  </si>
  <si>
    <t>nmD_거래처코드</t>
  </si>
  <si>
    <t>=Main!$B$5</t>
  </si>
  <si>
    <t>nmD_견적세부시작셀</t>
  </si>
  <si>
    <t>=Main!$C$17</t>
  </si>
  <si>
    <t>nmD_견적일자</t>
  </si>
  <si>
    <t>=Main!$E$12</t>
  </si>
  <si>
    <t>nmD_공급가액</t>
  </si>
  <si>
    <t>=Main!$I$16</t>
  </si>
  <si>
    <t>nmD_납품예정일</t>
  </si>
  <si>
    <t>=Main!$E$13</t>
  </si>
  <si>
    <t>nmD_납품장소</t>
  </si>
  <si>
    <t>=Main!$E$14</t>
  </si>
  <si>
    <t>nmD_담당자</t>
  </si>
  <si>
    <t>=Main!$E$7</t>
  </si>
  <si>
    <t>nmD_문서번호</t>
  </si>
  <si>
    <t>=Main!$K$2</t>
  </si>
  <si>
    <t>nmD_본사Email</t>
  </si>
  <si>
    <t>=Main!$I$14</t>
  </si>
  <si>
    <t>nmD_본사담당자</t>
  </si>
  <si>
    <t>=Main!$I$11</t>
  </si>
  <si>
    <t>nmD_본사연락처1</t>
  </si>
  <si>
    <t>=Main!$I$12</t>
  </si>
  <si>
    <t>nmD_본사연락처2</t>
  </si>
  <si>
    <t>=Main!$I$13</t>
  </si>
  <si>
    <t>nmD_비고</t>
  </si>
  <si>
    <t>=Main!$C$34</t>
  </si>
  <si>
    <t>nmD_연락처</t>
  </si>
  <si>
    <t>=Main!$E$8</t>
  </si>
  <si>
    <t>nmMax코드</t>
  </si>
  <si>
    <t>='@작업시트'!$A$6</t>
  </si>
  <si>
    <t>nm거래처_조건</t>
  </si>
  <si>
    <t>='@작업시트'!$AD$5:$AD$6</t>
  </si>
  <si>
    <t>nm거래처_출력</t>
  </si>
  <si>
    <t>='@작업시트'!$AF$5:$AM$5</t>
  </si>
  <si>
    <t>nm견적_조건</t>
  </si>
  <si>
    <t>='@작업시트'!$C$5:$C$6</t>
  </si>
  <si>
    <t>nm견적_출력</t>
  </si>
  <si>
    <t>='@작업시트'!$E$5:$S$5</t>
  </si>
  <si>
    <t>nm견적세부_조건</t>
  </si>
  <si>
    <t>='@작업시트'!$U$5:$U$6</t>
  </si>
  <si>
    <t>nm견적세부_출력</t>
  </si>
  <si>
    <t>='@작업시트'!$W$5:$AB$5</t>
  </si>
  <si>
    <t>tbl거래처</t>
    <phoneticPr fontId="1" type="noConversion"/>
  </si>
  <si>
    <t>tbl제품</t>
    <phoneticPr fontId="1" type="noConversion"/>
  </si>
  <si>
    <t>tbl견적서세부</t>
    <phoneticPr fontId="1" type="noConversion"/>
  </si>
  <si>
    <t>tbl견적서발급</t>
    <phoneticPr fontId="1" type="noConversion"/>
  </si>
  <si>
    <t>표로 지정된 영역</t>
    <phoneticPr fontId="1" type="noConversion"/>
  </si>
  <si>
    <t>이름(표 이름)</t>
    <phoneticPr fontId="1" type="noConversion"/>
  </si>
  <si>
    <t>참조 대상</t>
    <phoneticPr fontId="1" type="noConversion"/>
  </si>
  <si>
    <t>2. 주요 표와 이름 설명</t>
    <phoneticPr fontId="1" type="noConversion"/>
  </si>
  <si>
    <t>- 'Main' 시트를 통해 견적서 내용을 자동으로 조회, 등록 등을 할 수 있도록 Main 시트와 관련 시트에 다음 이름이 지정되어 있습니다.</t>
    <phoneticPr fontId="1" type="noConversion"/>
  </si>
  <si>
    <t>신규 견적서를 등록할 때 사용하기 위해 '견적서발급' 시트의 
'문서번호' 중 현재 연도 번호 중에서 가장 큰 번호를 찾아 1을 더한 값을 8자리 형태로 표시</t>
    <phoneticPr fontId="1" type="noConversion"/>
  </si>
  <si>
    <t>거래처 검색시 사용할 조건 입력 범위</t>
    <phoneticPr fontId="1" type="noConversion"/>
  </si>
  <si>
    <t>거래처 검색시 사용할 출력 위치 범위</t>
    <phoneticPr fontId="1" type="noConversion"/>
  </si>
  <si>
    <t>견적서 검색시 사용할 출력 위치 범위</t>
    <phoneticPr fontId="1" type="noConversion"/>
  </si>
  <si>
    <t>견적서 검색시 사용할 조건 입력 범위</t>
    <phoneticPr fontId="1" type="noConversion"/>
  </si>
  <si>
    <t>견적서 검색시 세부 내용 출력을 위한 조건 입력 범위</t>
    <phoneticPr fontId="1" type="noConversion"/>
  </si>
  <si>
    <t>견적서 검색시 세부 내용 출력을 위한 출력 위치 범위</t>
    <phoneticPr fontId="1" type="noConversion"/>
  </si>
  <si>
    <t>[거래처목록] 시트에 지정된 표</t>
    <phoneticPr fontId="1" type="noConversion"/>
  </si>
  <si>
    <t>[견적서발급] 시트에 지정된 표</t>
    <phoneticPr fontId="1" type="noConversion"/>
  </si>
  <si>
    <t>[견적서세부내용] 시트에 지정된 표</t>
    <phoneticPr fontId="1" type="noConversion"/>
  </si>
  <si>
    <t>[제품목록] 시트에 지정된 표</t>
    <phoneticPr fontId="1" type="noConversion"/>
  </si>
  <si>
    <t>[Main] 시트의 셀에 지정한 이름으로 
자료 입/출력을 위해 사용</t>
    <phoneticPr fontId="1" type="noConversion"/>
  </si>
  <si>
    <t>■ 견적서 조회/삭제</t>
    <phoneticPr fontId="1" type="noConversion"/>
  </si>
  <si>
    <t>■ 견적서 신규/수정</t>
    <phoneticPr fontId="1" type="noConversion"/>
  </si>
  <si>
    <t>1. 견적서 조회</t>
    <phoneticPr fontId="1" type="noConversion"/>
  </si>
  <si>
    <t>알트스프링</t>
    <phoneticPr fontId="4" type="noConversion"/>
  </si>
  <si>
    <t>서울 강남구 언주로 123</t>
    <phoneticPr fontId="4" type="noConversion"/>
  </si>
  <si>
    <t>수원전자</t>
    <phoneticPr fontId="4" type="noConversion"/>
  </si>
  <si>
    <t>- 견적서는 고유한 '문서번호'로 저장되고, 조회합니다.  '문서번호'는 직접 입력하지말고 오른쪽 옆의 단추를 클릭해 견적서 내용을 검색하여 표시합니다.</t>
    <phoneticPr fontId="1" type="noConversion"/>
  </si>
  <si>
    <t>2. 견적서 삭제</t>
    <phoneticPr fontId="1" type="noConversion"/>
  </si>
  <si>
    <t>- 현재 조회 중인 견적서 내용( 문서번호를 기준으로 함)을 삭제할 때는 오른쪽 상단의 &lt;삭제&gt;를 클릭합니다.</t>
    <phoneticPr fontId="1" type="noConversion"/>
  </si>
  <si>
    <t>- 삭제 확인 창이 나타나면 &lt;예&gt;를 눌러 삭제합니다. 삭제 작업은 '문서번호'를 이용하여 &lt;견적서발급&gt;, &lt;견적서세부내용&gt; 시트의 자료를 삭제하는 작업을 합니다.</t>
    <phoneticPr fontId="1" type="noConversion"/>
  </si>
  <si>
    <t>- 삭제 작업 후에는 &lt;신규&gt;를 클릭한 것처럼 &lt;Main&gt; 시트의 내용이 지워지면서, 문서번호가 새로운 번호로 자동 지정됩니다.</t>
    <phoneticPr fontId="1" type="noConversion"/>
  </si>
  <si>
    <t>1. 견적서 신규</t>
    <phoneticPr fontId="1" type="noConversion"/>
  </si>
  <si>
    <t>PPT-01</t>
  </si>
  <si>
    <t>- 새로운 견적서를 작성할 때 &lt;신규&gt;를 클릭하면 &lt;Main&gt; 시트의 내용이 지워지고, 새 견적서 작성을 위한 '문서번호'가 표시됩니다.</t>
    <phoneticPr fontId="1" type="noConversion"/>
  </si>
  <si>
    <t>- 주의할 점은 기존 작업 중이던 내용이 자동 저장되지 않으므로 필요한 경우 &lt;저장&gt;을 클릭해 저장한 후 작업하세요.</t>
    <phoneticPr fontId="1" type="noConversion"/>
  </si>
  <si>
    <t xml:space="preserve">- '문서번호' 계산 원리 : 견적서의 고유 Key인 문서번호는 현재 연도와 순차번호를 적용해 8자리로 구성합니다. </t>
    <phoneticPr fontId="1" type="noConversion"/>
  </si>
  <si>
    <t>- 신규 작성할 '문서번호'는 &lt;@작업시트&gt;의 A6셀(범위명 : nmMax코드)에서 자동 계산됩니다.</t>
    <phoneticPr fontId="1" type="noConversion"/>
  </si>
  <si>
    <t xml:space="preserve">2. 견적서 신규 작업시 '문서번호' 부여 </t>
    <phoneticPr fontId="1" type="noConversion"/>
  </si>
  <si>
    <t>3. 견적서 수정</t>
    <phoneticPr fontId="1" type="noConversion"/>
  </si>
  <si>
    <t>- 조회 중인 견적 내용은 자유롭게 수정이 가능합니다. 연한 녹색으로 채우기된 셀들의 내용을 수정하여 내용을 변경한 후</t>
    <phoneticPr fontId="1" type="noConversion"/>
  </si>
  <si>
    <t xml:space="preserve">  &lt;저장&gt;을 클릭하여 시트에 저장되도록 해야 합니다. &lt;저장&gt;을 클릭하지 않은 경우 &lt;Main&gt;시트에서만 수정된 상태로 </t>
    <phoneticPr fontId="1" type="noConversion"/>
  </si>
  <si>
    <t xml:space="preserve">  실제 데이터가 저장되는 &lt;견적서발급&gt;, &lt;견적서세부내용&gt; 시트에는 반영되지 않습니다.</t>
    <phoneticPr fontId="1" type="noConversion"/>
  </si>
  <si>
    <t>031-822-0000</t>
  </si>
  <si>
    <t>천안 교육장</t>
  </si>
  <si>
    <t>김미려</t>
  </si>
  <si>
    <t>02-111-2225</t>
  </si>
  <si>
    <t>010-111-1234</t>
  </si>
  <si>
    <t>ddd@gilbut.co.kr</t>
  </si>
  <si>
    <t>2014-005</t>
  </si>
  <si>
    <t>WIN-01</t>
  </si>
  <si>
    <t>윈도우 8.1 기능 완전 정복</t>
    <phoneticPr fontId="1" type="noConversion"/>
  </si>
  <si>
    <t>강사교육요청</t>
  </si>
  <si>
    <t>문제요청</t>
  </si>
  <si>
    <t>2014-005</t>
    <phoneticPr fontId="1" type="noConversion"/>
  </si>
  <si>
    <t>알트스프링</t>
    <phoneticPr fontId="1" type="noConversion"/>
  </si>
  <si>
    <t>이동숙</t>
    <phoneticPr fontId="1" type="noConversion"/>
  </si>
  <si>
    <t>02-1234-0000</t>
    <phoneticPr fontId="1" type="noConversion"/>
  </si>
  <si>
    <t>peapx@nver.com</t>
    <phoneticPr fontId="1" type="noConversion"/>
  </si>
  <si>
    <t>직배</t>
    <phoneticPr fontId="1" type="noConversion"/>
  </si>
  <si>
    <t>김미려</t>
    <phoneticPr fontId="1" type="noConversion"/>
  </si>
  <si>
    <t>02-111-2225</t>
    <phoneticPr fontId="1" type="noConversion"/>
  </si>
  <si>
    <t>010-111-1234</t>
    <phoneticPr fontId="1" type="noConversion"/>
  </si>
  <si>
    <t>ddd@gilbut.co.kr</t>
    <phoneticPr fontId="1" type="noConversion"/>
  </si>
  <si>
    <t>정유진</t>
    <phoneticPr fontId="1" type="noConversion"/>
  </si>
  <si>
    <t>010-111-1111</t>
    <phoneticPr fontId="1" type="noConversion"/>
  </si>
  <si>
    <t>02-111-2222</t>
    <phoneticPr fontId="1" type="noConversion"/>
  </si>
  <si>
    <t>aaa@gilbut.co.kr</t>
    <phoneticPr fontId="1" type="noConversion"/>
  </si>
  <si>
    <t>2014-003</t>
    <phoneticPr fontId="1" type="noConversion"/>
  </si>
  <si>
    <t>한국건설경제협의회</t>
    <phoneticPr fontId="1" type="noConversion"/>
  </si>
  <si>
    <t xml:space="preserve">이종우 </t>
    <phoneticPr fontId="1" type="noConversion"/>
  </si>
  <si>
    <t>02-753-0000</t>
    <phoneticPr fontId="1" type="noConversion"/>
  </si>
  <si>
    <t>nibu@ggg.co.kr</t>
    <phoneticPr fontId="1" type="noConversion"/>
  </si>
  <si>
    <t>교육장</t>
    <phoneticPr fontId="1" type="noConversion"/>
  </si>
  <si>
    <t>**</t>
    <phoneticPr fontId="1" type="noConversion"/>
  </si>
  <si>
    <t>동서석유화학㈜</t>
  </si>
  <si>
    <t>장미가족의 내맘대로 포토샵</t>
  </si>
  <si>
    <t>2014-006</t>
  </si>
  <si>
    <t>한양건장㈜</t>
  </si>
  <si>
    <t>조운호</t>
  </si>
  <si>
    <t>서울 사무소</t>
  </si>
  <si>
    <t>정유진</t>
  </si>
  <si>
    <t>02-111-2222</t>
  </si>
  <si>
    <t>010-111-1111</t>
  </si>
  <si>
    <t>aaa@gilbut.co.kr</t>
  </si>
  <si>
    <t>2014-007</t>
    <phoneticPr fontId="1" type="noConversion"/>
  </si>
  <si>
    <t>2014-002</t>
    <phoneticPr fontId="1" type="noConversion"/>
  </si>
  <si>
    <t>홍길동</t>
    <phoneticPr fontId="1" type="noConversion"/>
  </si>
  <si>
    <t>02-111-2223</t>
    <phoneticPr fontId="1" type="noConversion"/>
  </si>
  <si>
    <t>010-111-1112</t>
    <phoneticPr fontId="1" type="noConversion"/>
  </si>
  <si>
    <t>bbb@gilbut.co.kr</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</si>
</sst>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_(* #,##0_);_(* \(#,##0\);_(* &quot;-&quot;_);_(@_)"/>
    <numFmt numFmtId="177" formatCode="0_ "/>
    <numFmt numFmtId="178" formatCode="###\-##\-#####"/>
    <numFmt numFmtId="179" formatCode="yyyy&quot;   년&quot;\ \ \ \ \ m&quot;  월&quot;\ \ \ \ \ d&quot;  일&quot;"/>
    <numFmt numFmtId="180" formatCode="&quot;원정(\&quot;#,##0&quot;)&quot;"/>
    <numFmt numFmtId="181" formatCode="\(&quot;₩&quot;#,##0\)"/>
    <numFmt numFmtId="182" formatCode=";;;"/>
    <numFmt numFmtId="183" formatCode="#,##0_ ;;"/>
    <numFmt numFmtId="184" formatCode="#,##0_ ;[Red]\-#,##0\ "/>
    <numFmt numFmtId="185" formatCode="yyyy/mm/dd\(aaa\)"/>
  </numFmts>
  <fonts count="36" x14ac:knownFonts="1">
    <font>
      <sz val="11"/>
      <color theme="1"/>
      <name val="맑은 고딕"/>
      <family val="2"/>
      <charset val="129"/>
      <scheme val="minor"/>
    </font>
    <font>
      <sz val="8"/>
      <name val="맑은 고딕"/>
      <family val="2"/>
      <charset val="129"/>
      <scheme val="minor"/>
    </font>
    <font>
      <sz val="11"/>
      <color theme="1"/>
      <name val="맑은 고딕"/>
      <family val="2"/>
      <charset val="129"/>
      <scheme val="minor"/>
    </font>
    <font>
      <sz val="9"/>
      <name val="맑은 고딕"/>
      <family val="3"/>
      <charset val="129"/>
      <scheme val="minor"/>
    </font>
    <font>
      <sz val="8"/>
      <name val="돋움"/>
      <family val="3"/>
      <charset val="129"/>
    </font>
    <font>
      <b/>
      <sz val="10"/>
      <color indexed="9"/>
      <name val="맑은 고딕"/>
      <family val="3"/>
      <charset val="129"/>
      <scheme val="minor"/>
    </font>
    <font>
      <sz val="10"/>
      <name val="맑은 고딕"/>
      <family val="3"/>
      <charset val="129"/>
      <scheme val="minor"/>
    </font>
    <font>
      <b/>
      <sz val="11"/>
      <name val="맑은 고딕"/>
      <family val="3"/>
      <charset val="129"/>
      <scheme val="minor"/>
    </font>
    <font>
      <b/>
      <sz val="9"/>
      <name val="맑은 고딕"/>
      <family val="3"/>
      <charset val="129"/>
      <scheme val="minor"/>
    </font>
    <font>
      <u/>
      <sz val="10"/>
      <name val="맑은 고딕"/>
      <family val="3"/>
      <charset val="129"/>
      <scheme val="minor"/>
    </font>
    <font>
      <b/>
      <sz val="10"/>
      <name val="맑은 고딕"/>
      <family val="3"/>
      <charset val="129"/>
      <scheme val="minor"/>
    </font>
    <font>
      <b/>
      <sz val="28"/>
      <name val="맑은 고딕"/>
      <family val="3"/>
      <charset val="129"/>
      <scheme val="minor"/>
    </font>
    <font>
      <b/>
      <sz val="12"/>
      <name val="맑은 고딕"/>
      <family val="3"/>
      <charset val="129"/>
      <scheme val="minor"/>
    </font>
    <font>
      <sz val="12"/>
      <name val="맑은 고딕"/>
      <family val="3"/>
      <charset val="129"/>
      <scheme val="minor"/>
    </font>
    <font>
      <b/>
      <sz val="10"/>
      <color indexed="62"/>
      <name val="맑은 고딕"/>
      <family val="3"/>
      <charset val="129"/>
      <scheme val="minor"/>
    </font>
    <font>
      <sz val="9"/>
      <name val="굴림"/>
      <family val="3"/>
      <charset val="129"/>
    </font>
    <font>
      <sz val="8"/>
      <name val="굴림"/>
      <family val="3"/>
      <charset val="129"/>
    </font>
    <font>
      <sz val="10"/>
      <color rgb="FFC00000"/>
      <name val="맑은 고딕"/>
      <family val="2"/>
      <charset val="129"/>
      <scheme val="minor"/>
    </font>
    <font>
      <b/>
      <sz val="9"/>
      <color theme="0"/>
      <name val="맑은 고딕"/>
      <family val="3"/>
      <charset val="129"/>
      <scheme val="minor"/>
    </font>
    <font>
      <b/>
      <sz val="10"/>
      <color theme="0"/>
      <name val="맑은 고딕"/>
      <family val="3"/>
      <charset val="129"/>
      <scheme val="minor"/>
    </font>
    <font>
      <sz val="10"/>
      <color theme="1"/>
      <name val="맑은 고딕"/>
      <family val="2"/>
      <charset val="129"/>
      <scheme val="minor"/>
    </font>
    <font>
      <sz val="10"/>
      <color theme="1"/>
      <name val="맑은 고딕"/>
      <family val="3"/>
      <charset val="129"/>
      <scheme val="minor"/>
    </font>
    <font>
      <b/>
      <sz val="12"/>
      <color theme="1"/>
      <name val="맑은 고딕"/>
      <family val="3"/>
      <charset val="129"/>
      <scheme val="minor"/>
    </font>
    <font>
      <b/>
      <sz val="9"/>
      <color rgb="FF0070C0"/>
      <name val="맑은 고딕"/>
      <family val="3"/>
      <charset val="129"/>
      <scheme val="minor"/>
    </font>
    <font>
      <u/>
      <sz val="11"/>
      <color theme="10"/>
      <name val="맑은 고딕"/>
      <family val="2"/>
      <charset val="129"/>
      <scheme val="minor"/>
    </font>
    <font>
      <b/>
      <sz val="9"/>
      <color indexed="81"/>
      <name val="Tahoma"/>
      <family val="2"/>
    </font>
    <font>
      <sz val="9"/>
      <color indexed="81"/>
      <name val="Tahoma"/>
      <family val="2"/>
    </font>
    <font>
      <sz val="9"/>
      <color indexed="81"/>
      <name val="돋움"/>
      <family val="3"/>
      <charset val="129"/>
    </font>
    <font>
      <b/>
      <sz val="10"/>
      <color indexed="10"/>
      <name val="Tahoma"/>
      <family val="2"/>
    </font>
    <font>
      <b/>
      <sz val="11"/>
      <color rgb="FFFF0000"/>
      <name val="맑은 고딕"/>
      <family val="3"/>
      <charset val="129"/>
      <scheme val="minor"/>
    </font>
    <font>
      <b/>
      <sz val="14"/>
      <color theme="1"/>
      <name val="맑은 고딕"/>
      <family val="3"/>
      <charset val="129"/>
      <scheme val="minor"/>
    </font>
    <font>
      <b/>
      <sz val="11"/>
      <color theme="1"/>
      <name val="맑은 고딕"/>
      <family val="3"/>
      <charset val="129"/>
      <scheme val="minor"/>
    </font>
    <font>
      <b/>
      <sz val="10"/>
      <color theme="1"/>
      <name val="맑은 고딕"/>
      <family val="3"/>
      <charset val="129"/>
      <scheme val="minor"/>
    </font>
    <font>
      <sz val="10"/>
      <color rgb="FFFF0000"/>
      <name val="맑은 고딕"/>
      <family val="3"/>
      <charset val="129"/>
      <scheme val="minor"/>
    </font>
    <font>
      <sz val="11"/>
      <color rgb="FF0070C0"/>
      <name val="맑은 고딕"/>
      <family val="2"/>
      <charset val="129"/>
      <scheme val="minor"/>
    </font>
    <font>
      <sz val="11"/>
      <color rgb="FF0070C0"/>
      <name val="맑은 고딕"/>
      <family val="3"/>
      <charset val="129"/>
      <scheme val="minor"/>
    </font>
  </fonts>
  <fills count="14">
    <fill>
      <patternFill patternType="none"/>
    </fill>
    <fill>
      <patternFill patternType="gray125"/>
    </fill>
    <fill>
      <patternFill patternType="solid">
        <fgColor indexed="9"/>
        <bgColor indexed="64"/>
      </patternFill>
    </fill>
    <fill>
      <patternFill patternType="solid">
        <fgColor indexed="62"/>
        <bgColor indexed="64"/>
      </patternFill>
    </fill>
    <fill>
      <patternFill patternType="solid">
        <fgColor theme="8"/>
        <bgColor theme="8"/>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bgColor theme="5"/>
      </patternFill>
    </fill>
    <fill>
      <patternFill patternType="solid">
        <fgColor theme="0" tint="-0.499984740745262"/>
        <bgColor indexed="64"/>
      </patternFill>
    </fill>
    <fill>
      <patternFill patternType="solid">
        <fgColor theme="7"/>
        <bgColor theme="7"/>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bgColor indexed="64"/>
      </patternFill>
    </fill>
  </fills>
  <borders count="53">
    <border>
      <left/>
      <right/>
      <top/>
      <bottom/>
      <diagonal/>
    </border>
    <border>
      <left/>
      <right style="thin">
        <color indexed="9"/>
      </right>
      <top/>
      <bottom/>
      <diagonal/>
    </border>
    <border>
      <left style="thin">
        <color indexed="9"/>
      </left>
      <right style="thin">
        <color indexed="9"/>
      </right>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22"/>
      </left>
      <right style="thin">
        <color indexed="9"/>
      </right>
      <top style="medium">
        <color indexed="22"/>
      </top>
      <bottom/>
      <diagonal/>
    </border>
    <border>
      <left/>
      <right style="thin">
        <color indexed="9"/>
      </right>
      <top style="medium">
        <color indexed="22"/>
      </top>
      <bottom/>
      <diagonal/>
    </border>
    <border>
      <left style="thin">
        <color indexed="9"/>
      </left>
      <right style="thin">
        <color indexed="9"/>
      </right>
      <top style="medium">
        <color indexed="22"/>
      </top>
      <bottom/>
      <diagonal/>
    </border>
    <border>
      <left style="medium">
        <color indexed="22"/>
      </left>
      <right style="thin">
        <color indexed="9"/>
      </right>
      <top/>
      <bottom/>
      <diagonal/>
    </border>
    <border>
      <left/>
      <right style="thin">
        <color indexed="64"/>
      </right>
      <top style="medium">
        <color indexed="64"/>
      </top>
      <bottom style="thin">
        <color indexed="64"/>
      </bottom>
      <diagonal/>
    </border>
    <border>
      <left style="thin">
        <color theme="7" tint="0.39997558519241921"/>
      </left>
      <right/>
      <top style="thin">
        <color theme="7" tint="0.39997558519241921"/>
      </top>
      <bottom style="thin">
        <color theme="7" tint="0.39997558519241921"/>
      </bottom>
      <diagonal/>
    </border>
    <border>
      <left/>
      <right/>
      <top style="thin">
        <color theme="7" tint="0.39997558519241921"/>
      </top>
      <bottom style="thin">
        <color theme="7" tint="0.39997558519241921"/>
      </bottom>
      <diagonal/>
    </border>
    <border>
      <left/>
      <right/>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4">
    <xf numFmtId="0" fontId="0" fillId="0" borderId="0">
      <alignment vertical="center"/>
    </xf>
    <xf numFmtId="176" fontId="2" fillId="0" borderId="0" applyFont="0" applyFill="0" applyBorder="0" applyAlignment="0" applyProtection="0">
      <alignment vertical="center"/>
    </xf>
    <xf numFmtId="0" fontId="24" fillId="0" borderId="0" applyNumberFormat="0" applyFill="0" applyBorder="0" applyAlignment="0" applyProtection="0">
      <alignment vertical="center"/>
    </xf>
    <xf numFmtId="0" fontId="20" fillId="0" borderId="0">
      <alignment vertical="center"/>
    </xf>
  </cellStyleXfs>
  <cellXfs count="223">
    <xf numFmtId="0" fontId="0" fillId="0" borderId="0" xfId="0">
      <alignment vertical="center"/>
    </xf>
    <xf numFmtId="0" fontId="6" fillId="0" borderId="0" xfId="0" applyFont="1" applyFill="1" applyAlignment="1" applyProtection="1">
      <alignment vertical="center"/>
    </xf>
    <xf numFmtId="0" fontId="3" fillId="0" borderId="0" xfId="0" applyFont="1">
      <alignment vertical="center"/>
    </xf>
    <xf numFmtId="0" fontId="3" fillId="0" borderId="0" xfId="0" applyFont="1" applyBorder="1">
      <alignment vertical="center"/>
    </xf>
    <xf numFmtId="0" fontId="3" fillId="0" borderId="0" xfId="0" applyFont="1" applyBorder="1" applyAlignment="1">
      <alignment horizontal="center" vertical="center"/>
    </xf>
    <xf numFmtId="0" fontId="3" fillId="0" borderId="0" xfId="0" applyFont="1" applyBorder="1" applyAlignment="1">
      <alignment horizontal="center" vertical="center" wrapText="1"/>
    </xf>
    <xf numFmtId="0" fontId="3" fillId="0" borderId="0" xfId="0" applyFont="1" applyBorder="1" applyAlignment="1">
      <alignment horizontal="center" vertical="top" textRotation="255"/>
    </xf>
    <xf numFmtId="182" fontId="3" fillId="0" borderId="0" xfId="0" applyNumberFormat="1" applyFont="1">
      <alignment vertical="center"/>
    </xf>
    <xf numFmtId="0" fontId="8" fillId="0" borderId="0" xfId="0" applyFont="1" applyBorder="1">
      <alignment vertical="center"/>
    </xf>
    <xf numFmtId="14" fontId="3" fillId="0" borderId="0" xfId="0" applyNumberFormat="1" applyFont="1" applyBorder="1">
      <alignment vertical="center"/>
    </xf>
    <xf numFmtId="0" fontId="6" fillId="0" borderId="0" xfId="0" applyFont="1" applyAlignment="1">
      <alignment vertical="center"/>
    </xf>
    <xf numFmtId="0" fontId="14" fillId="0" borderId="0" xfId="0" applyFont="1" applyFill="1" applyAlignment="1">
      <alignment vertical="center"/>
    </xf>
    <xf numFmtId="14" fontId="6" fillId="0" borderId="0" xfId="0" applyNumberFormat="1" applyFont="1" applyAlignment="1">
      <alignment vertical="center"/>
    </xf>
    <xf numFmtId="176" fontId="6" fillId="0" borderId="0" xfId="1" applyFont="1" applyAlignment="1">
      <alignment vertical="center"/>
    </xf>
    <xf numFmtId="0" fontId="6" fillId="0" borderId="0" xfId="0" applyFont="1">
      <alignment vertical="center"/>
    </xf>
    <xf numFmtId="0" fontId="6" fillId="0" borderId="0" xfId="0" quotePrefix="1" applyFont="1" applyAlignment="1">
      <alignment vertical="center"/>
    </xf>
    <xf numFmtId="0" fontId="6" fillId="2" borderId="0" xfId="0" applyFont="1" applyFill="1" applyAlignment="1" applyProtection="1">
      <alignment vertical="center"/>
    </xf>
    <xf numFmtId="0" fontId="6" fillId="2" borderId="0" xfId="0" applyNumberFormat="1" applyFont="1" applyFill="1" applyAlignment="1" applyProtection="1">
      <alignment vertical="center"/>
    </xf>
    <xf numFmtId="14" fontId="6" fillId="2" borderId="0" xfId="0" applyNumberFormat="1" applyFont="1" applyFill="1" applyAlignment="1" applyProtection="1">
      <alignment vertical="center" wrapText="1"/>
    </xf>
    <xf numFmtId="0" fontId="6" fillId="2" borderId="0" xfId="0" applyFont="1" applyFill="1" applyAlignment="1" applyProtection="1">
      <alignment vertical="center" wrapText="1"/>
    </xf>
    <xf numFmtId="14" fontId="6" fillId="2" borderId="0" xfId="0" applyNumberFormat="1" applyFont="1" applyFill="1" applyAlignment="1" applyProtection="1">
      <alignment vertical="center"/>
    </xf>
    <xf numFmtId="49" fontId="6" fillId="2" borderId="0" xfId="0" applyNumberFormat="1" applyFont="1" applyFill="1" applyAlignment="1" applyProtection="1">
      <alignment vertical="center"/>
    </xf>
    <xf numFmtId="176" fontId="6" fillId="2" borderId="0" xfId="1" applyFont="1" applyFill="1" applyAlignment="1" applyProtection="1">
      <alignment vertical="center"/>
    </xf>
    <xf numFmtId="14" fontId="6" fillId="0" borderId="0" xfId="0" applyNumberFormat="1" applyFont="1">
      <alignment vertical="center"/>
    </xf>
    <xf numFmtId="176" fontId="6" fillId="0" borderId="0" xfId="1" applyFont="1">
      <alignment vertical="center"/>
    </xf>
    <xf numFmtId="0" fontId="14" fillId="0" borderId="0" xfId="0" applyFont="1" applyFill="1">
      <alignment vertical="center"/>
    </xf>
    <xf numFmtId="0" fontId="6" fillId="0" borderId="0" xfId="0" quotePrefix="1" applyFont="1">
      <alignment vertical="center"/>
    </xf>
    <xf numFmtId="0" fontId="6" fillId="0" borderId="0" xfId="0" applyFont="1" applyFill="1">
      <alignment vertical="center"/>
    </xf>
    <xf numFmtId="176" fontId="6" fillId="0" borderId="0" xfId="1" applyFont="1" applyFill="1">
      <alignment vertical="center"/>
    </xf>
    <xf numFmtId="0" fontId="6" fillId="0" borderId="0" xfId="0" applyFont="1" applyAlignment="1" applyProtection="1">
      <alignment vertical="center"/>
    </xf>
    <xf numFmtId="184" fontId="6" fillId="0" borderId="0" xfId="0" applyNumberFormat="1" applyFont="1" applyAlignment="1" applyProtection="1">
      <alignment vertical="center"/>
    </xf>
    <xf numFmtId="176" fontId="6" fillId="0" borderId="0" xfId="1" applyFont="1" applyAlignment="1" applyProtection="1">
      <alignment vertical="center"/>
    </xf>
    <xf numFmtId="0" fontId="6" fillId="0" borderId="0" xfId="0" applyFont="1" applyFill="1" applyAlignment="1">
      <alignment horizontal="distributed"/>
    </xf>
    <xf numFmtId="0" fontId="6" fillId="0" borderId="0" xfId="0" applyNumberFormat="1" applyFont="1" applyFill="1" applyAlignment="1" applyProtection="1">
      <alignment vertical="center"/>
    </xf>
    <xf numFmtId="14" fontId="6" fillId="0" borderId="0" xfId="0" applyNumberFormat="1" applyFont="1" applyFill="1" applyAlignment="1" applyProtection="1">
      <alignment vertical="center" wrapText="1"/>
    </xf>
    <xf numFmtId="0" fontId="6" fillId="0" borderId="0" xfId="0" applyFont="1" applyFill="1" applyAlignment="1" applyProtection="1">
      <alignment vertical="center" wrapText="1"/>
    </xf>
    <xf numFmtId="14" fontId="6" fillId="0" borderId="0" xfId="0" applyNumberFormat="1" applyFont="1" applyFill="1" applyAlignment="1" applyProtection="1">
      <alignment vertical="center"/>
    </xf>
    <xf numFmtId="178" fontId="6" fillId="0" borderId="0" xfId="0" applyNumberFormat="1" applyFont="1" applyFill="1" applyAlignment="1" applyProtection="1">
      <alignment vertical="center"/>
    </xf>
    <xf numFmtId="49" fontId="6" fillId="0" borderId="0" xfId="0" applyNumberFormat="1" applyFont="1" applyFill="1" applyAlignment="1" applyProtection="1">
      <alignment vertical="center"/>
    </xf>
    <xf numFmtId="0" fontId="3" fillId="0" borderId="0" xfId="0" applyNumberFormat="1" applyFont="1" applyBorder="1" applyAlignment="1">
      <alignment horizontal="center" vertical="center"/>
    </xf>
    <xf numFmtId="0" fontId="3" fillId="0" borderId="0" xfId="0" applyFont="1" applyBorder="1" applyAlignment="1">
      <alignment horizontal="center" vertical="center"/>
    </xf>
    <xf numFmtId="0" fontId="17" fillId="0" borderId="0" xfId="0" applyFont="1">
      <alignment vertical="center"/>
    </xf>
    <xf numFmtId="0" fontId="6" fillId="5" borderId="0" xfId="0" applyFont="1" applyFill="1">
      <alignment vertical="center"/>
    </xf>
    <xf numFmtId="0" fontId="6" fillId="0" borderId="0" xfId="0" applyFont="1" applyFill="1" applyAlignment="1">
      <alignment horizontal="center" vertical="center"/>
    </xf>
    <xf numFmtId="0" fontId="6" fillId="0" borderId="0" xfId="0" applyFont="1" applyFill="1" applyBorder="1" applyAlignment="1" applyProtection="1">
      <alignment vertical="center"/>
    </xf>
    <xf numFmtId="0" fontId="6" fillId="0" borderId="0" xfId="0" applyFont="1" applyFill="1" applyBorder="1" applyAlignment="1" applyProtection="1">
      <alignment horizontal="center" vertical="center"/>
    </xf>
    <xf numFmtId="177" fontId="6" fillId="0" borderId="0" xfId="0" applyNumberFormat="1" applyFont="1" applyFill="1" applyBorder="1" applyAlignment="1" applyProtection="1">
      <alignment horizontal="center" vertical="center"/>
    </xf>
    <xf numFmtId="177" fontId="6" fillId="0" borderId="0" xfId="0" applyNumberFormat="1" applyFont="1" applyFill="1" applyBorder="1" applyAlignment="1" applyProtection="1">
      <alignment vertical="center"/>
    </xf>
    <xf numFmtId="0" fontId="10" fillId="0" borderId="0" xfId="0" applyFont="1" applyFill="1" applyBorder="1" applyAlignment="1" applyProtection="1">
      <alignment horizontal="center" vertical="center"/>
    </xf>
    <xf numFmtId="14" fontId="6" fillId="0" borderId="0" xfId="0" applyNumberFormat="1" applyFont="1" applyFill="1" applyAlignment="1">
      <alignment horizontal="center" vertical="center"/>
    </xf>
    <xf numFmtId="176" fontId="6" fillId="5" borderId="0" xfId="1" applyFont="1" applyFill="1">
      <alignment vertical="center"/>
    </xf>
    <xf numFmtId="0" fontId="5" fillId="0" borderId="2" xfId="0" applyFont="1" applyFill="1" applyBorder="1" applyAlignment="1" applyProtection="1">
      <alignment horizontal="left" vertical="center"/>
    </xf>
    <xf numFmtId="0" fontId="10" fillId="0" borderId="0" xfId="0" applyFont="1" applyFill="1" applyBorder="1" applyAlignment="1">
      <alignment horizontal="center" vertical="center"/>
    </xf>
    <xf numFmtId="0" fontId="6" fillId="0" borderId="0" xfId="0" applyFont="1" applyFill="1" applyBorder="1" applyAlignment="1">
      <alignment vertical="center"/>
    </xf>
    <xf numFmtId="0" fontId="6" fillId="0" borderId="0" xfId="0" applyFont="1" applyFill="1" applyBorder="1" applyAlignment="1">
      <alignment horizontal="center" vertical="center"/>
    </xf>
    <xf numFmtId="177" fontId="6" fillId="0" borderId="0" xfId="0" applyNumberFormat="1" applyFont="1" applyFill="1" applyBorder="1" applyAlignment="1">
      <alignment horizontal="center" vertical="center"/>
    </xf>
    <xf numFmtId="0" fontId="10" fillId="0" borderId="0" xfId="0" applyFont="1" applyFill="1" applyBorder="1" applyAlignment="1" applyProtection="1">
      <alignment horizontal="left" vertical="center"/>
    </xf>
    <xf numFmtId="0" fontId="6" fillId="0" borderId="0" xfId="0" applyFont="1" applyFill="1" applyBorder="1" applyAlignment="1" applyProtection="1">
      <alignment horizontal="center" vertical="center"/>
      <protection locked="0"/>
    </xf>
    <xf numFmtId="0" fontId="6" fillId="0" borderId="0" xfId="0" applyFont="1" applyFill="1" applyBorder="1" applyAlignment="1" applyProtection="1">
      <alignment vertical="center"/>
      <protection locked="0"/>
    </xf>
    <xf numFmtId="176" fontId="6" fillId="0" borderId="0" xfId="1" applyFont="1" applyFill="1" applyBorder="1" applyAlignment="1" applyProtection="1">
      <alignment vertical="center"/>
      <protection locked="0"/>
    </xf>
    <xf numFmtId="0" fontId="10" fillId="0" borderId="0" xfId="0" applyFont="1" applyFill="1" applyBorder="1" applyAlignment="1" applyProtection="1">
      <alignment horizontal="left" vertical="center" wrapText="1"/>
    </xf>
    <xf numFmtId="49" fontId="10" fillId="0" borderId="0" xfId="0" applyNumberFormat="1" applyFont="1" applyFill="1" applyBorder="1" applyAlignment="1" applyProtection="1">
      <alignment horizontal="left" vertical="center" wrapText="1"/>
    </xf>
    <xf numFmtId="14" fontId="10" fillId="0" borderId="0" xfId="0" applyNumberFormat="1" applyFont="1" applyFill="1" applyBorder="1" applyAlignment="1" applyProtection="1">
      <alignment horizontal="left" vertical="center" wrapText="1"/>
    </xf>
    <xf numFmtId="178" fontId="10" fillId="0" borderId="0" xfId="0" applyNumberFormat="1" applyFont="1" applyFill="1" applyBorder="1" applyAlignment="1" applyProtection="1">
      <alignment horizontal="left" vertical="center" wrapText="1"/>
    </xf>
    <xf numFmtId="0" fontId="5" fillId="0" borderId="28" xfId="0" applyFont="1" applyFill="1" applyBorder="1" applyAlignment="1" applyProtection="1">
      <alignment horizontal="left" vertical="center" wrapText="1"/>
    </xf>
    <xf numFmtId="49" fontId="5" fillId="0" borderId="1" xfId="0" applyNumberFormat="1" applyFont="1" applyFill="1" applyBorder="1" applyAlignment="1" applyProtection="1">
      <alignment horizontal="left" vertical="center" wrapText="1"/>
    </xf>
    <xf numFmtId="49" fontId="5" fillId="0" borderId="2" xfId="0" applyNumberFormat="1" applyFont="1" applyFill="1" applyBorder="1" applyAlignment="1" applyProtection="1">
      <alignment horizontal="left" vertical="center" wrapText="1"/>
    </xf>
    <xf numFmtId="14" fontId="5" fillId="0" borderId="2" xfId="0" applyNumberFormat="1" applyFont="1" applyFill="1" applyBorder="1" applyAlignment="1" applyProtection="1">
      <alignment horizontal="left" vertical="center" wrapText="1"/>
    </xf>
    <xf numFmtId="176" fontId="5" fillId="0" borderId="2" xfId="1" applyFont="1" applyFill="1" applyBorder="1" applyAlignment="1" applyProtection="1">
      <alignment horizontal="left" vertical="center" wrapText="1"/>
    </xf>
    <xf numFmtId="0" fontId="5" fillId="4" borderId="25" xfId="0" applyFont="1" applyFill="1" applyBorder="1" applyAlignment="1">
      <alignment horizontal="left" vertical="center" wrapText="1"/>
    </xf>
    <xf numFmtId="49" fontId="5" fillId="4" borderId="26" xfId="0" applyNumberFormat="1" applyFont="1" applyFill="1" applyBorder="1" applyAlignment="1">
      <alignment horizontal="left" vertical="center" wrapText="1"/>
    </xf>
    <xf numFmtId="49" fontId="5" fillId="4" borderId="27" xfId="0" applyNumberFormat="1" applyFont="1" applyFill="1" applyBorder="1" applyAlignment="1">
      <alignment horizontal="left" vertical="center" wrapText="1"/>
    </xf>
    <xf numFmtId="14" fontId="5" fillId="4" borderId="27" xfId="0" applyNumberFormat="1" applyFont="1" applyFill="1" applyBorder="1" applyAlignment="1">
      <alignment horizontal="left" vertical="center" wrapText="1"/>
    </xf>
    <xf numFmtId="176" fontId="5" fillId="4" borderId="27" xfId="1" applyNumberFormat="1" applyFont="1" applyFill="1" applyBorder="1" applyAlignment="1">
      <alignment horizontal="left" vertical="center" wrapText="1"/>
    </xf>
    <xf numFmtId="49" fontId="5" fillId="3" borderId="7" xfId="0" applyNumberFormat="1" applyFont="1" applyFill="1" applyBorder="1" applyAlignment="1">
      <alignment horizontal="center" vertical="center" wrapText="1"/>
    </xf>
    <xf numFmtId="0" fontId="0" fillId="0" borderId="7" xfId="0" applyBorder="1">
      <alignment vertical="center"/>
    </xf>
    <xf numFmtId="49" fontId="5" fillId="4" borderId="7" xfId="0" applyNumberFormat="1" applyFont="1" applyFill="1" applyBorder="1" applyAlignment="1">
      <alignment horizontal="center" vertical="center" wrapText="1"/>
    </xf>
    <xf numFmtId="0" fontId="0" fillId="0" borderId="7" xfId="0" applyBorder="1" applyAlignment="1">
      <alignment horizontal="center" vertical="center"/>
    </xf>
    <xf numFmtId="0" fontId="5" fillId="7" borderId="7" xfId="0" applyFont="1" applyFill="1" applyBorder="1" applyAlignment="1">
      <alignment horizontal="center" vertical="center" wrapText="1"/>
    </xf>
    <xf numFmtId="49" fontId="5" fillId="0" borderId="2" xfId="0" applyNumberFormat="1" applyFont="1" applyFill="1" applyBorder="1" applyAlignment="1" applyProtection="1">
      <alignment horizontal="left" vertical="center"/>
    </xf>
    <xf numFmtId="176" fontId="5" fillId="0" borderId="2" xfId="1" applyFont="1" applyFill="1" applyBorder="1" applyAlignment="1" applyProtection="1">
      <alignment horizontal="left" vertical="center"/>
    </xf>
    <xf numFmtId="49" fontId="5" fillId="7" borderId="27" xfId="0" applyNumberFormat="1" applyFont="1" applyFill="1" applyBorder="1" applyAlignment="1">
      <alignment vertical="center"/>
    </xf>
    <xf numFmtId="0" fontId="5" fillId="7" borderId="27" xfId="0" applyFont="1" applyFill="1" applyBorder="1" applyAlignment="1">
      <alignment vertical="center"/>
    </xf>
    <xf numFmtId="176" fontId="5" fillId="7" borderId="27" xfId="1" applyNumberFormat="1" applyFont="1" applyFill="1" applyBorder="1" applyAlignment="1">
      <alignment vertical="center"/>
    </xf>
    <xf numFmtId="0" fontId="3" fillId="0" borderId="0" xfId="0" applyNumberFormat="1" applyFont="1">
      <alignment vertical="center"/>
    </xf>
    <xf numFmtId="0" fontId="18" fillId="8" borderId="7" xfId="0" applyNumberFormat="1" applyFont="1" applyFill="1" applyBorder="1" applyAlignment="1">
      <alignment horizontal="center" vertical="center"/>
    </xf>
    <xf numFmtId="0" fontId="3" fillId="0" borderId="7" xfId="0" applyNumberFormat="1" applyFont="1" applyBorder="1" applyAlignment="1">
      <alignment horizontal="center" vertical="center"/>
    </xf>
    <xf numFmtId="0" fontId="3" fillId="0" borderId="0" xfId="0" applyFont="1" applyBorder="1" applyAlignment="1">
      <alignment horizontal="center" vertical="center"/>
    </xf>
    <xf numFmtId="0" fontId="10" fillId="9" borderId="30" xfId="0" applyFont="1" applyFill="1" applyBorder="1" applyAlignment="1">
      <alignment horizontal="left" vertical="center" wrapText="1"/>
    </xf>
    <xf numFmtId="49" fontId="10" fillId="9" borderId="31" xfId="0" applyNumberFormat="1" applyFont="1" applyFill="1" applyBorder="1" applyAlignment="1">
      <alignment horizontal="left" vertical="center" wrapText="1"/>
    </xf>
    <xf numFmtId="14" fontId="10" fillId="9" borderId="31" xfId="0" applyNumberFormat="1" applyFont="1" applyFill="1" applyBorder="1" applyAlignment="1">
      <alignment horizontal="left" vertical="center" wrapText="1"/>
    </xf>
    <xf numFmtId="178" fontId="10" fillId="9" borderId="31" xfId="0" applyNumberFormat="1" applyFont="1" applyFill="1" applyBorder="1" applyAlignment="1">
      <alignment horizontal="left" vertical="center" wrapText="1"/>
    </xf>
    <xf numFmtId="177" fontId="6" fillId="0" borderId="0" xfId="0" applyNumberFormat="1" applyFont="1" applyFill="1" applyBorder="1" applyAlignment="1">
      <alignment vertical="center"/>
    </xf>
    <xf numFmtId="0" fontId="10" fillId="6" borderId="3" xfId="0" applyFont="1" applyFill="1" applyBorder="1" applyAlignment="1">
      <alignment horizontal="distributed" vertical="center" indent="1"/>
    </xf>
    <xf numFmtId="0" fontId="7" fillId="0" borderId="0" xfId="0" applyNumberFormat="1" applyFont="1" applyBorder="1" applyAlignment="1">
      <alignment vertical="center"/>
    </xf>
    <xf numFmtId="0" fontId="10" fillId="6" borderId="15" xfId="0" applyFont="1" applyFill="1" applyBorder="1" applyAlignment="1">
      <alignment horizontal="center" vertical="center"/>
    </xf>
    <xf numFmtId="0" fontId="20" fillId="0" borderId="0" xfId="0" applyFont="1">
      <alignment vertical="center"/>
    </xf>
    <xf numFmtId="0" fontId="21" fillId="0" borderId="0" xfId="0" applyFont="1" applyBorder="1">
      <alignment vertical="center"/>
    </xf>
    <xf numFmtId="0" fontId="20" fillId="0" borderId="0" xfId="0" applyFont="1" applyAlignment="1">
      <alignment horizontal="left" vertical="center"/>
    </xf>
    <xf numFmtId="0" fontId="10" fillId="6" borderId="11" xfId="0" applyFont="1" applyFill="1" applyBorder="1" applyAlignment="1">
      <alignment horizontal="center" vertical="center"/>
    </xf>
    <xf numFmtId="0" fontId="6" fillId="0" borderId="0" xfId="0" applyNumberFormat="1" applyFont="1" applyFill="1" applyAlignment="1">
      <alignment horizontal="center" vertical="center"/>
    </xf>
    <xf numFmtId="183" fontId="3" fillId="10" borderId="7" xfId="0" applyNumberFormat="1" applyFont="1" applyFill="1" applyBorder="1" applyAlignment="1" applyProtection="1">
      <alignment horizontal="center" vertical="center"/>
      <protection locked="0"/>
    </xf>
    <xf numFmtId="0" fontId="3" fillId="10" borderId="10" xfId="0" applyFont="1" applyFill="1" applyBorder="1" applyAlignment="1" applyProtection="1">
      <alignment horizontal="center" vertical="center"/>
      <protection locked="0"/>
    </xf>
    <xf numFmtId="3" fontId="3" fillId="0" borderId="6" xfId="0" applyNumberFormat="1" applyFont="1" applyFill="1" applyBorder="1" applyAlignment="1">
      <alignment horizontal="center" vertical="center"/>
    </xf>
    <xf numFmtId="3" fontId="3" fillId="0" borderId="7" xfId="0" applyNumberFormat="1" applyFont="1" applyFill="1" applyBorder="1" applyAlignment="1">
      <alignment horizontal="right" vertical="center"/>
    </xf>
    <xf numFmtId="0" fontId="10" fillId="11" borderId="0" xfId="0" applyFont="1" applyFill="1" applyBorder="1" applyAlignment="1" applyProtection="1">
      <alignment horizont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0" fontId="3" fillId="0" borderId="0" xfId="0" applyFont="1" applyBorder="1" applyAlignment="1">
      <alignment horizontal="center" vertical="center"/>
    </xf>
    <xf numFmtId="0" fontId="20" fillId="5" borderId="0" xfId="3" applyFill="1">
      <alignment vertical="center"/>
    </xf>
    <xf numFmtId="0" fontId="29" fillId="0" borderId="0" xfId="3" applyFont="1">
      <alignment vertical="center"/>
    </xf>
    <xf numFmtId="0" fontId="20" fillId="0" borderId="0" xfId="3">
      <alignment vertical="center"/>
    </xf>
    <xf numFmtId="0" fontId="30" fillId="0" borderId="0" xfId="3" applyFont="1">
      <alignment vertical="center"/>
    </xf>
    <xf numFmtId="0" fontId="31" fillId="0" borderId="0" xfId="3" applyFont="1">
      <alignment vertical="center"/>
    </xf>
    <xf numFmtId="49" fontId="20" fillId="0" borderId="0" xfId="3" applyNumberFormat="1">
      <alignment vertical="center"/>
    </xf>
    <xf numFmtId="49" fontId="20" fillId="0" borderId="0" xfId="3" quotePrefix="1" applyNumberFormat="1">
      <alignment vertical="center"/>
    </xf>
    <xf numFmtId="49" fontId="31" fillId="0" borderId="0" xfId="3" applyNumberFormat="1" applyFont="1">
      <alignment vertical="center"/>
    </xf>
    <xf numFmtId="49" fontId="20" fillId="0" borderId="0" xfId="3" applyNumberFormat="1" applyAlignment="1">
      <alignment horizontal="left" vertical="center" indent="1"/>
    </xf>
    <xf numFmtId="3" fontId="3" fillId="0" borderId="11" xfId="0" applyNumberFormat="1" applyFont="1" applyFill="1" applyBorder="1" applyAlignment="1">
      <alignment horizontal="center" vertical="center"/>
    </xf>
    <xf numFmtId="183" fontId="3" fillId="10" borderId="12" xfId="0" applyNumberFormat="1" applyFont="1" applyFill="1" applyBorder="1" applyAlignment="1" applyProtection="1">
      <alignment horizontal="center" vertical="center"/>
      <protection locked="0"/>
    </xf>
    <xf numFmtId="3" fontId="3" fillId="0" borderId="12" xfId="0" applyNumberFormat="1" applyFont="1" applyFill="1" applyBorder="1" applyAlignment="1">
      <alignment horizontal="right" vertical="center"/>
    </xf>
    <xf numFmtId="0" fontId="3" fillId="10" borderId="13" xfId="0" applyFont="1" applyFill="1" applyBorder="1" applyAlignment="1" applyProtection="1">
      <alignment horizontal="center" vertical="center"/>
      <protection locked="0"/>
    </xf>
    <xf numFmtId="0" fontId="19" fillId="8" borderId="50" xfId="0" applyNumberFormat="1" applyFont="1" applyFill="1" applyBorder="1" applyAlignment="1">
      <alignment horizontal="center" vertical="center"/>
    </xf>
    <xf numFmtId="0" fontId="3" fillId="10" borderId="51" xfId="0" applyNumberFormat="1" applyFont="1" applyFill="1" applyBorder="1" applyProtection="1">
      <alignment vertical="center"/>
      <protection locked="0"/>
    </xf>
    <xf numFmtId="0" fontId="3" fillId="10" borderId="52" xfId="0" applyNumberFormat="1" applyFont="1" applyFill="1" applyBorder="1" applyProtection="1">
      <alignment vertical="center"/>
      <protection locked="0"/>
    </xf>
    <xf numFmtId="0" fontId="0" fillId="0" borderId="0" xfId="0" quotePrefix="1">
      <alignment vertical="center"/>
    </xf>
    <xf numFmtId="0" fontId="0" fillId="13" borderId="7" xfId="0" applyFill="1" applyBorder="1" applyAlignment="1">
      <alignment horizontal="left" vertical="center" wrapText="1"/>
    </xf>
    <xf numFmtId="0" fontId="35" fillId="0" borderId="7" xfId="0" applyFont="1" applyBorder="1" applyAlignment="1">
      <alignment horizontal="left" vertical="center" wrapText="1"/>
    </xf>
    <xf numFmtId="0" fontId="0" fillId="0" borderId="43" xfId="0" applyBorder="1" applyAlignment="1">
      <alignment horizontal="center" vertical="center" wrapText="1"/>
    </xf>
    <xf numFmtId="0" fontId="0" fillId="0" borderId="44" xfId="0" applyBorder="1" applyAlignment="1">
      <alignment horizontal="center" vertical="center" wrapText="1"/>
    </xf>
    <xf numFmtId="0" fontId="0" fillId="0" borderId="45" xfId="0" applyBorder="1" applyAlignment="1">
      <alignment horizontal="center" vertical="center" wrapText="1"/>
    </xf>
    <xf numFmtId="0" fontId="0" fillId="0" borderId="42" xfId="0" applyBorder="1" applyAlignment="1">
      <alignment horizontal="center" vertical="center" wrapText="1"/>
    </xf>
    <xf numFmtId="0" fontId="0" fillId="0" borderId="0"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32" xfId="0" applyBorder="1" applyAlignment="1">
      <alignment horizontal="center" vertical="center" wrapText="1"/>
    </xf>
    <xf numFmtId="0" fontId="0" fillId="0" borderId="48" xfId="0" applyBorder="1" applyAlignment="1">
      <alignment horizontal="center" vertical="center" wrapText="1"/>
    </xf>
    <xf numFmtId="0" fontId="0" fillId="13" borderId="8" xfId="0" applyFill="1" applyBorder="1" applyAlignment="1">
      <alignment vertical="center"/>
    </xf>
    <xf numFmtId="0" fontId="0" fillId="13" borderId="9" xfId="0" applyFill="1" applyBorder="1" applyAlignment="1">
      <alignment vertical="center"/>
    </xf>
    <xf numFmtId="0" fontId="0" fillId="13" borderId="23" xfId="0" applyFill="1" applyBorder="1" applyAlignment="1">
      <alignment vertical="center"/>
    </xf>
    <xf numFmtId="49" fontId="32" fillId="11" borderId="7" xfId="3" applyNumberFormat="1" applyFont="1" applyFill="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0" fontId="0" fillId="0" borderId="23" xfId="0" applyBorder="1" applyAlignment="1">
      <alignment vertical="center"/>
    </xf>
    <xf numFmtId="0" fontId="35" fillId="0" borderId="8" xfId="0" applyFont="1" applyBorder="1" applyAlignment="1">
      <alignment vertical="center"/>
    </xf>
    <xf numFmtId="0" fontId="35" fillId="0" borderId="9" xfId="0" applyFont="1" applyBorder="1" applyAlignment="1">
      <alignment vertical="center"/>
    </xf>
    <xf numFmtId="0" fontId="35" fillId="0" borderId="23" xfId="0" applyFont="1" applyBorder="1" applyAlignment="1">
      <alignment vertical="center"/>
    </xf>
    <xf numFmtId="49" fontId="32" fillId="11" borderId="8" xfId="3" applyNumberFormat="1" applyFont="1" applyFill="1" applyBorder="1" applyAlignment="1">
      <alignment horizontal="center" vertical="center"/>
    </xf>
    <xf numFmtId="49" fontId="32" fillId="11" borderId="9" xfId="3" applyNumberFormat="1" applyFont="1" applyFill="1" applyBorder="1" applyAlignment="1">
      <alignment horizontal="center" vertical="center"/>
    </xf>
    <xf numFmtId="49" fontId="32" fillId="11" borderId="23" xfId="3" applyNumberFormat="1" applyFont="1" applyFill="1" applyBorder="1" applyAlignment="1">
      <alignment horizontal="center" vertical="center"/>
    </xf>
    <xf numFmtId="0" fontId="31" fillId="13" borderId="7" xfId="0" applyFont="1" applyFill="1" applyBorder="1">
      <alignment vertical="center"/>
    </xf>
    <xf numFmtId="0" fontId="0" fillId="0" borderId="7" xfId="0" applyBorder="1">
      <alignment vertical="center"/>
    </xf>
    <xf numFmtId="0" fontId="34" fillId="0" borderId="7" xfId="0" applyFont="1" applyBorder="1">
      <alignment vertical="center"/>
    </xf>
    <xf numFmtId="49" fontId="20" fillId="0" borderId="7" xfId="3" quotePrefix="1" applyNumberFormat="1" applyBorder="1" applyAlignment="1">
      <alignment horizontal="left" vertical="top" wrapText="1"/>
    </xf>
    <xf numFmtId="49" fontId="20" fillId="0" borderId="7" xfId="3" applyNumberFormat="1" applyBorder="1" applyAlignment="1">
      <alignment horizontal="left" vertical="top" wrapText="1"/>
    </xf>
    <xf numFmtId="49" fontId="20" fillId="0" borderId="7" xfId="3" quotePrefix="1" applyNumberFormat="1" applyBorder="1">
      <alignment vertical="center"/>
    </xf>
    <xf numFmtId="49" fontId="20" fillId="0" borderId="7" xfId="3" applyNumberFormat="1" applyBorder="1">
      <alignment vertical="center"/>
    </xf>
    <xf numFmtId="49" fontId="32" fillId="11" borderId="7" xfId="3" applyNumberFormat="1" applyFont="1" applyFill="1" applyBorder="1">
      <alignment vertical="center"/>
    </xf>
    <xf numFmtId="0" fontId="10" fillId="12" borderId="0" xfId="0" applyFont="1" applyFill="1" applyAlignment="1">
      <alignment horizontal="left" vertical="center"/>
    </xf>
    <xf numFmtId="0" fontId="3" fillId="0" borderId="9" xfId="0" applyNumberFormat="1" applyFont="1" applyFill="1" applyBorder="1" applyAlignment="1">
      <alignment horizontal="center" vertical="center"/>
    </xf>
    <xf numFmtId="0" fontId="3" fillId="0" borderId="23" xfId="0" applyNumberFormat="1" applyFont="1" applyFill="1" applyBorder="1" applyAlignment="1">
      <alignment horizontal="center" vertical="center"/>
    </xf>
    <xf numFmtId="3" fontId="3" fillId="0" borderId="8" xfId="0" applyNumberFormat="1" applyFont="1" applyFill="1" applyBorder="1" applyAlignment="1">
      <alignment horizontal="right" vertical="center"/>
    </xf>
    <xf numFmtId="3" fontId="3" fillId="0" borderId="23" xfId="0" applyNumberFormat="1" applyFont="1" applyFill="1" applyBorder="1" applyAlignment="1">
      <alignment horizontal="right" vertical="center"/>
    </xf>
    <xf numFmtId="0" fontId="12" fillId="0" borderId="32" xfId="0" applyNumberFormat="1" applyFont="1" applyFill="1" applyBorder="1" applyAlignment="1">
      <alignment horizontal="center" vertical="center" wrapText="1"/>
    </xf>
    <xf numFmtId="180" fontId="12" fillId="0" borderId="20" xfId="0" applyNumberFormat="1" applyFont="1" applyBorder="1" applyAlignment="1" applyProtection="1">
      <alignment horizontal="center" vertical="center" wrapText="1"/>
    </xf>
    <xf numFmtId="180" fontId="12" fillId="0" borderId="21" xfId="0" applyNumberFormat="1" applyFont="1" applyBorder="1" applyAlignment="1" applyProtection="1">
      <alignment horizontal="center" vertical="center" wrapText="1"/>
    </xf>
    <xf numFmtId="0" fontId="3" fillId="10" borderId="18" xfId="0" applyFont="1" applyFill="1" applyBorder="1" applyAlignment="1" applyProtection="1">
      <alignment horizontal="left" vertical="top" wrapText="1" indent="1"/>
      <protection locked="0"/>
    </xf>
    <xf numFmtId="0" fontId="3" fillId="10" borderId="21" xfId="0" applyFont="1" applyFill="1" applyBorder="1" applyAlignment="1" applyProtection="1">
      <alignment horizontal="left" vertical="top" wrapText="1" indent="1"/>
      <protection locked="0"/>
    </xf>
    <xf numFmtId="0" fontId="3" fillId="10" borderId="22" xfId="0" applyFont="1" applyFill="1" applyBorder="1" applyAlignment="1" applyProtection="1">
      <alignment horizontal="left" vertical="top" wrapText="1" indent="1"/>
      <protection locked="0"/>
    </xf>
    <xf numFmtId="0" fontId="6" fillId="10" borderId="7" xfId="0" applyNumberFormat="1" applyFont="1" applyFill="1" applyBorder="1" applyAlignment="1" applyProtection="1">
      <alignment horizontal="center" vertical="center"/>
      <protection locked="0"/>
    </xf>
    <xf numFmtId="0" fontId="6" fillId="10" borderId="10" xfId="0" applyNumberFormat="1" applyFont="1" applyFill="1" applyBorder="1" applyAlignment="1" applyProtection="1">
      <alignment horizontal="center" vertical="center"/>
      <protection locked="0"/>
    </xf>
    <xf numFmtId="0" fontId="10" fillId="6" borderId="38" xfId="0" applyFont="1" applyFill="1" applyBorder="1" applyAlignment="1">
      <alignment horizontal="distributed" vertical="center" indent="1"/>
    </xf>
    <xf numFmtId="0" fontId="10" fillId="6" borderId="39" xfId="0" applyFont="1" applyFill="1" applyBorder="1" applyAlignment="1">
      <alignment horizontal="distributed" vertical="center" indent="1"/>
    </xf>
    <xf numFmtId="0" fontId="24" fillId="10" borderId="40" xfId="2" applyFill="1" applyBorder="1" applyAlignment="1" applyProtection="1">
      <alignment horizontal="center" vertical="center"/>
      <protection locked="0"/>
    </xf>
    <xf numFmtId="0" fontId="0" fillId="10" borderId="40" xfId="0" applyFill="1" applyBorder="1" applyAlignment="1" applyProtection="1">
      <alignment horizontal="center" vertical="center"/>
      <protection locked="0"/>
    </xf>
    <xf numFmtId="0" fontId="0" fillId="10" borderId="41" xfId="0" applyFill="1" applyBorder="1" applyAlignment="1" applyProtection="1">
      <alignment horizontal="center" vertical="center"/>
      <protection locked="0"/>
    </xf>
    <xf numFmtId="0" fontId="3" fillId="0" borderId="49" xfId="0" applyNumberFormat="1" applyFont="1" applyFill="1" applyBorder="1" applyAlignment="1">
      <alignment horizontal="center" vertical="center"/>
    </xf>
    <xf numFmtId="0" fontId="3" fillId="0" borderId="24" xfId="0" applyNumberFormat="1" applyFont="1" applyFill="1" applyBorder="1" applyAlignment="1">
      <alignment horizontal="center" vertical="center"/>
    </xf>
    <xf numFmtId="0" fontId="10" fillId="6" borderId="11" xfId="0" applyFont="1" applyFill="1" applyBorder="1" applyAlignment="1">
      <alignment horizontal="center" vertical="center"/>
    </xf>
    <xf numFmtId="0" fontId="10" fillId="6" borderId="12" xfId="0" applyFont="1" applyFill="1" applyBorder="1" applyAlignment="1">
      <alignment horizontal="center" vertical="center"/>
    </xf>
    <xf numFmtId="0" fontId="6" fillId="10" borderId="12" xfId="0" applyNumberFormat="1" applyFont="1" applyFill="1" applyBorder="1" applyAlignment="1" applyProtection="1">
      <alignment horizontal="center" vertical="center"/>
      <protection locked="0"/>
    </xf>
    <xf numFmtId="0" fontId="6" fillId="10" borderId="13" xfId="0" applyNumberFormat="1" applyFont="1" applyFill="1" applyBorder="1" applyAlignment="1" applyProtection="1">
      <alignment horizontal="center" vertical="center"/>
      <protection locked="0"/>
    </xf>
    <xf numFmtId="185" fontId="6" fillId="10" borderId="7" xfId="0" applyNumberFormat="1" applyFont="1" applyFill="1" applyBorder="1" applyAlignment="1" applyProtection="1">
      <alignment horizontal="center" vertical="center"/>
      <protection locked="0"/>
    </xf>
    <xf numFmtId="185" fontId="6" fillId="10" borderId="10" xfId="0" applyNumberFormat="1" applyFont="1" applyFill="1" applyBorder="1" applyAlignment="1" applyProtection="1">
      <alignment horizontal="center" vertical="center"/>
      <protection locked="0"/>
    </xf>
    <xf numFmtId="0" fontId="10" fillId="6" borderId="6" xfId="0" applyFont="1" applyFill="1" applyBorder="1" applyAlignment="1">
      <alignment horizontal="center" vertical="center"/>
    </xf>
    <xf numFmtId="0" fontId="10" fillId="6" borderId="7" xfId="0" applyFont="1" applyFill="1" applyBorder="1" applyAlignment="1">
      <alignment horizontal="center" vertical="center"/>
    </xf>
    <xf numFmtId="0" fontId="21" fillId="0" borderId="0" xfId="0" applyFont="1" applyAlignment="1">
      <alignment horizontal="left" vertical="center"/>
    </xf>
    <xf numFmtId="0" fontId="21" fillId="0" borderId="0" xfId="0" applyFont="1" applyBorder="1" applyAlignment="1">
      <alignment horizontal="left" vertical="center"/>
    </xf>
    <xf numFmtId="0" fontId="10" fillId="6" borderId="33" xfId="0" applyFont="1" applyFill="1" applyBorder="1" applyAlignment="1">
      <alignment horizontal="distributed" vertical="center" indent="1"/>
    </xf>
    <xf numFmtId="0" fontId="10" fillId="6" borderId="24" xfId="0" applyFont="1" applyFill="1" applyBorder="1" applyAlignment="1">
      <alignment horizontal="distributed" vertical="center" indent="1"/>
    </xf>
    <xf numFmtId="0" fontId="6" fillId="10" borderId="8" xfId="0" applyNumberFormat="1" applyFont="1" applyFill="1" applyBorder="1" applyAlignment="1" applyProtection="1">
      <alignment horizontal="center" vertical="top"/>
      <protection locked="0"/>
    </xf>
    <xf numFmtId="0" fontId="6" fillId="10" borderId="37" xfId="0" applyNumberFormat="1" applyFont="1" applyFill="1" applyBorder="1" applyAlignment="1" applyProtection="1">
      <alignment horizontal="center" vertical="top"/>
      <protection locked="0"/>
    </xf>
    <xf numFmtId="0" fontId="6" fillId="10" borderId="16" xfId="0" applyNumberFormat="1" applyFont="1" applyFill="1" applyBorder="1" applyAlignment="1" applyProtection="1">
      <alignment horizontal="center" vertical="top"/>
      <protection locked="0"/>
    </xf>
    <xf numFmtId="0" fontId="6" fillId="10" borderId="17" xfId="0" applyNumberFormat="1" applyFont="1" applyFill="1" applyBorder="1" applyAlignment="1" applyProtection="1">
      <alignment horizontal="center" vertical="top"/>
      <protection locked="0"/>
    </xf>
    <xf numFmtId="0" fontId="9" fillId="0" borderId="0" xfId="0" applyFont="1" applyBorder="1" applyAlignment="1">
      <alignment horizontal="center"/>
    </xf>
    <xf numFmtId="0" fontId="11" fillId="0" borderId="0" xfId="0" applyFont="1" applyAlignment="1">
      <alignment horizontal="center"/>
    </xf>
    <xf numFmtId="0" fontId="3" fillId="0" borderId="0" xfId="0" applyFont="1" applyBorder="1" applyAlignment="1">
      <alignment horizontal="center" vertical="center"/>
    </xf>
    <xf numFmtId="0" fontId="22" fillId="0" borderId="0" xfId="0" applyFont="1" applyAlignment="1">
      <alignment horizontal="left" vertic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185" fontId="6" fillId="10" borderId="14" xfId="0" applyNumberFormat="1" applyFont="1" applyFill="1" applyBorder="1" applyAlignment="1" applyProtection="1">
      <alignment horizontal="center" vertical="center"/>
      <protection locked="0"/>
    </xf>
    <xf numFmtId="185" fontId="6" fillId="10" borderId="15" xfId="0" applyNumberFormat="1" applyFont="1" applyFill="1" applyBorder="1" applyAlignment="1" applyProtection="1">
      <alignment horizontal="center" vertical="center"/>
      <protection locked="0"/>
    </xf>
    <xf numFmtId="0" fontId="10" fillId="6" borderId="34" xfId="0" applyFont="1" applyFill="1" applyBorder="1" applyAlignment="1">
      <alignment horizontal="distributed" vertical="center" indent="1"/>
    </xf>
    <xf numFmtId="0" fontId="10" fillId="6" borderId="29" xfId="0" applyFont="1" applyFill="1" applyBorder="1" applyAlignment="1">
      <alignment horizontal="distributed" vertical="center" indent="1"/>
    </xf>
    <xf numFmtId="179" fontId="6" fillId="10" borderId="4" xfId="0" applyNumberFormat="1" applyFont="1" applyFill="1" applyBorder="1" applyAlignment="1" applyProtection="1">
      <alignment horizontal="center" vertical="center"/>
      <protection locked="0"/>
    </xf>
    <xf numFmtId="179" fontId="6" fillId="10" borderId="36" xfId="0" applyNumberFormat="1" applyFont="1" applyFill="1" applyBorder="1" applyAlignment="1" applyProtection="1">
      <alignment horizontal="center" vertical="center"/>
      <protection locked="0"/>
    </xf>
    <xf numFmtId="0" fontId="21" fillId="0" borderId="0" xfId="0" applyNumberFormat="1" applyFont="1" applyBorder="1" applyAlignment="1">
      <alignment horizontal="left" vertical="center"/>
    </xf>
    <xf numFmtId="0" fontId="21" fillId="0" borderId="0" xfId="0" applyFont="1">
      <alignment vertical="center"/>
    </xf>
    <xf numFmtId="0" fontId="6" fillId="10" borderId="14" xfId="0" applyNumberFormat="1" applyFont="1" applyFill="1" applyBorder="1" applyAlignment="1" applyProtection="1">
      <alignment horizontal="center" vertical="center"/>
      <protection locked="0"/>
    </xf>
    <xf numFmtId="0" fontId="6" fillId="10" borderId="15" xfId="0" applyNumberFormat="1" applyFont="1" applyFill="1" applyBorder="1" applyAlignment="1" applyProtection="1">
      <alignment horizontal="center" vertical="center"/>
      <protection locked="0"/>
    </xf>
    <xf numFmtId="0" fontId="23" fillId="0" borderId="0" xfId="0" applyNumberFormat="1" applyFont="1" applyBorder="1" applyAlignment="1">
      <alignment horizontal="center" vertical="center"/>
    </xf>
    <xf numFmtId="0" fontId="10" fillId="6" borderId="35" xfId="0" applyFont="1" applyFill="1" applyBorder="1" applyAlignment="1">
      <alignment horizontal="distributed" vertical="center" indent="1"/>
    </xf>
    <xf numFmtId="0" fontId="10" fillId="6" borderId="23" xfId="0" applyFont="1" applyFill="1" applyBorder="1" applyAlignment="1">
      <alignment horizontal="distributed" vertical="center" indent="1"/>
    </xf>
    <xf numFmtId="0" fontId="8" fillId="0" borderId="0" xfId="0" applyFont="1" applyBorder="1" applyAlignment="1">
      <alignment horizontal="center" vertical="center" wrapText="1"/>
    </xf>
    <xf numFmtId="3" fontId="3" fillId="0" borderId="16" xfId="0" applyNumberFormat="1" applyFont="1" applyFill="1" applyBorder="1" applyAlignment="1">
      <alignment horizontal="right" vertical="center"/>
    </xf>
    <xf numFmtId="3" fontId="3" fillId="0" borderId="24" xfId="0" applyNumberFormat="1" applyFont="1" applyFill="1" applyBorder="1" applyAlignment="1">
      <alignment horizontal="right" vertical="center"/>
    </xf>
    <xf numFmtId="0" fontId="10" fillId="0" borderId="18" xfId="0" applyFont="1" applyBorder="1" applyAlignment="1">
      <alignment horizontal="center" vertical="distributed" wrapText="1"/>
    </xf>
    <xf numFmtId="0" fontId="10" fillId="0" borderId="19" xfId="0" applyFont="1" applyBorder="1" applyAlignment="1">
      <alignment horizontal="center" vertical="distributed" wrapText="1"/>
    </xf>
    <xf numFmtId="181" fontId="13" fillId="0" borderId="21" xfId="0" applyNumberFormat="1" applyFont="1" applyBorder="1" applyAlignment="1">
      <alignment horizontal="left" vertical="center" wrapText="1"/>
    </xf>
    <xf numFmtId="181" fontId="13" fillId="0" borderId="22" xfId="0" applyNumberFormat="1" applyFont="1" applyBorder="1" applyAlignment="1">
      <alignment horizontal="left" vertical="center" wrapText="1"/>
    </xf>
    <xf numFmtId="0" fontId="10" fillId="6" borderId="4" xfId="0" applyFont="1" applyFill="1" applyBorder="1" applyAlignment="1">
      <alignment horizontal="center" vertical="center"/>
    </xf>
    <xf numFmtId="0" fontId="10" fillId="6" borderId="29" xfId="0" applyFont="1" applyFill="1" applyBorder="1" applyAlignment="1">
      <alignment horizontal="center" vertical="center"/>
    </xf>
    <xf numFmtId="0" fontId="10" fillId="6" borderId="5" xfId="0" applyFont="1" applyFill="1" applyBorder="1" applyAlignment="1">
      <alignment horizontal="center" vertical="center"/>
    </xf>
  </cellXfs>
  <cellStyles count="4">
    <cellStyle name="쉼표 [0]" xfId="1" builtinId="6"/>
    <cellStyle name="표준" xfId="0" builtinId="0"/>
    <cellStyle name="표준 2" xfId="3"/>
    <cellStyle name="하이퍼링크" xfId="2" builtinId="8"/>
  </cellStyles>
  <dxfs count="54">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left" vertical="center" textRotation="0" wrapText="1" indent="0" justifyLastLine="0" shrinkToFit="0" readingOrder="0"/>
      <protection locked="1" hidden="0"/>
    </dxf>
    <dxf>
      <border>
        <left style="thin">
          <color indexed="22"/>
        </left>
        <right style="thin">
          <color indexed="22"/>
        </right>
        <top style="thin">
          <color indexed="22"/>
        </top>
        <bottom style="thin">
          <color indexed="22"/>
        </bottom>
      </border>
    </dxf>
    <dxf>
      <border>
        <left style="thin">
          <color indexed="22"/>
        </left>
        <right style="thin">
          <color indexed="22"/>
        </right>
        <top style="thin">
          <color indexed="22"/>
        </top>
        <bottom style="thin">
          <color indexed="22"/>
        </bottom>
      </border>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strike val="0"/>
        <outline val="0"/>
        <shadow val="0"/>
        <u val="none"/>
        <vertAlign val="baseline"/>
        <color auto="1"/>
      </font>
      <fill>
        <patternFill patternType="none">
          <fgColor indexed="64"/>
          <bgColor auto="1"/>
        </patternFill>
      </fill>
    </dxf>
    <dxf>
      <font>
        <b/>
        <i val="0"/>
        <strike val="0"/>
        <condense val="0"/>
        <extend val="0"/>
        <outline val="0"/>
        <shadow val="0"/>
        <u val="none"/>
        <vertAlign val="baseline"/>
        <sz val="10"/>
        <color auto="1"/>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i val="0"/>
        <strike val="0"/>
        <condense val="0"/>
        <extend val="0"/>
        <outline val="0"/>
        <shadow val="0"/>
        <u val="none"/>
        <vertAlign val="baseline"/>
        <sz val="10"/>
        <color indexed="9"/>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ill>
        <patternFill patternType="none">
          <fgColor indexed="64"/>
          <bgColor auto="1"/>
        </patternFill>
      </fill>
    </dxf>
    <dxf>
      <fill>
        <patternFill patternType="none">
          <fgColor indexed="64"/>
          <bgColor auto="1"/>
        </patternFill>
      </fill>
      <alignment horizontal="left" vertical="center" textRotation="0" wrapText="1"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49324;&#50857;&#46020;&#50880;&#47568;!A80"/><Relationship Id="rId5" Type="http://schemas.openxmlformats.org/officeDocument/2006/relationships/hyperlink" Target="#&#49324;&#50857;&#46020;&#50880;&#47568;!A3"/><Relationship Id="rId4" Type="http://schemas.openxmlformats.org/officeDocument/2006/relationships/hyperlink" Target="#&#49324;&#50857;&#46020;&#50880;&#47568;!A183"/></Relationships>
</file>

<file path=xl/drawings/_rels/drawing2.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2</xdr:col>
      <xdr:colOff>142873</xdr:colOff>
      <xdr:row>143</xdr:row>
      <xdr:rowOff>142876</xdr:rowOff>
    </xdr:from>
    <xdr:to>
      <xdr:col>13</xdr:col>
      <xdr:colOff>1008115</xdr:colOff>
      <xdr:row>180</xdr:row>
      <xdr:rowOff>130968</xdr:rowOff>
    </xdr:to>
    <xdr:pic>
      <xdr:nvPicPr>
        <xdr:cNvPr id="17" name="그림 1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2936" y="25717501"/>
          <a:ext cx="9056742" cy="6155530"/>
        </a:xfrm>
        <a:prstGeom prst="rect">
          <a:avLst/>
        </a:prstGeom>
      </xdr:spPr>
    </xdr:pic>
    <xdr:clientData/>
  </xdr:twoCellAnchor>
  <xdr:twoCellAnchor editAs="oneCell">
    <xdr:from>
      <xdr:col>2</xdr:col>
      <xdr:colOff>95250</xdr:colOff>
      <xdr:row>84</xdr:row>
      <xdr:rowOff>83345</xdr:rowOff>
    </xdr:from>
    <xdr:to>
      <xdr:col>12</xdr:col>
      <xdr:colOff>250031</xdr:colOff>
      <xdr:row>114</xdr:row>
      <xdr:rowOff>53453</xdr:rowOff>
    </xdr:to>
    <xdr:pic>
      <xdr:nvPicPr>
        <xdr:cNvPr id="16" name="그림 15"/>
        <xdr:cNvPicPr>
          <a:picLocks noChangeAspect="1"/>
        </xdr:cNvPicPr>
      </xdr:nvPicPr>
      <xdr:blipFill>
        <a:blip xmlns:r="http://schemas.openxmlformats.org/officeDocument/2006/relationships" r:embed="rId2"/>
        <a:stretch>
          <a:fillRect/>
        </a:stretch>
      </xdr:blipFill>
      <xdr:spPr>
        <a:xfrm>
          <a:off x="595313" y="14775658"/>
          <a:ext cx="7310437" cy="4970733"/>
        </a:xfrm>
        <a:prstGeom prst="rect">
          <a:avLst/>
        </a:prstGeom>
      </xdr:spPr>
    </xdr:pic>
    <xdr:clientData/>
  </xdr:twoCellAnchor>
  <xdr:twoCellAnchor editAs="oneCell">
    <xdr:from>
      <xdr:col>2</xdr:col>
      <xdr:colOff>83344</xdr:colOff>
      <xdr:row>49</xdr:row>
      <xdr:rowOff>95249</xdr:rowOff>
    </xdr:from>
    <xdr:to>
      <xdr:col>12</xdr:col>
      <xdr:colOff>273843</xdr:colOff>
      <xdr:row>75</xdr:row>
      <xdr:rowOff>108537</xdr:rowOff>
    </xdr:to>
    <xdr:pic>
      <xdr:nvPicPr>
        <xdr:cNvPr id="3" name="그림 2"/>
        <xdr:cNvPicPr>
          <a:picLocks noChangeAspect="1"/>
        </xdr:cNvPicPr>
      </xdr:nvPicPr>
      <xdr:blipFill>
        <a:blip xmlns:r="http://schemas.openxmlformats.org/officeDocument/2006/relationships" r:embed="rId3"/>
        <a:stretch>
          <a:fillRect/>
        </a:stretch>
      </xdr:blipFill>
      <xdr:spPr>
        <a:xfrm>
          <a:off x="583407" y="8762999"/>
          <a:ext cx="7346155" cy="4347163"/>
        </a:xfrm>
        <a:prstGeom prst="rect">
          <a:avLst/>
        </a:prstGeom>
      </xdr:spPr>
    </xdr:pic>
    <xdr:clientData/>
  </xdr:twoCellAnchor>
  <xdr:twoCellAnchor>
    <xdr:from>
      <xdr:col>7</xdr:col>
      <xdr:colOff>10875</xdr:colOff>
      <xdr:row>0</xdr:row>
      <xdr:rowOff>57150</xdr:rowOff>
    </xdr:from>
    <xdr:to>
      <xdr:col>9</xdr:col>
      <xdr:colOff>77549</xdr:colOff>
      <xdr:row>0</xdr:row>
      <xdr:rowOff>342900</xdr:rowOff>
    </xdr:to>
    <xdr:sp macro="" textlink="">
      <xdr:nvSpPr>
        <xdr:cNvPr id="13" name="직사각형 12">
          <a:hlinkClick xmlns:r="http://schemas.openxmlformats.org/officeDocument/2006/relationships" r:id="rId4" tooltip="파일 구조 이해"/>
        </xdr:cNvPr>
        <xdr:cNvSpPr/>
      </xdr:nvSpPr>
      <xdr:spPr>
        <a:xfrm>
          <a:off x="3467089" y="57150"/>
          <a:ext cx="1427389" cy="2857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t>파일 구조 이해</a:t>
          </a:r>
        </a:p>
      </xdr:txBody>
    </xdr:sp>
    <xdr:clientData/>
  </xdr:twoCellAnchor>
  <xdr:twoCellAnchor>
    <xdr:from>
      <xdr:col>0</xdr:col>
      <xdr:colOff>239486</xdr:colOff>
      <xdr:row>0</xdr:row>
      <xdr:rowOff>57150</xdr:rowOff>
    </xdr:from>
    <xdr:to>
      <xdr:col>4</xdr:col>
      <xdr:colOff>327932</xdr:colOff>
      <xdr:row>0</xdr:row>
      <xdr:rowOff>342900</xdr:rowOff>
    </xdr:to>
    <xdr:sp macro="" textlink="">
      <xdr:nvSpPr>
        <xdr:cNvPr id="14" name="직사각형 13">
          <a:hlinkClick xmlns:r="http://schemas.openxmlformats.org/officeDocument/2006/relationships" r:id="rId5" tooltip="견적서 조회/삭제"/>
        </xdr:cNvPr>
        <xdr:cNvSpPr/>
      </xdr:nvSpPr>
      <xdr:spPr>
        <a:xfrm>
          <a:off x="239486" y="57150"/>
          <a:ext cx="1503589" cy="28575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b="1"/>
            <a:t>견적서 조회</a:t>
          </a:r>
          <a:r>
            <a:rPr lang="en-US" altLang="ko-KR" sz="1100" b="1"/>
            <a:t>/</a:t>
          </a:r>
          <a:r>
            <a:rPr lang="ko-KR" altLang="en-US" sz="1100" b="1"/>
            <a:t>삭제 </a:t>
          </a:r>
        </a:p>
      </xdr:txBody>
    </xdr:sp>
    <xdr:clientData/>
  </xdr:twoCellAnchor>
  <xdr:twoCellAnchor>
    <xdr:from>
      <xdr:col>4</xdr:col>
      <xdr:colOff>394607</xdr:colOff>
      <xdr:row>0</xdr:row>
      <xdr:rowOff>57150</xdr:rowOff>
    </xdr:from>
    <xdr:to>
      <xdr:col>6</xdr:col>
      <xdr:colOff>608240</xdr:colOff>
      <xdr:row>0</xdr:row>
      <xdr:rowOff>342900</xdr:rowOff>
    </xdr:to>
    <xdr:sp macro="" textlink="">
      <xdr:nvSpPr>
        <xdr:cNvPr id="15" name="직사각형 14">
          <a:hlinkClick xmlns:r="http://schemas.openxmlformats.org/officeDocument/2006/relationships" r:id="rId6" tooltip="견적서 신규/수정"/>
        </xdr:cNvPr>
        <xdr:cNvSpPr/>
      </xdr:nvSpPr>
      <xdr:spPr>
        <a:xfrm>
          <a:off x="1809750" y="57150"/>
          <a:ext cx="1574347" cy="28575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ko-KR" altLang="en-US" sz="1100" b="1"/>
            <a:t>견적서 신규</a:t>
          </a:r>
          <a:r>
            <a:rPr lang="en-US" altLang="ko-KR" sz="1100" b="1"/>
            <a:t>/</a:t>
          </a:r>
          <a:r>
            <a:rPr lang="ko-KR" altLang="en-US" sz="1100" b="1"/>
            <a:t>수정</a:t>
          </a:r>
        </a:p>
      </xdr:txBody>
    </xdr:sp>
    <xdr:clientData/>
  </xdr:twoCellAnchor>
  <xdr:twoCellAnchor editAs="oneCell">
    <xdr:from>
      <xdr:col>2</xdr:col>
      <xdr:colOff>0</xdr:colOff>
      <xdr:row>8</xdr:row>
      <xdr:rowOff>0</xdr:rowOff>
    </xdr:from>
    <xdr:to>
      <xdr:col>12</xdr:col>
      <xdr:colOff>332210</xdr:colOff>
      <xdr:row>43</xdr:row>
      <xdr:rowOff>56370</xdr:rowOff>
    </xdr:to>
    <xdr:pic>
      <xdr:nvPicPr>
        <xdr:cNvPr id="19" name="그림 18"/>
        <xdr:cNvPicPr>
          <a:picLocks noChangeAspect="1"/>
        </xdr:cNvPicPr>
      </xdr:nvPicPr>
      <xdr:blipFill>
        <a:blip xmlns:r="http://schemas.openxmlformats.org/officeDocument/2006/relationships" r:embed="rId7"/>
        <a:stretch>
          <a:fillRect/>
        </a:stretch>
      </xdr:blipFill>
      <xdr:spPr>
        <a:xfrm>
          <a:off x="493059" y="12931588"/>
          <a:ext cx="7447945" cy="5939458"/>
        </a:xfrm>
        <a:prstGeom prst="rect">
          <a:avLst/>
        </a:prstGeom>
      </xdr:spPr>
    </xdr:pic>
    <xdr:clientData/>
  </xdr:twoCellAnchor>
  <xdr:twoCellAnchor>
    <xdr:from>
      <xdr:col>11</xdr:col>
      <xdr:colOff>73638</xdr:colOff>
      <xdr:row>9</xdr:row>
      <xdr:rowOff>54428</xdr:rowOff>
    </xdr:from>
    <xdr:to>
      <xdr:col>11</xdr:col>
      <xdr:colOff>468245</xdr:colOff>
      <xdr:row>11</xdr:row>
      <xdr:rowOff>163283</xdr:rowOff>
    </xdr:to>
    <xdr:sp macro="" textlink="">
      <xdr:nvSpPr>
        <xdr:cNvPr id="20" name="타원 19"/>
        <xdr:cNvSpPr/>
      </xdr:nvSpPr>
      <xdr:spPr>
        <a:xfrm>
          <a:off x="6640285" y="13154104"/>
          <a:ext cx="394607" cy="445032"/>
        </a:xfrm>
        <a:prstGeom prst="ellipse">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666750</xdr:colOff>
      <xdr:row>9</xdr:row>
      <xdr:rowOff>112937</xdr:rowOff>
    </xdr:from>
    <xdr:to>
      <xdr:col>16</xdr:col>
      <xdr:colOff>60032</xdr:colOff>
      <xdr:row>11</xdr:row>
      <xdr:rowOff>112936</xdr:rowOff>
    </xdr:to>
    <xdr:sp macro="" textlink="">
      <xdr:nvSpPr>
        <xdr:cNvPr id="21" name="직사각형 20"/>
        <xdr:cNvSpPr/>
      </xdr:nvSpPr>
      <xdr:spPr>
        <a:xfrm>
          <a:off x="8275544" y="13212613"/>
          <a:ext cx="2844694" cy="336176"/>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견적서 조회를 위한 매크로 단추를 클릭</a:t>
          </a:r>
          <a:r>
            <a:rPr lang="en-US" altLang="ko-KR" sz="1100" baseline="0">
              <a:solidFill>
                <a:sysClr val="windowText" lastClr="000000"/>
              </a:solidFill>
            </a:rPr>
            <a:t> </a:t>
          </a:r>
          <a:endParaRPr lang="ko-KR" altLang="en-US" sz="1100">
            <a:solidFill>
              <a:sysClr val="windowText" lastClr="000000"/>
            </a:solidFill>
          </a:endParaRPr>
        </a:p>
      </xdr:txBody>
    </xdr:sp>
    <xdr:clientData/>
  </xdr:twoCellAnchor>
  <xdr:twoCellAnchor>
    <xdr:from>
      <xdr:col>11</xdr:col>
      <xdr:colOff>468245</xdr:colOff>
      <xdr:row>10</xdr:row>
      <xdr:rowOff>108855</xdr:rowOff>
    </xdr:from>
    <xdr:to>
      <xdr:col>12</xdr:col>
      <xdr:colOff>666750</xdr:colOff>
      <xdr:row>10</xdr:row>
      <xdr:rowOff>112936</xdr:rowOff>
    </xdr:to>
    <xdr:cxnSp macro="">
      <xdr:nvCxnSpPr>
        <xdr:cNvPr id="23" name="직선 연결선 22"/>
        <xdr:cNvCxnSpPr>
          <a:stCxn id="20" idx="6"/>
          <a:endCxn id="21" idx="1"/>
        </xdr:cNvCxnSpPr>
      </xdr:nvCxnSpPr>
      <xdr:spPr>
        <a:xfrm>
          <a:off x="7034892" y="13376620"/>
          <a:ext cx="1240652" cy="408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433028</xdr:colOff>
      <xdr:row>22</xdr:row>
      <xdr:rowOff>136071</xdr:rowOff>
    </xdr:from>
    <xdr:to>
      <xdr:col>11</xdr:col>
      <xdr:colOff>713174</xdr:colOff>
      <xdr:row>24</xdr:row>
      <xdr:rowOff>112057</xdr:rowOff>
    </xdr:to>
    <xdr:sp macro="" textlink="">
      <xdr:nvSpPr>
        <xdr:cNvPr id="24" name="직사각형 23"/>
        <xdr:cNvSpPr/>
      </xdr:nvSpPr>
      <xdr:spPr>
        <a:xfrm>
          <a:off x="3223293" y="15420895"/>
          <a:ext cx="4056528" cy="312162"/>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763596</xdr:colOff>
      <xdr:row>21</xdr:row>
      <xdr:rowOff>129742</xdr:rowOff>
    </xdr:from>
    <xdr:to>
      <xdr:col>17</xdr:col>
      <xdr:colOff>376997</xdr:colOff>
      <xdr:row>25</xdr:row>
      <xdr:rowOff>78441</xdr:rowOff>
    </xdr:to>
    <xdr:sp macro="" textlink="">
      <xdr:nvSpPr>
        <xdr:cNvPr id="25" name="직사각형 24"/>
        <xdr:cNvSpPr/>
      </xdr:nvSpPr>
      <xdr:spPr>
        <a:xfrm>
          <a:off x="8372390" y="15246477"/>
          <a:ext cx="3748372" cy="621052"/>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a:solidFill>
                <a:sysClr val="windowText" lastClr="000000"/>
              </a:solidFill>
            </a:rPr>
            <a:t>조회할 견적 내용을 더블클릭</a:t>
          </a:r>
          <a:endParaRPr lang="en-US" altLang="ko-KR" sz="1100">
            <a:solidFill>
              <a:sysClr val="windowText" lastClr="000000"/>
            </a:solidFill>
          </a:endParaRPr>
        </a:p>
        <a:p>
          <a:pPr algn="l"/>
          <a:r>
            <a:rPr lang="en-US" altLang="ko-KR" sz="1100" baseline="0">
              <a:solidFill>
                <a:sysClr val="windowText" lastClr="000000"/>
              </a:solidFill>
            </a:rPr>
            <a:t>3) </a:t>
          </a:r>
          <a:r>
            <a:rPr lang="ko-KR" altLang="en-US" sz="1100" baseline="0">
              <a:solidFill>
                <a:sysClr val="windowText" lastClr="000000"/>
              </a:solidFill>
            </a:rPr>
            <a:t>조회 완료 후 더 이상 검색이 필요없으면  창을 닫음</a:t>
          </a:r>
          <a:r>
            <a:rPr lang="en-US" altLang="ko-KR" sz="1100" baseline="0">
              <a:solidFill>
                <a:sysClr val="windowText" lastClr="000000"/>
              </a:solidFill>
            </a:rPr>
            <a:t> </a:t>
          </a:r>
        </a:p>
        <a:p>
          <a:pPr algn="l"/>
          <a:endParaRPr lang="ko-KR" altLang="en-US" sz="1100">
            <a:solidFill>
              <a:sysClr val="windowText" lastClr="000000"/>
            </a:solidFill>
          </a:endParaRPr>
        </a:p>
      </xdr:txBody>
    </xdr:sp>
    <xdr:clientData/>
  </xdr:twoCellAnchor>
  <xdr:twoCellAnchor>
    <xdr:from>
      <xdr:col>11</xdr:col>
      <xdr:colOff>746792</xdr:colOff>
      <xdr:row>23</xdr:row>
      <xdr:rowOff>104091</xdr:rowOff>
    </xdr:from>
    <xdr:to>
      <xdr:col>12</xdr:col>
      <xdr:colOff>763596</xdr:colOff>
      <xdr:row>23</xdr:row>
      <xdr:rowOff>124064</xdr:rowOff>
    </xdr:to>
    <xdr:cxnSp macro="">
      <xdr:nvCxnSpPr>
        <xdr:cNvPr id="26" name="직선 연결선 25"/>
        <xdr:cNvCxnSpPr>
          <a:endCxn id="25" idx="1"/>
        </xdr:cNvCxnSpPr>
      </xdr:nvCxnSpPr>
      <xdr:spPr>
        <a:xfrm flipV="1">
          <a:off x="7313439" y="15557003"/>
          <a:ext cx="1058951" cy="19973"/>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127564</xdr:colOff>
      <xdr:row>55</xdr:row>
      <xdr:rowOff>123144</xdr:rowOff>
    </xdr:from>
    <xdr:to>
      <xdr:col>11</xdr:col>
      <xdr:colOff>847941</xdr:colOff>
      <xdr:row>57</xdr:row>
      <xdr:rowOff>121461</xdr:rowOff>
    </xdr:to>
    <xdr:sp macro="" textlink="">
      <xdr:nvSpPr>
        <xdr:cNvPr id="44" name="직사각형 43"/>
        <xdr:cNvSpPr/>
      </xdr:nvSpPr>
      <xdr:spPr>
        <a:xfrm flipV="1">
          <a:off x="6747439" y="9791019"/>
          <a:ext cx="720377" cy="331692"/>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446926</xdr:colOff>
      <xdr:row>55</xdr:row>
      <xdr:rowOff>150355</xdr:rowOff>
    </xdr:from>
    <xdr:to>
      <xdr:col>16</xdr:col>
      <xdr:colOff>500063</xdr:colOff>
      <xdr:row>59</xdr:row>
      <xdr:rowOff>107156</xdr:rowOff>
    </xdr:to>
    <xdr:sp macro="" textlink="">
      <xdr:nvSpPr>
        <xdr:cNvPr id="45" name="직사각형 44"/>
        <xdr:cNvSpPr/>
      </xdr:nvSpPr>
      <xdr:spPr>
        <a:xfrm>
          <a:off x="8102645" y="9818230"/>
          <a:ext cx="3505949" cy="623551"/>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조회 중인 견적서 내용을 삭제할 때는  </a:t>
          </a:r>
          <a:r>
            <a:rPr lang="en-US" altLang="ko-KR" sz="1100">
              <a:solidFill>
                <a:sysClr val="windowText" lastClr="000000"/>
              </a:solidFill>
            </a:rPr>
            <a:t>&lt;</a:t>
          </a:r>
          <a:r>
            <a:rPr lang="ko-KR" altLang="en-US" sz="1100">
              <a:solidFill>
                <a:sysClr val="windowText" lastClr="000000"/>
              </a:solidFill>
            </a:rPr>
            <a:t>삭제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847941</xdr:colOff>
      <xdr:row>56</xdr:row>
      <xdr:rowOff>122302</xdr:rowOff>
    </xdr:from>
    <xdr:to>
      <xdr:col>12</xdr:col>
      <xdr:colOff>446926</xdr:colOff>
      <xdr:row>57</xdr:row>
      <xdr:rowOff>128756</xdr:rowOff>
    </xdr:to>
    <xdr:cxnSp macro="">
      <xdr:nvCxnSpPr>
        <xdr:cNvPr id="46" name="직선 연결선 45"/>
        <xdr:cNvCxnSpPr>
          <a:stCxn id="44" idx="3"/>
          <a:endCxn id="45" idx="1"/>
        </xdr:cNvCxnSpPr>
      </xdr:nvCxnSpPr>
      <xdr:spPr>
        <a:xfrm>
          <a:off x="7467816" y="9956865"/>
          <a:ext cx="634829" cy="17314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578298</xdr:colOff>
      <xdr:row>68</xdr:row>
      <xdr:rowOff>77215</xdr:rowOff>
    </xdr:from>
    <xdr:to>
      <xdr:col>10</xdr:col>
      <xdr:colOff>91745</xdr:colOff>
      <xdr:row>70</xdr:row>
      <xdr:rowOff>66008</xdr:rowOff>
    </xdr:to>
    <xdr:sp macro="" textlink="">
      <xdr:nvSpPr>
        <xdr:cNvPr id="47" name="직사각형 46"/>
        <xdr:cNvSpPr/>
      </xdr:nvSpPr>
      <xdr:spPr>
        <a:xfrm flipV="1">
          <a:off x="4781204" y="11912028"/>
          <a:ext cx="894572" cy="322168"/>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518860</xdr:colOff>
      <xdr:row>67</xdr:row>
      <xdr:rowOff>71437</xdr:rowOff>
    </xdr:from>
    <xdr:to>
      <xdr:col>16</xdr:col>
      <xdr:colOff>416720</xdr:colOff>
      <xdr:row>71</xdr:row>
      <xdr:rowOff>83344</xdr:rowOff>
    </xdr:to>
    <xdr:sp macro="" textlink="">
      <xdr:nvSpPr>
        <xdr:cNvPr id="48" name="직사각형 47"/>
        <xdr:cNvSpPr/>
      </xdr:nvSpPr>
      <xdr:spPr>
        <a:xfrm>
          <a:off x="8174579" y="11739562"/>
          <a:ext cx="3350672" cy="678657"/>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&lt;</a:t>
          </a:r>
          <a:r>
            <a:rPr lang="ko-KR" altLang="en-US" sz="1100">
              <a:solidFill>
                <a:sysClr val="windowText" lastClr="000000"/>
              </a:solidFill>
            </a:rPr>
            <a:t>예</a:t>
          </a:r>
          <a:r>
            <a:rPr lang="en-US" altLang="ko-KR" sz="1100">
              <a:solidFill>
                <a:sysClr val="windowText" lastClr="000000"/>
              </a:solidFill>
            </a:rPr>
            <a:t>&gt;</a:t>
          </a:r>
          <a:r>
            <a:rPr lang="ko-KR" altLang="en-US" sz="1100">
              <a:solidFill>
                <a:sysClr val="windowText" lastClr="000000"/>
              </a:solidFill>
            </a:rPr>
            <a:t>를 클릭하면 </a:t>
          </a:r>
          <a:r>
            <a:rPr lang="en-US" altLang="ko-KR" sz="1100">
              <a:solidFill>
                <a:sysClr val="windowText" lastClr="000000"/>
              </a:solidFill>
            </a:rPr>
            <a:t>'</a:t>
          </a:r>
          <a:r>
            <a:rPr lang="ko-KR" altLang="en-US" sz="1100">
              <a:solidFill>
                <a:sysClr val="windowText" lastClr="000000"/>
              </a:solidFill>
            </a:rPr>
            <a:t>견적서발급</a:t>
          </a:r>
          <a:r>
            <a:rPr lang="en-US" altLang="ko-KR" sz="1100">
              <a:solidFill>
                <a:sysClr val="windowText" lastClr="000000"/>
              </a:solidFill>
            </a:rPr>
            <a:t>', '</a:t>
          </a:r>
          <a:r>
            <a:rPr lang="ko-KR" altLang="en-US" sz="1100">
              <a:solidFill>
                <a:sysClr val="windowText" lastClr="000000"/>
              </a:solidFill>
            </a:rPr>
            <a:t>견적서세부내용</a:t>
          </a:r>
          <a:r>
            <a:rPr lang="en-US" altLang="ko-KR" sz="1100">
              <a:solidFill>
                <a:sysClr val="windowText" lastClr="000000"/>
              </a:solidFill>
            </a:rPr>
            <a:t>' </a:t>
          </a:r>
          <a:r>
            <a:rPr lang="ko-KR" altLang="en-US" sz="1100">
              <a:solidFill>
                <a:sysClr val="windowText" lastClr="000000"/>
              </a:solidFill>
            </a:rPr>
            <a:t>시트의 정보가 자동 삭제됨</a:t>
          </a:r>
        </a:p>
      </xdr:txBody>
    </xdr:sp>
    <xdr:clientData/>
  </xdr:twoCellAnchor>
  <xdr:twoCellAnchor>
    <xdr:from>
      <xdr:col>10</xdr:col>
      <xdr:colOff>91745</xdr:colOff>
      <xdr:row>69</xdr:row>
      <xdr:rowOff>71612</xdr:rowOff>
    </xdr:from>
    <xdr:to>
      <xdr:col>12</xdr:col>
      <xdr:colOff>518860</xdr:colOff>
      <xdr:row>69</xdr:row>
      <xdr:rowOff>77391</xdr:rowOff>
    </xdr:to>
    <xdr:cxnSp macro="">
      <xdr:nvCxnSpPr>
        <xdr:cNvPr id="49" name="직선 연결선 48"/>
        <xdr:cNvCxnSpPr>
          <a:stCxn id="47" idx="3"/>
          <a:endCxn id="48" idx="1"/>
        </xdr:cNvCxnSpPr>
      </xdr:nvCxnSpPr>
      <xdr:spPr>
        <a:xfrm>
          <a:off x="5675776" y="12073112"/>
          <a:ext cx="2498803" cy="5779"/>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119</xdr:row>
      <xdr:rowOff>11905</xdr:rowOff>
    </xdr:from>
    <xdr:to>
      <xdr:col>13</xdr:col>
      <xdr:colOff>13952</xdr:colOff>
      <xdr:row>136</xdr:row>
      <xdr:rowOff>170654</xdr:rowOff>
    </xdr:to>
    <xdr:pic>
      <xdr:nvPicPr>
        <xdr:cNvPr id="55" name="그림 54"/>
        <xdr:cNvPicPr>
          <a:picLocks noChangeAspect="1"/>
        </xdr:cNvPicPr>
      </xdr:nvPicPr>
      <xdr:blipFill>
        <a:blip xmlns:r="http://schemas.openxmlformats.org/officeDocument/2006/relationships" r:embed="rId8"/>
        <a:stretch>
          <a:fillRect/>
        </a:stretch>
      </xdr:blipFill>
      <xdr:spPr>
        <a:xfrm>
          <a:off x="500063" y="18799968"/>
          <a:ext cx="8205452" cy="3802062"/>
        </a:xfrm>
        <a:prstGeom prst="rect">
          <a:avLst/>
        </a:prstGeom>
      </xdr:spPr>
    </xdr:pic>
    <xdr:clientData/>
  </xdr:twoCellAnchor>
  <xdr:twoCellAnchor>
    <xdr:from>
      <xdr:col>11</xdr:col>
      <xdr:colOff>130973</xdr:colOff>
      <xdr:row>94</xdr:row>
      <xdr:rowOff>23812</xdr:rowOff>
    </xdr:from>
    <xdr:to>
      <xdr:col>11</xdr:col>
      <xdr:colOff>851350</xdr:colOff>
      <xdr:row>96</xdr:row>
      <xdr:rowOff>22129</xdr:rowOff>
    </xdr:to>
    <xdr:sp macro="" textlink="">
      <xdr:nvSpPr>
        <xdr:cNvPr id="56" name="직사각형 55"/>
        <xdr:cNvSpPr/>
      </xdr:nvSpPr>
      <xdr:spPr>
        <a:xfrm flipV="1">
          <a:off x="6750848" y="16383000"/>
          <a:ext cx="720377" cy="331692"/>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450335</xdr:colOff>
      <xdr:row>94</xdr:row>
      <xdr:rowOff>51024</xdr:rowOff>
    </xdr:from>
    <xdr:to>
      <xdr:col>17</xdr:col>
      <xdr:colOff>63736</xdr:colOff>
      <xdr:row>96</xdr:row>
      <xdr:rowOff>75760</xdr:rowOff>
    </xdr:to>
    <xdr:sp macro="" textlink="">
      <xdr:nvSpPr>
        <xdr:cNvPr id="57" name="직사각형 56"/>
        <xdr:cNvSpPr/>
      </xdr:nvSpPr>
      <xdr:spPr>
        <a:xfrm>
          <a:off x="8106054" y="16410212"/>
          <a:ext cx="3756776" cy="358111"/>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새 견적서를 작성할 때는  </a:t>
          </a:r>
          <a:r>
            <a:rPr lang="en-US" altLang="ko-KR" sz="1100">
              <a:solidFill>
                <a:sysClr val="windowText" lastClr="000000"/>
              </a:solidFill>
            </a:rPr>
            <a:t>&lt;</a:t>
          </a:r>
          <a:r>
            <a:rPr lang="ko-KR" altLang="en-US" sz="1100">
              <a:solidFill>
                <a:sysClr val="windowText" lastClr="000000"/>
              </a:solidFill>
            </a:rPr>
            <a:t>신규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851350</xdr:colOff>
      <xdr:row>95</xdr:row>
      <xdr:rowOff>27733</xdr:rowOff>
    </xdr:from>
    <xdr:to>
      <xdr:col>12</xdr:col>
      <xdr:colOff>450335</xdr:colOff>
      <xdr:row>95</xdr:row>
      <xdr:rowOff>67793</xdr:rowOff>
    </xdr:to>
    <xdr:cxnSp macro="">
      <xdr:nvCxnSpPr>
        <xdr:cNvPr id="58" name="직선 연결선 57"/>
        <xdr:cNvCxnSpPr>
          <a:stCxn id="56" idx="3"/>
          <a:endCxn id="57" idx="1"/>
        </xdr:cNvCxnSpPr>
      </xdr:nvCxnSpPr>
      <xdr:spPr>
        <a:xfrm>
          <a:off x="7471225" y="16553608"/>
          <a:ext cx="634829" cy="40060"/>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47624</xdr:colOff>
      <xdr:row>124</xdr:row>
      <xdr:rowOff>154781</xdr:rowOff>
    </xdr:from>
    <xdr:to>
      <xdr:col>4</xdr:col>
      <xdr:colOff>392906</xdr:colOff>
      <xdr:row>128</xdr:row>
      <xdr:rowOff>71437</xdr:rowOff>
    </xdr:to>
    <xdr:sp macro="" textlink="">
      <xdr:nvSpPr>
        <xdr:cNvPr id="59" name="직사각형 58"/>
        <xdr:cNvSpPr/>
      </xdr:nvSpPr>
      <xdr:spPr>
        <a:xfrm flipV="1">
          <a:off x="547687" y="20014406"/>
          <a:ext cx="1285875" cy="77390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3</xdr:col>
      <xdr:colOff>142875</xdr:colOff>
      <xdr:row>171</xdr:row>
      <xdr:rowOff>47626</xdr:rowOff>
    </xdr:from>
    <xdr:to>
      <xdr:col>5</xdr:col>
      <xdr:colOff>166688</xdr:colOff>
      <xdr:row>179</xdr:row>
      <xdr:rowOff>166686</xdr:rowOff>
    </xdr:to>
    <xdr:sp macro="" textlink="">
      <xdr:nvSpPr>
        <xdr:cNvPr id="60" name="직사각형 59"/>
        <xdr:cNvSpPr/>
      </xdr:nvSpPr>
      <xdr:spPr>
        <a:xfrm flipV="1">
          <a:off x="892969" y="30289501"/>
          <a:ext cx="1404938" cy="1452560"/>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785817</xdr:colOff>
      <xdr:row>151</xdr:row>
      <xdr:rowOff>119062</xdr:rowOff>
    </xdr:from>
    <xdr:to>
      <xdr:col>13</xdr:col>
      <xdr:colOff>470350</xdr:colOff>
      <xdr:row>153</xdr:row>
      <xdr:rowOff>117379</xdr:rowOff>
    </xdr:to>
    <xdr:sp macro="" textlink="">
      <xdr:nvSpPr>
        <xdr:cNvPr id="62" name="직사각형 61"/>
        <xdr:cNvSpPr/>
      </xdr:nvSpPr>
      <xdr:spPr>
        <a:xfrm flipV="1">
          <a:off x="8441536" y="27027187"/>
          <a:ext cx="720377" cy="331692"/>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13</xdr:col>
      <xdr:colOff>761999</xdr:colOff>
      <xdr:row>151</xdr:row>
      <xdr:rowOff>146273</xdr:rowOff>
    </xdr:from>
    <xdr:to>
      <xdr:col>18</xdr:col>
      <xdr:colOff>47625</xdr:colOff>
      <xdr:row>154</xdr:row>
      <xdr:rowOff>4321</xdr:rowOff>
    </xdr:to>
    <xdr:sp macro="" textlink="">
      <xdr:nvSpPr>
        <xdr:cNvPr id="63" name="직사각형 62"/>
        <xdr:cNvSpPr/>
      </xdr:nvSpPr>
      <xdr:spPr>
        <a:xfrm>
          <a:off x="9453562" y="27054398"/>
          <a:ext cx="3083719" cy="358111"/>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baseline="0">
              <a:solidFill>
                <a:sysClr val="windowText" lastClr="000000"/>
              </a:solidFill>
            </a:rPr>
            <a:t> 수정 사항을 저장하기 위해 </a:t>
          </a:r>
          <a:r>
            <a:rPr lang="en-US" altLang="ko-KR" sz="1100" baseline="0">
              <a:solidFill>
                <a:sysClr val="windowText" lastClr="000000"/>
              </a:solidFill>
            </a:rPr>
            <a:t>&lt;</a:t>
          </a:r>
          <a:r>
            <a:rPr lang="ko-KR" altLang="en-US" sz="1100" baseline="0">
              <a:solidFill>
                <a:sysClr val="windowText" lastClr="000000"/>
              </a:solidFill>
            </a:rPr>
            <a:t>저장</a:t>
          </a:r>
          <a:r>
            <a:rPr lang="en-US" altLang="ko-KR" sz="1100" baseline="0">
              <a:solidFill>
                <a:sysClr val="windowText" lastClr="000000"/>
              </a:solidFill>
            </a:rPr>
            <a:t>&gt;</a:t>
          </a:r>
          <a:r>
            <a:rPr lang="ko-KR" altLang="en-US" sz="1100" baseline="0">
              <a:solidFill>
                <a:sysClr val="windowText" lastClr="000000"/>
              </a:solidFill>
            </a:rPr>
            <a:t>을 클릭</a:t>
          </a:r>
          <a:endParaRPr lang="ko-KR" altLang="en-US" sz="1100">
            <a:solidFill>
              <a:sysClr val="windowText" lastClr="000000"/>
            </a:solidFill>
          </a:endParaRPr>
        </a:p>
      </xdr:txBody>
    </xdr:sp>
    <xdr:clientData/>
  </xdr:twoCellAnchor>
  <xdr:twoCellAnchor>
    <xdr:from>
      <xdr:col>13</xdr:col>
      <xdr:colOff>470350</xdr:colOff>
      <xdr:row>152</xdr:row>
      <xdr:rowOff>118220</xdr:rowOff>
    </xdr:from>
    <xdr:to>
      <xdr:col>13</xdr:col>
      <xdr:colOff>761999</xdr:colOff>
      <xdr:row>152</xdr:row>
      <xdr:rowOff>158641</xdr:rowOff>
    </xdr:to>
    <xdr:cxnSp macro="">
      <xdr:nvCxnSpPr>
        <xdr:cNvPr id="64" name="직선 연결선 63"/>
        <xdr:cNvCxnSpPr>
          <a:stCxn id="62" idx="3"/>
          <a:endCxn id="63" idx="1"/>
        </xdr:cNvCxnSpPr>
      </xdr:nvCxnSpPr>
      <xdr:spPr>
        <a:xfrm>
          <a:off x="9161913" y="27193033"/>
          <a:ext cx="291649" cy="4042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547688</xdr:colOff>
      <xdr:row>174</xdr:row>
      <xdr:rowOff>120079</xdr:rowOff>
    </xdr:from>
    <xdr:to>
      <xdr:col>18</xdr:col>
      <xdr:colOff>178594</xdr:colOff>
      <xdr:row>177</xdr:row>
      <xdr:rowOff>1</xdr:rowOff>
    </xdr:to>
    <xdr:sp macro="" textlink="">
      <xdr:nvSpPr>
        <xdr:cNvPr id="65" name="직사각형 64"/>
        <xdr:cNvSpPr/>
      </xdr:nvSpPr>
      <xdr:spPr>
        <a:xfrm>
          <a:off x="8203407" y="30862017"/>
          <a:ext cx="4464843" cy="379984"/>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baseline="0">
              <a:solidFill>
                <a:sysClr val="windowText" lastClr="000000"/>
              </a:solidFill>
            </a:rPr>
            <a:t> 필요한 사항들을 수정</a:t>
          </a:r>
          <a:r>
            <a:rPr lang="en-US" altLang="ko-KR" sz="1100" baseline="0">
              <a:solidFill>
                <a:sysClr val="windowText" lastClr="000000"/>
              </a:solidFill>
            </a:rPr>
            <a:t>(</a:t>
          </a:r>
          <a:r>
            <a:rPr lang="ko-KR" altLang="en-US" sz="1100" baseline="0">
              <a:solidFill>
                <a:sysClr val="windowText" lastClr="000000"/>
              </a:solidFill>
            </a:rPr>
            <a:t>단</a:t>
          </a:r>
          <a:r>
            <a:rPr lang="en-US" altLang="ko-KR" sz="1100" baseline="0">
              <a:solidFill>
                <a:sysClr val="windowText" lastClr="000000"/>
              </a:solidFill>
            </a:rPr>
            <a:t>, </a:t>
          </a:r>
          <a:r>
            <a:rPr lang="ko-KR" altLang="en-US" sz="1100" baseline="0">
              <a:solidFill>
                <a:sysClr val="windowText" lastClr="000000"/>
              </a:solidFill>
            </a:rPr>
            <a:t>연한 녹색으로 지정된 부분만 수정 가능</a:t>
          </a:r>
          <a:r>
            <a:rPr lang="en-US" altLang="ko-KR" sz="1100" baseline="0">
              <a:solidFill>
                <a:sysClr val="windowText" lastClr="000000"/>
              </a:solidFill>
            </a:rPr>
            <a:t>)</a:t>
          </a:r>
          <a:endParaRPr lang="ko-KR" altLang="en-US" sz="1100">
            <a:solidFill>
              <a:sysClr val="windowText" lastClr="000000"/>
            </a:solidFill>
          </a:endParaRPr>
        </a:p>
      </xdr:txBody>
    </xdr:sp>
    <xdr:clientData/>
  </xdr:twoCellAnchor>
  <xdr:twoCellAnchor>
    <xdr:from>
      <xdr:col>5</xdr:col>
      <xdr:colOff>190500</xdr:colOff>
      <xdr:row>175</xdr:row>
      <xdr:rowOff>143384</xdr:rowOff>
    </xdr:from>
    <xdr:to>
      <xdr:col>12</xdr:col>
      <xdr:colOff>547688</xdr:colOff>
      <xdr:row>175</xdr:row>
      <xdr:rowOff>154782</xdr:rowOff>
    </xdr:to>
    <xdr:cxnSp macro="">
      <xdr:nvCxnSpPr>
        <xdr:cNvPr id="66" name="직선 연결선 65"/>
        <xdr:cNvCxnSpPr>
          <a:endCxn id="65" idx="1"/>
        </xdr:cNvCxnSpPr>
      </xdr:nvCxnSpPr>
      <xdr:spPr>
        <a:xfrm flipV="1">
          <a:off x="2321719" y="31052009"/>
          <a:ext cx="5881688" cy="11398"/>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657225</xdr:colOff>
      <xdr:row>3</xdr:row>
      <xdr:rowOff>115433</xdr:rowOff>
    </xdr:from>
    <xdr:to>
      <xdr:col>2</xdr:col>
      <xdr:colOff>333375</xdr:colOff>
      <xdr:row>5</xdr:row>
      <xdr:rowOff>10658</xdr:rowOff>
    </xdr:to>
    <xdr:pic macro="[0]!sb거래처찾기">
      <xdr:nvPicPr>
        <xdr:cNvPr id="7" name="그림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934583"/>
          <a:ext cx="333375" cy="333375"/>
        </a:xfrm>
        <a:prstGeom prst="rect">
          <a:avLst/>
        </a:prstGeom>
      </xdr:spPr>
    </xdr:pic>
    <xdr:clientData fPrintsWithSheet="0"/>
  </xdr:twoCellAnchor>
  <xdr:twoCellAnchor editAs="oneCell">
    <xdr:from>
      <xdr:col>10</xdr:col>
      <xdr:colOff>676275</xdr:colOff>
      <xdr:row>0</xdr:row>
      <xdr:rowOff>123825</xdr:rowOff>
    </xdr:from>
    <xdr:to>
      <xdr:col>12</xdr:col>
      <xdr:colOff>254000</xdr:colOff>
      <xdr:row>2</xdr:row>
      <xdr:rowOff>76200</xdr:rowOff>
    </xdr:to>
    <xdr:pic macro="[0]!sb견적찾기">
      <xdr:nvPicPr>
        <xdr:cNvPr id="8" name="그림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123825"/>
          <a:ext cx="333375" cy="333375"/>
        </a:xfrm>
        <a:prstGeom prst="rect">
          <a:avLst/>
        </a:prstGeom>
      </xdr:spPr>
    </xdr:pic>
    <xdr:clientData fPrintsWithSheet="0"/>
  </xdr:twoCellAnchor>
  <xdr:twoCellAnchor>
    <xdr:from>
      <xdr:col>12</xdr:col>
      <xdr:colOff>0</xdr:colOff>
      <xdr:row>32</xdr:row>
      <xdr:rowOff>0</xdr:rowOff>
    </xdr:from>
    <xdr:to>
      <xdr:col>24</xdr:col>
      <xdr:colOff>0</xdr:colOff>
      <xdr:row>35</xdr:row>
      <xdr:rowOff>0</xdr:rowOff>
    </xdr:to>
    <xdr:sp macro="" textlink="">
      <xdr:nvSpPr>
        <xdr:cNvPr id="2" name="직사각형 1"/>
        <xdr:cNvSpPr/>
      </xdr:nvSpPr>
      <xdr:spPr>
        <a:xfrm>
          <a:off x="7362825" y="6915150"/>
          <a:ext cx="3886200" cy="110490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171450" indent="-171450" algn="l">
            <a:buClr>
              <a:srgbClr val="FF0000"/>
            </a:buClr>
            <a:buFont typeface="Wingdings" panose="05000000000000000000" pitchFamily="2" charset="2"/>
            <a:buChar char="l"/>
          </a:pPr>
          <a:r>
            <a:rPr lang="ko-KR" altLang="en-US" sz="1100"/>
            <a:t>품목코드는 기본 </a:t>
          </a:r>
          <a:r>
            <a:rPr lang="en-US" altLang="ko-KR" sz="1100"/>
            <a:t>15</a:t>
          </a:r>
          <a:r>
            <a:rPr lang="ko-KR" altLang="en-US" sz="1100"/>
            <a:t>행이 작성됩니다</a:t>
          </a:r>
          <a:r>
            <a:rPr lang="en-US" altLang="ko-KR" sz="1100"/>
            <a:t>. </a:t>
          </a:r>
        </a:p>
        <a:p>
          <a:pPr marL="171450" indent="-171450" algn="l">
            <a:buClr>
              <a:srgbClr val="FF0000"/>
            </a:buClr>
            <a:buFont typeface="Wingdings" panose="05000000000000000000" pitchFamily="2" charset="2"/>
            <a:buChar char="l"/>
          </a:pPr>
          <a:r>
            <a:rPr lang="ko-KR" altLang="en-US" sz="1100"/>
            <a:t>더 필요한 경우 </a:t>
          </a:r>
          <a:r>
            <a:rPr lang="en-US" altLang="ko-KR" sz="1100"/>
            <a:t>&lt;</a:t>
          </a:r>
          <a:r>
            <a:rPr lang="ko-KR" altLang="en-US" sz="1100"/>
            <a:t>시트보호 해제</a:t>
          </a:r>
          <a:r>
            <a:rPr lang="en-US" altLang="ko-KR" sz="1100"/>
            <a:t>&gt;</a:t>
          </a:r>
          <a:r>
            <a:rPr lang="ko-KR" altLang="en-US" sz="1100"/>
            <a:t>를 클릭하여 시트보호를 해제한 상태에서 행을 삽입하고</a:t>
          </a:r>
          <a:r>
            <a:rPr lang="en-US" altLang="ko-KR" sz="1100"/>
            <a:t>,</a:t>
          </a:r>
          <a:r>
            <a:rPr lang="en-US" altLang="ko-KR" sz="1100" baseline="0"/>
            <a:t> </a:t>
          </a:r>
          <a:r>
            <a:rPr lang="ko-KR" altLang="en-US" sz="1100" baseline="0"/>
            <a:t>서식과 수식을 복사해서 사용하세요</a:t>
          </a:r>
          <a:r>
            <a:rPr lang="en-US" altLang="ko-KR" sz="1100" baseline="0"/>
            <a:t>.</a:t>
          </a:r>
          <a:endParaRPr lang="ko-KR" alt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12</xdr:col>
          <xdr:colOff>0</xdr:colOff>
          <xdr:row>3</xdr:row>
          <xdr:rowOff>95250</xdr:rowOff>
        </xdr:from>
        <xdr:to>
          <xdr:col>14</xdr:col>
          <xdr:colOff>19050</xdr:colOff>
          <xdr:row>4</xdr:row>
          <xdr:rowOff>266700</xdr:rowOff>
        </xdr:to>
        <xdr:sp macro="" textlink="">
          <xdr:nvSpPr>
            <xdr:cNvPr id="2053" name="cmd삭제"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276225</xdr:rowOff>
        </xdr:from>
        <xdr:to>
          <xdr:col>14</xdr:col>
          <xdr:colOff>19050</xdr:colOff>
          <xdr:row>6</xdr:row>
          <xdr:rowOff>219075</xdr:rowOff>
        </xdr:to>
        <xdr:sp macro="" textlink="">
          <xdr:nvSpPr>
            <xdr:cNvPr id="2054" name="cmd저장"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xdr:row>
          <xdr:rowOff>0</xdr:rowOff>
        </xdr:from>
        <xdr:to>
          <xdr:col>14</xdr:col>
          <xdr:colOff>19050</xdr:colOff>
          <xdr:row>8</xdr:row>
          <xdr:rowOff>76200</xdr:rowOff>
        </xdr:to>
        <xdr:sp macro="" textlink="">
          <xdr:nvSpPr>
            <xdr:cNvPr id="2055" name="cmd신규"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xdr:row>
          <xdr:rowOff>171450</xdr:rowOff>
        </xdr:from>
        <xdr:to>
          <xdr:col>14</xdr:col>
          <xdr:colOff>276225</xdr:colOff>
          <xdr:row>3</xdr:row>
          <xdr:rowOff>0</xdr:rowOff>
        </xdr:to>
        <xdr:sp macro="" textlink="">
          <xdr:nvSpPr>
            <xdr:cNvPr id="2056" name="cmd시트보호"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2" name="tbl견적서발급" displayName="tbl견적서발급" ref="B5:P11" totalsRowShown="0" headerRowDxfId="52" dataDxfId="51" tableBorderDxfId="50">
  <tableColumns count="15">
    <tableColumn id="1" name="문서번호" dataDxfId="49"/>
    <tableColumn id="2" name="거래처코드" dataDxfId="48"/>
    <tableColumn id="3" name="거래처명" dataDxfId="47">
      <calculatedColumnFormula>IFERROR(INDEX(tbl거래처[거래처명],MATCH(견적서발급!C6,tbl거래처[거래처코드],0)),"")</calculatedColumnFormula>
    </tableColumn>
    <tableColumn id="4" name="담당자" dataDxfId="46"/>
    <tableColumn id="5" name="연락처" dataDxfId="45"/>
    <tableColumn id="10" name="EMail" dataDxfId="44"/>
    <tableColumn id="9" name="견적일자" dataDxfId="43"/>
    <tableColumn id="6" name="납품예정일" dataDxfId="42"/>
    <tableColumn id="7" name="납품장소" dataDxfId="41"/>
    <tableColumn id="13" name="공급가액" dataDxfId="40" dataCellStyle="쉼표 [0]"/>
    <tableColumn id="8" name="본사담당자" dataDxfId="39" dataCellStyle="쉼표 [0]"/>
    <tableColumn id="12" name="본사연락처1" dataDxfId="38" dataCellStyle="쉼표 [0]"/>
    <tableColumn id="14" name="본사연락처2" dataDxfId="37" dataCellStyle="쉼표 [0]"/>
    <tableColumn id="15" name="본사Email" dataDxfId="36" dataCellStyle="쉼표 [0]"/>
    <tableColumn id="11" name="비고" dataDxfId="35" dataCellStyle="쉼표 [0]"/>
  </tableColumns>
  <tableStyleInfo name="TableStyleLight13" showFirstColumn="0" showLastColumn="0" showRowStripes="1" showColumnStripes="0"/>
</table>
</file>

<file path=xl/tables/table2.xml><?xml version="1.0" encoding="utf-8"?>
<table xmlns="http://schemas.openxmlformats.org/spreadsheetml/2006/main" id="3" name="tbl견적서세부" displayName="tbl견적서세부" ref="B5:H32" totalsRowShown="0" headerRowDxfId="34" dataDxfId="33" tableBorderDxfId="32">
  <tableColumns count="7">
    <tableColumn id="1" name="문서번호" dataDxfId="31"/>
    <tableColumn id="2" name="출력번호" dataDxfId="30"/>
    <tableColumn id="3" name="품목코드" dataDxfId="29"/>
    <tableColumn id="4" name="품목명" dataDxfId="28">
      <calculatedColumnFormula>IFERROR(INDEX(tbl제품[품목],MATCH(tbl견적서세부[[#This Row],[품목코드]],tbl제품[품목코드],0)),"")</calculatedColumnFormula>
    </tableColumn>
    <tableColumn id="5" name="수량" dataDxfId="27"/>
    <tableColumn id="6" name="단가" dataDxfId="26" dataCellStyle="쉼표 [0]">
      <calculatedColumnFormula>IFERROR(INDEX(tbl제품[단가],MATCH(tbl견적서세부[[#This Row],[품목코드]],tbl제품[품목코드],0)),"")</calculatedColumnFormula>
    </tableColumn>
    <tableColumn id="7" name="비고" dataDxfId="25"/>
  </tableColumns>
  <tableStyleInfo name="TableStyleLight10" showFirstColumn="0" showLastColumn="0" showRowStripes="1" showColumnStripes="0"/>
</table>
</file>

<file path=xl/tables/table3.xml><?xml version="1.0" encoding="utf-8"?>
<table xmlns="http://schemas.openxmlformats.org/spreadsheetml/2006/main" id="4" name="tbl제품" displayName="tbl제품" ref="B5:H20" totalsRowShown="0" headerRowDxfId="24" dataDxfId="23">
  <autoFilter ref="B5:H20"/>
  <tableColumns count="7">
    <tableColumn id="1" name="번호" dataDxfId="22"/>
    <tableColumn id="2" name="품목코드" dataDxfId="21"/>
    <tableColumn id="3" name="품목" dataDxfId="20"/>
    <tableColumn id="4" name="규격" dataDxfId="19"/>
    <tableColumn id="5" name="저자" dataDxfId="18"/>
    <tableColumn id="6" name="단가" dataDxfId="17"/>
    <tableColumn id="7" name="비고" dataDxfId="16"/>
  </tableColumns>
  <tableStyleInfo name="TableStyleLight14" showFirstColumn="0" showLastColumn="0" showRowStripes="1" showColumnStripes="0"/>
</table>
</file>

<file path=xl/tables/table4.xml><?xml version="1.0" encoding="utf-8"?>
<table xmlns="http://schemas.openxmlformats.org/spreadsheetml/2006/main" id="1" name="tbl거래처" displayName="tbl거래처" ref="B5:M31" totalsRowShown="0" headerRowDxfId="13" dataDxfId="12">
  <tableColumns count="12">
    <tableColumn id="1" name="거래처코드" dataDxfId="11"/>
    <tableColumn id="2" name="거래처명" dataDxfId="10"/>
    <tableColumn id="3" name="사업자번호" dataDxfId="9"/>
    <tableColumn id="8" name="업태" dataDxfId="8"/>
    <tableColumn id="9" name="종목" dataDxfId="7"/>
    <tableColumn id="10" name="담당자" dataDxfId="6"/>
    <tableColumn id="11" name="전화번호" dataDxfId="5"/>
    <tableColumn id="12" name="Email" dataDxfId="4"/>
    <tableColumn id="4" name="대표자" dataDxfId="3"/>
    <tableColumn id="6" name="주소" dataDxfId="2"/>
    <tableColumn id="7" name="우편번호" dataDxfId="1"/>
    <tableColumn id="13" name="비고" dataDxfId="0"/>
  </tableColumns>
  <tableStyleInfo name="TableStyleMedium5"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w="19050">
          <a:solidFill>
            <a:srgbClr val="0070C0"/>
          </a:solidFill>
        </a:ln>
      </a:spPr>
      <a:bodyPr vertOverflow="clip" horzOverflow="clip" rtlCol="0" anchor="t"/>
      <a:lstStyle>
        <a:defPPr algn="l">
          <a:defRPr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drawing" Target="../drawings/drawing2.xml"/><Relationship Id="rId7" Type="http://schemas.openxmlformats.org/officeDocument/2006/relationships/control" Target="../activeX/activeX2.xml"/><Relationship Id="rId12" Type="http://schemas.openxmlformats.org/officeDocument/2006/relationships/image" Target="../media/image9.emf"/><Relationship Id="rId2" Type="http://schemas.openxmlformats.org/officeDocument/2006/relationships/printerSettings" Target="../printerSettings/printerSettings2.bin"/><Relationship Id="rId1" Type="http://schemas.openxmlformats.org/officeDocument/2006/relationships/hyperlink" Target="mailto:ddd@gilbut.co.kr" TargetMode="External"/><Relationship Id="rId6" Type="http://schemas.openxmlformats.org/officeDocument/2006/relationships/image" Target="../media/image6.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8.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B1:S268"/>
  <sheetViews>
    <sheetView showGridLines="0" tabSelected="1" zoomScale="80" zoomScaleNormal="80" workbookViewId="0">
      <pane ySplit="1" topLeftCell="A79" activePane="bottomLeft" state="frozen"/>
      <selection activeCell="M57" sqref="M57"/>
      <selection pane="bottomLeft" activeCell="T123" sqref="T123"/>
    </sheetView>
  </sheetViews>
  <sheetFormatPr defaultRowHeight="13.5" x14ac:dyDescent="0.3"/>
  <cols>
    <col min="1" max="3" width="3.25" style="111" customWidth="1"/>
    <col min="4" max="10" width="9" style="111"/>
    <col min="11" max="14" width="13.625" style="111" customWidth="1"/>
    <col min="15" max="16384" width="9" style="111"/>
  </cols>
  <sheetData>
    <row r="1" spans="2:19" s="109" customFormat="1" ht="30" customHeight="1" x14ac:dyDescent="0.3"/>
    <row r="2" spans="2:19" ht="16.5" x14ac:dyDescent="0.3">
      <c r="B2" s="110" t="s">
        <v>393</v>
      </c>
    </row>
    <row r="4" spans="2:19" ht="24.75" customHeight="1" x14ac:dyDescent="0.3">
      <c r="B4" s="112" t="s">
        <v>479</v>
      </c>
    </row>
    <row r="5" spans="2:19" x14ac:dyDescent="0.3">
      <c r="B5" s="114"/>
      <c r="C5" s="114"/>
      <c r="D5" s="114"/>
      <c r="E5" s="114"/>
      <c r="F5" s="114"/>
      <c r="G5" s="114"/>
      <c r="H5" s="114"/>
      <c r="I5" s="114"/>
      <c r="J5" s="114"/>
      <c r="K5" s="114"/>
      <c r="L5" s="114"/>
      <c r="M5" s="114"/>
      <c r="N5" s="114"/>
      <c r="O5" s="114"/>
      <c r="P5" s="114"/>
      <c r="Q5" s="114"/>
      <c r="R5" s="114"/>
      <c r="S5" s="114"/>
    </row>
    <row r="6" spans="2:19" ht="16.5" x14ac:dyDescent="0.3">
      <c r="B6" s="114"/>
      <c r="C6" s="116" t="s">
        <v>481</v>
      </c>
      <c r="D6" s="114"/>
      <c r="E6" s="114"/>
      <c r="F6" s="114"/>
      <c r="G6" s="114"/>
      <c r="H6" s="114"/>
      <c r="I6" s="114"/>
      <c r="J6" s="114"/>
      <c r="K6" s="114"/>
      <c r="L6" s="114"/>
      <c r="M6" s="114"/>
      <c r="N6" s="114"/>
      <c r="O6" s="114"/>
      <c r="P6" s="114"/>
      <c r="Q6" s="114"/>
      <c r="R6" s="114"/>
      <c r="S6" s="114"/>
    </row>
    <row r="7" spans="2:19" x14ac:dyDescent="0.3">
      <c r="B7" s="114"/>
      <c r="D7" s="115" t="s">
        <v>485</v>
      </c>
      <c r="E7" s="114"/>
      <c r="F7" s="114"/>
      <c r="G7" s="114"/>
      <c r="H7" s="114"/>
      <c r="I7" s="114"/>
      <c r="J7" s="114"/>
      <c r="K7" s="114"/>
      <c r="L7" s="114"/>
      <c r="M7" s="114"/>
      <c r="N7" s="114"/>
      <c r="O7" s="114"/>
      <c r="P7" s="114"/>
      <c r="Q7" s="114"/>
      <c r="R7" s="114"/>
      <c r="S7" s="114"/>
    </row>
    <row r="8" spans="2:19" x14ac:dyDescent="0.3">
      <c r="B8" s="114"/>
      <c r="C8" s="114"/>
      <c r="D8" s="115"/>
      <c r="E8" s="114"/>
      <c r="F8" s="114"/>
      <c r="G8" s="114"/>
      <c r="H8" s="114"/>
      <c r="I8" s="114"/>
      <c r="J8" s="114"/>
      <c r="K8" s="114"/>
      <c r="L8" s="114"/>
      <c r="M8" s="114"/>
      <c r="N8" s="114"/>
      <c r="O8" s="114"/>
      <c r="P8" s="114"/>
      <c r="Q8" s="114"/>
      <c r="R8" s="114"/>
      <c r="S8" s="114"/>
    </row>
    <row r="9" spans="2:19" x14ac:dyDescent="0.3">
      <c r="B9" s="114"/>
      <c r="C9" s="114"/>
      <c r="D9" s="115"/>
      <c r="E9" s="114"/>
      <c r="F9" s="114"/>
      <c r="G9" s="114"/>
      <c r="H9" s="114"/>
      <c r="I9" s="114"/>
      <c r="J9" s="114"/>
      <c r="K9" s="114"/>
      <c r="L9" s="114"/>
      <c r="M9" s="114"/>
      <c r="N9" s="114"/>
      <c r="O9" s="114"/>
      <c r="P9" s="114"/>
      <c r="Q9" s="114"/>
      <c r="R9" s="114"/>
      <c r="S9" s="114"/>
    </row>
    <row r="10" spans="2:19" x14ac:dyDescent="0.3">
      <c r="B10" s="114"/>
      <c r="C10" s="114"/>
      <c r="D10" s="115"/>
      <c r="E10" s="114"/>
      <c r="F10" s="114"/>
      <c r="G10" s="114"/>
      <c r="H10" s="114"/>
      <c r="I10" s="114"/>
      <c r="J10" s="114"/>
      <c r="K10" s="114"/>
      <c r="L10" s="114"/>
      <c r="M10" s="114"/>
      <c r="N10" s="114"/>
      <c r="O10" s="114"/>
      <c r="P10" s="114"/>
      <c r="Q10" s="114"/>
      <c r="R10" s="114"/>
      <c r="S10" s="114"/>
    </row>
    <row r="11" spans="2:19" x14ac:dyDescent="0.3">
      <c r="B11" s="114"/>
      <c r="C11" s="114"/>
      <c r="D11" s="117"/>
      <c r="E11" s="114"/>
      <c r="F11" s="114"/>
      <c r="G11" s="114"/>
      <c r="H11" s="114"/>
      <c r="I11" s="114"/>
      <c r="J11" s="114"/>
      <c r="K11" s="114"/>
      <c r="L11" s="114"/>
      <c r="M11" s="114"/>
      <c r="N11" s="114"/>
      <c r="O11" s="114"/>
      <c r="P11" s="114"/>
      <c r="Q11" s="114"/>
      <c r="R11" s="114"/>
      <c r="S11" s="114"/>
    </row>
    <row r="12" spans="2:19" x14ac:dyDescent="0.3">
      <c r="B12" s="114"/>
      <c r="C12" s="114"/>
      <c r="D12" s="117"/>
      <c r="E12" s="114"/>
      <c r="F12" s="114"/>
      <c r="G12" s="114"/>
      <c r="H12" s="114"/>
      <c r="I12" s="114"/>
      <c r="J12" s="114"/>
      <c r="K12" s="114"/>
      <c r="L12" s="114"/>
      <c r="M12" s="114"/>
      <c r="N12" s="114"/>
      <c r="O12" s="114"/>
      <c r="P12" s="114"/>
      <c r="Q12" s="114"/>
      <c r="R12" s="114"/>
      <c r="S12" s="114"/>
    </row>
    <row r="13" spans="2:19" x14ac:dyDescent="0.3">
      <c r="B13" s="114"/>
      <c r="C13" s="114"/>
      <c r="D13" s="117"/>
      <c r="E13" s="114"/>
      <c r="F13" s="114"/>
      <c r="G13" s="114"/>
      <c r="H13" s="114"/>
      <c r="I13" s="114"/>
      <c r="J13" s="114"/>
      <c r="K13" s="114"/>
      <c r="L13" s="114"/>
      <c r="M13" s="114"/>
      <c r="N13" s="114"/>
      <c r="O13" s="114"/>
      <c r="P13" s="114"/>
      <c r="Q13" s="114"/>
      <c r="R13" s="114"/>
      <c r="S13" s="114"/>
    </row>
    <row r="14" spans="2:19" x14ac:dyDescent="0.3">
      <c r="B14" s="114"/>
      <c r="C14" s="114"/>
      <c r="D14" s="117"/>
      <c r="E14" s="114"/>
      <c r="F14" s="114"/>
      <c r="G14" s="114"/>
      <c r="H14" s="114"/>
      <c r="I14" s="114"/>
      <c r="J14" s="114"/>
      <c r="K14" s="114"/>
      <c r="L14" s="114"/>
      <c r="M14" s="114"/>
      <c r="N14" s="114"/>
      <c r="O14" s="114"/>
      <c r="P14" s="114"/>
      <c r="Q14" s="114"/>
      <c r="R14" s="114"/>
      <c r="S14" s="114"/>
    </row>
    <row r="15" spans="2:19" x14ac:dyDescent="0.3">
      <c r="B15" s="114"/>
      <c r="C15" s="114"/>
      <c r="D15" s="117"/>
      <c r="E15" s="114"/>
      <c r="F15" s="114"/>
      <c r="G15" s="114"/>
      <c r="H15" s="114"/>
      <c r="I15" s="114"/>
      <c r="J15" s="114"/>
      <c r="K15" s="114"/>
      <c r="L15" s="114"/>
      <c r="M15" s="114"/>
      <c r="N15" s="114"/>
      <c r="O15" s="114"/>
      <c r="P15" s="114"/>
      <c r="Q15" s="114"/>
      <c r="R15" s="114"/>
      <c r="S15" s="114"/>
    </row>
    <row r="16" spans="2:19" x14ac:dyDescent="0.3">
      <c r="B16" s="114"/>
      <c r="C16" s="114"/>
      <c r="D16" s="115"/>
      <c r="E16" s="114"/>
      <c r="F16" s="114"/>
      <c r="G16" s="114"/>
      <c r="H16" s="114"/>
      <c r="I16" s="114"/>
      <c r="J16" s="114"/>
      <c r="K16" s="114"/>
      <c r="L16" s="114"/>
      <c r="M16" s="114"/>
      <c r="N16" s="114"/>
      <c r="O16" s="114"/>
      <c r="P16" s="114"/>
      <c r="Q16" s="114"/>
      <c r="R16" s="114"/>
      <c r="S16" s="114"/>
    </row>
    <row r="17" spans="2:19" x14ac:dyDescent="0.3">
      <c r="B17" s="114"/>
      <c r="C17" s="114"/>
      <c r="D17" s="114"/>
      <c r="E17" s="114"/>
      <c r="F17" s="114"/>
      <c r="G17" s="114"/>
      <c r="H17" s="114"/>
      <c r="I17" s="114"/>
      <c r="J17" s="114"/>
      <c r="K17" s="114"/>
      <c r="L17" s="114"/>
      <c r="M17" s="114"/>
      <c r="N17" s="114"/>
      <c r="O17" s="114"/>
      <c r="P17" s="114"/>
      <c r="Q17" s="114"/>
      <c r="R17" s="114"/>
      <c r="S17" s="114"/>
    </row>
    <row r="18" spans="2:19" x14ac:dyDescent="0.3">
      <c r="B18" s="114"/>
      <c r="C18" s="114"/>
      <c r="D18" s="114"/>
      <c r="E18" s="114"/>
      <c r="F18" s="114"/>
      <c r="G18" s="114"/>
      <c r="H18" s="114"/>
      <c r="I18" s="114"/>
      <c r="J18" s="114"/>
      <c r="K18" s="114"/>
      <c r="L18" s="114"/>
      <c r="M18" s="114"/>
      <c r="N18" s="114"/>
      <c r="O18" s="114"/>
      <c r="P18" s="114"/>
      <c r="Q18" s="114"/>
      <c r="R18" s="114"/>
      <c r="S18" s="114"/>
    </row>
    <row r="19" spans="2:19" x14ac:dyDescent="0.3">
      <c r="B19" s="114"/>
      <c r="C19" s="114"/>
      <c r="D19" s="114"/>
      <c r="E19" s="114"/>
      <c r="F19" s="114"/>
      <c r="G19" s="114"/>
      <c r="H19" s="114"/>
      <c r="I19" s="114"/>
      <c r="J19" s="114"/>
      <c r="K19" s="114"/>
      <c r="L19" s="114"/>
      <c r="M19" s="114"/>
      <c r="N19" s="114"/>
      <c r="O19" s="114"/>
      <c r="P19" s="114"/>
      <c r="Q19" s="114"/>
      <c r="R19" s="114"/>
      <c r="S19" s="114"/>
    </row>
    <row r="20" spans="2:19" x14ac:dyDescent="0.3">
      <c r="B20" s="114"/>
      <c r="C20" s="114"/>
      <c r="D20" s="114"/>
      <c r="E20" s="114"/>
      <c r="F20" s="114"/>
      <c r="G20" s="114"/>
      <c r="H20" s="114"/>
      <c r="I20" s="114"/>
      <c r="J20" s="114"/>
      <c r="K20" s="114"/>
      <c r="L20" s="114"/>
      <c r="M20" s="114"/>
      <c r="N20" s="114"/>
      <c r="O20" s="114"/>
      <c r="P20" s="114"/>
      <c r="Q20" s="114"/>
      <c r="R20" s="114"/>
      <c r="S20" s="114"/>
    </row>
    <row r="21" spans="2:19" x14ac:dyDescent="0.3">
      <c r="B21" s="114"/>
      <c r="C21" s="114"/>
      <c r="D21" s="114"/>
      <c r="E21" s="114"/>
      <c r="F21" s="114"/>
      <c r="G21" s="114"/>
      <c r="H21" s="114"/>
      <c r="I21" s="114"/>
      <c r="J21" s="114"/>
      <c r="K21" s="114"/>
      <c r="L21" s="114"/>
      <c r="M21" s="114"/>
      <c r="N21" s="114"/>
      <c r="O21" s="114"/>
      <c r="P21" s="114"/>
      <c r="Q21" s="114"/>
      <c r="R21" s="114"/>
      <c r="S21" s="114"/>
    </row>
    <row r="22" spans="2:19" x14ac:dyDescent="0.3">
      <c r="B22" s="114"/>
      <c r="C22" s="114"/>
      <c r="D22" s="114"/>
      <c r="E22" s="114"/>
      <c r="F22" s="114"/>
      <c r="G22" s="114"/>
      <c r="H22" s="114"/>
      <c r="I22" s="114"/>
      <c r="J22" s="114"/>
      <c r="K22" s="114"/>
      <c r="L22" s="114"/>
      <c r="M22" s="114"/>
      <c r="N22" s="114"/>
      <c r="O22" s="114"/>
      <c r="P22" s="114"/>
      <c r="Q22" s="114"/>
      <c r="R22" s="114"/>
      <c r="S22" s="114"/>
    </row>
    <row r="23" spans="2:19" x14ac:dyDescent="0.3">
      <c r="B23" s="114"/>
      <c r="C23" s="114"/>
      <c r="D23" s="114"/>
      <c r="E23" s="114"/>
      <c r="F23" s="114"/>
      <c r="G23" s="114"/>
      <c r="H23" s="114"/>
      <c r="I23" s="114"/>
      <c r="J23" s="114"/>
      <c r="K23" s="114"/>
      <c r="L23" s="114"/>
      <c r="M23" s="114"/>
      <c r="N23" s="114"/>
      <c r="O23" s="114"/>
      <c r="P23" s="114"/>
      <c r="Q23" s="114"/>
      <c r="R23" s="114"/>
      <c r="S23" s="114"/>
    </row>
    <row r="24" spans="2:19" x14ac:dyDescent="0.3">
      <c r="B24" s="114"/>
      <c r="C24" s="114"/>
      <c r="D24" s="114"/>
      <c r="E24" s="114"/>
      <c r="F24" s="114"/>
      <c r="G24" s="114"/>
      <c r="H24" s="114"/>
      <c r="I24" s="114"/>
      <c r="J24" s="114"/>
      <c r="K24" s="114"/>
      <c r="L24" s="114"/>
      <c r="M24" s="114"/>
      <c r="N24" s="114"/>
      <c r="O24" s="114"/>
      <c r="P24" s="114"/>
      <c r="Q24" s="114"/>
      <c r="R24" s="114"/>
      <c r="S24" s="114"/>
    </row>
    <row r="25" spans="2:19" x14ac:dyDescent="0.3">
      <c r="B25" s="114"/>
      <c r="C25" s="114"/>
      <c r="D25" s="114"/>
      <c r="E25" s="114"/>
      <c r="F25" s="114"/>
      <c r="G25" s="114"/>
      <c r="H25" s="114"/>
      <c r="I25" s="114"/>
      <c r="J25" s="114"/>
      <c r="K25" s="114"/>
      <c r="L25" s="114"/>
      <c r="M25" s="114"/>
      <c r="N25" s="114"/>
      <c r="O25" s="114"/>
      <c r="P25" s="114"/>
      <c r="Q25" s="114"/>
      <c r="R25" s="114"/>
      <c r="S25" s="114"/>
    </row>
    <row r="26" spans="2:19" x14ac:dyDescent="0.3">
      <c r="B26" s="114"/>
      <c r="C26" s="114"/>
      <c r="D26" s="114"/>
      <c r="E26" s="114"/>
      <c r="F26" s="114"/>
      <c r="G26" s="114"/>
      <c r="H26" s="114"/>
      <c r="I26" s="114"/>
      <c r="J26" s="114"/>
      <c r="K26" s="114"/>
      <c r="L26" s="114"/>
      <c r="M26" s="114"/>
      <c r="N26" s="114"/>
      <c r="O26" s="114"/>
      <c r="P26" s="114"/>
      <c r="Q26" s="114"/>
      <c r="R26" s="114"/>
      <c r="S26" s="114"/>
    </row>
    <row r="27" spans="2:19" x14ac:dyDescent="0.3">
      <c r="B27" s="114"/>
      <c r="C27" s="114"/>
      <c r="D27" s="114"/>
      <c r="E27" s="114"/>
      <c r="F27" s="114"/>
      <c r="G27" s="114"/>
      <c r="H27" s="114"/>
      <c r="I27" s="114"/>
      <c r="J27" s="114"/>
      <c r="K27" s="114"/>
      <c r="L27" s="114"/>
      <c r="M27" s="114"/>
      <c r="N27" s="114"/>
      <c r="O27" s="114"/>
      <c r="P27" s="114"/>
      <c r="Q27" s="114"/>
      <c r="R27" s="114"/>
      <c r="S27" s="114"/>
    </row>
    <row r="28" spans="2:19" x14ac:dyDescent="0.3">
      <c r="B28" s="114"/>
      <c r="C28" s="114"/>
      <c r="D28" s="114"/>
      <c r="E28" s="114"/>
      <c r="F28" s="114"/>
      <c r="G28" s="114"/>
      <c r="H28" s="114"/>
      <c r="I28" s="114"/>
      <c r="J28" s="114"/>
      <c r="K28" s="114"/>
      <c r="L28" s="114"/>
      <c r="M28" s="114"/>
      <c r="N28" s="114"/>
      <c r="O28" s="114"/>
      <c r="P28" s="114"/>
      <c r="Q28" s="114"/>
      <c r="R28" s="114"/>
      <c r="S28" s="114"/>
    </row>
    <row r="29" spans="2:19" x14ac:dyDescent="0.3">
      <c r="B29" s="114"/>
      <c r="C29" s="114"/>
      <c r="D29" s="114"/>
      <c r="E29" s="114"/>
      <c r="F29" s="114"/>
      <c r="G29" s="114"/>
      <c r="H29" s="114"/>
      <c r="I29" s="114"/>
      <c r="J29" s="114"/>
      <c r="K29" s="114"/>
      <c r="L29" s="114"/>
      <c r="M29" s="114"/>
      <c r="N29" s="114"/>
      <c r="O29" s="114"/>
      <c r="P29" s="114"/>
      <c r="Q29" s="114"/>
      <c r="R29" s="114"/>
      <c r="S29" s="114"/>
    </row>
    <row r="30" spans="2:19" x14ac:dyDescent="0.3">
      <c r="B30" s="114"/>
      <c r="C30" s="114"/>
      <c r="D30" s="114"/>
      <c r="E30" s="114"/>
      <c r="F30" s="114"/>
      <c r="G30" s="114"/>
      <c r="H30" s="114"/>
      <c r="I30" s="114"/>
      <c r="J30" s="114"/>
      <c r="K30" s="114"/>
      <c r="L30" s="114"/>
      <c r="M30" s="114"/>
      <c r="N30" s="114"/>
      <c r="O30" s="114"/>
      <c r="P30" s="114"/>
      <c r="Q30" s="114"/>
      <c r="R30" s="114"/>
      <c r="S30" s="114"/>
    </row>
    <row r="31" spans="2:19" x14ac:dyDescent="0.3">
      <c r="B31" s="114"/>
      <c r="C31" s="114"/>
      <c r="D31" s="114"/>
      <c r="E31" s="114"/>
      <c r="F31" s="114"/>
      <c r="G31" s="114"/>
      <c r="H31" s="114"/>
      <c r="I31" s="114"/>
      <c r="J31" s="114"/>
      <c r="K31" s="114"/>
      <c r="L31" s="114"/>
      <c r="M31" s="114"/>
      <c r="N31" s="114"/>
      <c r="O31" s="114"/>
      <c r="P31" s="114"/>
      <c r="Q31" s="114"/>
      <c r="R31" s="114"/>
      <c r="S31" s="114"/>
    </row>
    <row r="32" spans="2:19" x14ac:dyDescent="0.3">
      <c r="B32" s="114"/>
      <c r="C32" s="114"/>
      <c r="D32" s="114"/>
      <c r="E32" s="114"/>
      <c r="F32" s="114"/>
      <c r="G32" s="114"/>
      <c r="H32" s="114"/>
      <c r="I32" s="114"/>
      <c r="J32" s="114"/>
      <c r="K32" s="114"/>
      <c r="L32" s="114"/>
      <c r="M32" s="114"/>
      <c r="N32" s="114"/>
      <c r="O32" s="114"/>
      <c r="P32" s="114"/>
      <c r="Q32" s="114"/>
      <c r="R32" s="114"/>
      <c r="S32" s="114"/>
    </row>
    <row r="33" spans="2:19" x14ac:dyDescent="0.3">
      <c r="B33" s="114"/>
      <c r="C33" s="114"/>
      <c r="D33" s="114"/>
      <c r="E33" s="114"/>
      <c r="F33" s="114"/>
      <c r="G33" s="114"/>
      <c r="H33" s="114"/>
      <c r="I33" s="114"/>
      <c r="J33" s="114"/>
      <c r="K33" s="114"/>
      <c r="L33" s="114"/>
      <c r="M33" s="114"/>
      <c r="N33" s="114"/>
      <c r="O33" s="114"/>
      <c r="P33" s="114"/>
      <c r="Q33" s="114"/>
      <c r="R33" s="114"/>
      <c r="S33" s="114"/>
    </row>
    <row r="34" spans="2:19" x14ac:dyDescent="0.3">
      <c r="B34" s="114"/>
      <c r="C34" s="114"/>
      <c r="D34" s="114"/>
      <c r="E34" s="114"/>
      <c r="F34" s="114"/>
      <c r="G34" s="114"/>
      <c r="H34" s="114"/>
      <c r="I34" s="114"/>
      <c r="J34" s="114"/>
      <c r="K34" s="114"/>
      <c r="L34" s="114"/>
      <c r="M34" s="114"/>
      <c r="N34" s="114"/>
      <c r="O34" s="114"/>
      <c r="P34" s="114"/>
      <c r="Q34" s="114"/>
      <c r="R34" s="114"/>
      <c r="S34" s="114"/>
    </row>
    <row r="35" spans="2:19" x14ac:dyDescent="0.3">
      <c r="B35" s="114"/>
      <c r="C35" s="114"/>
      <c r="D35" s="114"/>
      <c r="E35" s="114"/>
      <c r="F35" s="114"/>
      <c r="G35" s="114"/>
      <c r="H35" s="114"/>
      <c r="I35" s="114"/>
      <c r="J35" s="114"/>
      <c r="K35" s="114"/>
      <c r="L35" s="114"/>
      <c r="M35" s="114"/>
      <c r="N35" s="114"/>
      <c r="O35" s="114"/>
      <c r="P35" s="114"/>
      <c r="Q35" s="114"/>
      <c r="R35" s="114"/>
      <c r="S35" s="114"/>
    </row>
    <row r="36" spans="2:19" x14ac:dyDescent="0.3">
      <c r="B36" s="114"/>
      <c r="C36" s="114"/>
      <c r="D36" s="115"/>
      <c r="E36" s="114"/>
      <c r="F36" s="114"/>
      <c r="G36" s="114"/>
      <c r="H36" s="114"/>
      <c r="I36" s="114"/>
      <c r="J36" s="114"/>
      <c r="K36" s="114"/>
      <c r="L36" s="114"/>
      <c r="M36" s="114"/>
      <c r="N36" s="114"/>
      <c r="O36" s="114"/>
      <c r="P36" s="114"/>
      <c r="Q36" s="114"/>
      <c r="R36" s="114"/>
      <c r="S36" s="114"/>
    </row>
    <row r="37" spans="2:19" x14ac:dyDescent="0.3">
      <c r="B37" s="114"/>
      <c r="C37" s="114"/>
      <c r="D37" s="115"/>
      <c r="E37" s="114"/>
      <c r="F37" s="114"/>
      <c r="G37" s="114"/>
      <c r="H37" s="114"/>
      <c r="I37" s="114"/>
      <c r="J37" s="114"/>
      <c r="K37" s="114"/>
      <c r="L37" s="114"/>
      <c r="M37" s="114"/>
      <c r="N37" s="114"/>
      <c r="O37" s="114"/>
      <c r="P37" s="114"/>
      <c r="Q37" s="114"/>
      <c r="R37" s="114"/>
      <c r="S37" s="114"/>
    </row>
    <row r="38" spans="2:19" x14ac:dyDescent="0.3">
      <c r="B38" s="114"/>
      <c r="C38" s="114"/>
      <c r="D38" s="114"/>
      <c r="E38" s="114"/>
      <c r="F38" s="114"/>
      <c r="G38" s="114"/>
      <c r="H38" s="114"/>
      <c r="I38" s="114"/>
      <c r="J38" s="114"/>
      <c r="K38" s="114"/>
      <c r="L38" s="114"/>
      <c r="M38" s="114"/>
      <c r="N38" s="114"/>
      <c r="O38" s="114"/>
      <c r="P38" s="114"/>
      <c r="Q38" s="114"/>
      <c r="R38" s="114"/>
      <c r="S38" s="114"/>
    </row>
    <row r="39" spans="2:19" x14ac:dyDescent="0.3">
      <c r="B39" s="114"/>
      <c r="C39" s="114"/>
      <c r="D39" s="115"/>
      <c r="E39" s="114"/>
      <c r="F39" s="114"/>
      <c r="G39" s="114"/>
      <c r="H39" s="114"/>
      <c r="I39" s="114"/>
      <c r="J39" s="114"/>
      <c r="K39" s="114"/>
      <c r="L39" s="114"/>
      <c r="M39" s="114"/>
      <c r="N39" s="114"/>
      <c r="O39" s="114"/>
      <c r="P39" s="114"/>
      <c r="Q39" s="114"/>
      <c r="R39" s="114"/>
      <c r="S39" s="114"/>
    </row>
    <row r="40" spans="2:19" x14ac:dyDescent="0.3">
      <c r="B40" s="114"/>
      <c r="C40" s="114"/>
      <c r="D40" s="115"/>
      <c r="E40" s="114"/>
      <c r="F40" s="114"/>
      <c r="G40" s="114"/>
      <c r="H40" s="114"/>
      <c r="I40" s="114"/>
      <c r="J40" s="114"/>
      <c r="K40" s="114"/>
      <c r="L40" s="114"/>
      <c r="M40" s="114"/>
      <c r="N40" s="114"/>
      <c r="O40" s="114"/>
      <c r="P40" s="114"/>
      <c r="Q40" s="114"/>
      <c r="R40" s="114"/>
      <c r="S40" s="114"/>
    </row>
    <row r="41" spans="2:19" x14ac:dyDescent="0.3">
      <c r="B41" s="114"/>
      <c r="C41" s="114"/>
      <c r="D41" s="114"/>
      <c r="E41" s="114"/>
      <c r="F41" s="114"/>
      <c r="G41" s="114"/>
      <c r="H41" s="114"/>
      <c r="I41" s="114"/>
      <c r="J41" s="114"/>
      <c r="K41" s="114"/>
      <c r="L41" s="114"/>
      <c r="M41" s="114"/>
      <c r="N41" s="114"/>
      <c r="O41" s="114"/>
      <c r="P41" s="114"/>
      <c r="Q41" s="114"/>
      <c r="R41" s="114"/>
      <c r="S41" s="114"/>
    </row>
    <row r="42" spans="2:19" x14ac:dyDescent="0.3">
      <c r="B42" s="114"/>
      <c r="C42" s="114"/>
      <c r="D42" s="115"/>
      <c r="E42" s="114"/>
      <c r="F42" s="114"/>
      <c r="G42" s="114"/>
      <c r="H42" s="114"/>
      <c r="I42" s="114"/>
      <c r="J42" s="114"/>
      <c r="K42" s="114"/>
      <c r="L42" s="114"/>
      <c r="M42" s="114"/>
      <c r="N42" s="114"/>
      <c r="O42" s="114"/>
      <c r="P42" s="114"/>
      <c r="Q42" s="114"/>
      <c r="R42" s="114"/>
      <c r="S42" s="114"/>
    </row>
    <row r="43" spans="2:19" x14ac:dyDescent="0.3">
      <c r="B43" s="114"/>
      <c r="C43" s="114"/>
      <c r="D43" s="115"/>
      <c r="E43" s="114"/>
      <c r="F43" s="114"/>
      <c r="G43" s="114"/>
      <c r="H43" s="114"/>
      <c r="I43" s="114"/>
      <c r="J43" s="114"/>
      <c r="K43" s="114"/>
      <c r="L43" s="114"/>
      <c r="M43" s="114"/>
      <c r="N43" s="114"/>
      <c r="O43" s="114"/>
      <c r="P43" s="114"/>
      <c r="Q43" s="114"/>
      <c r="R43" s="114"/>
      <c r="S43" s="114"/>
    </row>
    <row r="44" spans="2:19" x14ac:dyDescent="0.3">
      <c r="B44" s="114"/>
      <c r="C44" s="114"/>
      <c r="D44" s="115"/>
      <c r="E44" s="114"/>
      <c r="F44" s="114"/>
      <c r="G44" s="114"/>
      <c r="H44" s="114"/>
      <c r="I44" s="114"/>
      <c r="J44" s="114"/>
      <c r="K44" s="114"/>
      <c r="L44" s="114"/>
      <c r="M44" s="114"/>
      <c r="N44" s="114"/>
      <c r="O44" s="114"/>
      <c r="P44" s="114"/>
      <c r="Q44" s="114"/>
      <c r="R44" s="114"/>
      <c r="S44" s="114"/>
    </row>
    <row r="45" spans="2:19" x14ac:dyDescent="0.3">
      <c r="B45" s="114"/>
      <c r="C45" s="114"/>
      <c r="D45" s="115"/>
      <c r="E45" s="114"/>
      <c r="F45" s="114"/>
      <c r="G45" s="114"/>
      <c r="H45" s="114"/>
      <c r="I45" s="114"/>
      <c r="J45" s="114"/>
      <c r="K45" s="114"/>
      <c r="L45" s="114"/>
      <c r="M45" s="114"/>
      <c r="N45" s="114"/>
      <c r="O45" s="114"/>
      <c r="P45" s="114"/>
      <c r="Q45" s="114"/>
      <c r="R45" s="114"/>
      <c r="S45" s="114"/>
    </row>
    <row r="46" spans="2:19" ht="16.5" x14ac:dyDescent="0.3">
      <c r="B46" s="114"/>
      <c r="C46" s="116" t="s">
        <v>486</v>
      </c>
      <c r="D46" s="115"/>
      <c r="E46" s="114"/>
      <c r="F46" s="114"/>
      <c r="G46" s="114"/>
      <c r="H46" s="114"/>
      <c r="I46" s="114"/>
      <c r="J46" s="114"/>
      <c r="K46" s="114"/>
      <c r="L46" s="114"/>
      <c r="M46" s="114"/>
      <c r="N46" s="114"/>
      <c r="O46" s="114"/>
      <c r="P46" s="114"/>
      <c r="Q46" s="114"/>
      <c r="R46" s="114"/>
      <c r="S46" s="114"/>
    </row>
    <row r="47" spans="2:19" x14ac:dyDescent="0.3">
      <c r="B47" s="114"/>
      <c r="D47" s="115" t="s">
        <v>487</v>
      </c>
      <c r="E47" s="114"/>
      <c r="F47" s="114"/>
      <c r="G47" s="114"/>
      <c r="H47" s="114"/>
      <c r="I47" s="114"/>
      <c r="J47" s="114"/>
      <c r="K47" s="114"/>
      <c r="L47" s="114"/>
      <c r="M47" s="114"/>
      <c r="N47" s="114"/>
      <c r="O47" s="114"/>
      <c r="P47" s="114"/>
      <c r="Q47" s="114"/>
      <c r="R47" s="114"/>
      <c r="S47" s="114"/>
    </row>
    <row r="48" spans="2:19" x14ac:dyDescent="0.3">
      <c r="B48" s="114"/>
      <c r="D48" s="115" t="s">
        <v>488</v>
      </c>
      <c r="E48" s="114"/>
      <c r="F48" s="114"/>
      <c r="G48" s="114"/>
      <c r="H48" s="114"/>
      <c r="I48" s="114"/>
      <c r="J48" s="114"/>
      <c r="K48" s="114"/>
      <c r="L48" s="114"/>
      <c r="M48" s="114"/>
      <c r="N48" s="114"/>
      <c r="O48" s="114"/>
      <c r="P48" s="114"/>
      <c r="Q48" s="114"/>
      <c r="R48" s="114"/>
      <c r="S48" s="114"/>
    </row>
    <row r="49" spans="2:19" x14ac:dyDescent="0.3">
      <c r="B49" s="114"/>
      <c r="D49" s="115" t="s">
        <v>489</v>
      </c>
      <c r="E49" s="114"/>
      <c r="F49" s="114"/>
      <c r="G49" s="114"/>
      <c r="H49" s="114"/>
      <c r="I49" s="114"/>
      <c r="J49" s="114"/>
      <c r="K49" s="114"/>
      <c r="L49" s="114"/>
      <c r="M49" s="114"/>
      <c r="N49" s="114"/>
      <c r="O49" s="114"/>
      <c r="P49" s="114"/>
      <c r="Q49" s="114"/>
      <c r="R49" s="114"/>
      <c r="S49" s="114"/>
    </row>
    <row r="50" spans="2:19" x14ac:dyDescent="0.3">
      <c r="B50" s="114"/>
      <c r="C50" s="114"/>
      <c r="D50" s="114"/>
      <c r="E50" s="114"/>
      <c r="F50" s="114"/>
      <c r="G50" s="114"/>
      <c r="H50" s="114"/>
      <c r="I50" s="114"/>
      <c r="J50" s="114"/>
      <c r="K50" s="114"/>
      <c r="L50" s="114"/>
      <c r="M50" s="114"/>
      <c r="N50" s="114"/>
      <c r="O50" s="114"/>
      <c r="P50" s="114"/>
      <c r="Q50" s="114"/>
      <c r="R50" s="114"/>
      <c r="S50" s="114"/>
    </row>
    <row r="51" spans="2:19" x14ac:dyDescent="0.3">
      <c r="B51" s="114"/>
      <c r="C51" s="114"/>
      <c r="D51" s="114"/>
      <c r="E51" s="114"/>
      <c r="F51" s="114"/>
      <c r="G51" s="114"/>
      <c r="H51" s="114"/>
      <c r="I51" s="114"/>
      <c r="J51" s="114"/>
      <c r="K51" s="114"/>
      <c r="L51" s="114"/>
      <c r="M51" s="114"/>
      <c r="N51" s="114"/>
      <c r="O51" s="114"/>
      <c r="P51" s="114"/>
      <c r="Q51" s="114"/>
      <c r="R51" s="114"/>
      <c r="S51" s="114"/>
    </row>
    <row r="52" spans="2:19" x14ac:dyDescent="0.3">
      <c r="B52" s="114"/>
      <c r="C52" s="114"/>
      <c r="D52" s="114"/>
      <c r="E52" s="114"/>
      <c r="F52" s="114"/>
      <c r="G52" s="114"/>
      <c r="H52" s="114"/>
      <c r="I52" s="114"/>
      <c r="J52" s="114"/>
      <c r="K52" s="114"/>
      <c r="L52" s="114"/>
      <c r="M52" s="114"/>
      <c r="N52" s="114"/>
      <c r="O52" s="114"/>
      <c r="P52" s="114"/>
      <c r="Q52" s="114"/>
      <c r="R52" s="114"/>
      <c r="S52" s="114"/>
    </row>
    <row r="53" spans="2:19" x14ac:dyDescent="0.3">
      <c r="B53" s="114"/>
      <c r="C53" s="114"/>
      <c r="D53" s="114"/>
      <c r="E53" s="114"/>
      <c r="F53" s="114"/>
      <c r="G53" s="114"/>
      <c r="H53" s="114"/>
      <c r="I53" s="114"/>
      <c r="J53" s="114"/>
      <c r="K53" s="114"/>
      <c r="L53" s="114"/>
      <c r="M53" s="114"/>
      <c r="N53" s="114"/>
      <c r="O53" s="114"/>
      <c r="P53" s="114"/>
      <c r="Q53" s="114"/>
      <c r="R53" s="114"/>
      <c r="S53" s="114"/>
    </row>
    <row r="54" spans="2:19" x14ac:dyDescent="0.3">
      <c r="B54" s="114"/>
      <c r="C54" s="114"/>
      <c r="D54" s="114"/>
      <c r="E54" s="114"/>
      <c r="F54" s="114"/>
      <c r="G54" s="114"/>
      <c r="H54" s="114"/>
      <c r="I54" s="114"/>
      <c r="J54" s="114"/>
      <c r="K54" s="114"/>
      <c r="L54" s="114"/>
      <c r="M54" s="114"/>
      <c r="N54" s="114"/>
      <c r="O54" s="114"/>
      <c r="P54" s="114"/>
      <c r="Q54" s="114"/>
      <c r="R54" s="114"/>
      <c r="S54" s="114"/>
    </row>
    <row r="55" spans="2:19" x14ac:dyDescent="0.3">
      <c r="B55" s="114"/>
      <c r="C55" s="114"/>
      <c r="D55" s="114"/>
      <c r="E55" s="114"/>
      <c r="F55" s="114"/>
      <c r="G55" s="114"/>
      <c r="H55" s="114"/>
      <c r="I55" s="114"/>
      <c r="J55" s="114"/>
      <c r="K55" s="114"/>
      <c r="L55" s="114"/>
      <c r="M55" s="114"/>
      <c r="N55" s="114"/>
      <c r="O55" s="114"/>
      <c r="P55" s="114"/>
      <c r="Q55" s="114"/>
      <c r="R55" s="114"/>
      <c r="S55" s="114"/>
    </row>
    <row r="56" spans="2:19" x14ac:dyDescent="0.3">
      <c r="B56" s="114"/>
      <c r="C56" s="114"/>
      <c r="D56" s="114"/>
      <c r="E56" s="114"/>
      <c r="F56" s="114"/>
      <c r="G56" s="114"/>
      <c r="H56" s="114"/>
      <c r="I56" s="114"/>
      <c r="J56" s="114"/>
      <c r="K56" s="114"/>
      <c r="L56" s="114"/>
      <c r="M56" s="114"/>
      <c r="N56" s="114"/>
      <c r="O56" s="114"/>
      <c r="P56" s="114"/>
      <c r="Q56" s="114"/>
      <c r="R56" s="114"/>
      <c r="S56" s="114"/>
    </row>
    <row r="57" spans="2:19" x14ac:dyDescent="0.3">
      <c r="B57" s="114"/>
      <c r="C57" s="114"/>
      <c r="D57" s="114"/>
      <c r="E57" s="114"/>
      <c r="F57" s="114"/>
      <c r="G57" s="114"/>
      <c r="H57" s="114"/>
      <c r="I57" s="114"/>
      <c r="J57" s="114"/>
      <c r="K57" s="114"/>
      <c r="L57" s="114"/>
      <c r="M57" s="114"/>
      <c r="N57" s="114"/>
      <c r="O57" s="114"/>
      <c r="P57" s="114"/>
      <c r="Q57" s="114"/>
      <c r="R57" s="114"/>
      <c r="S57" s="114"/>
    </row>
    <row r="58" spans="2:19" x14ac:dyDescent="0.3">
      <c r="B58" s="114"/>
      <c r="C58" s="114"/>
      <c r="D58" s="114"/>
      <c r="E58" s="114"/>
      <c r="F58" s="114"/>
      <c r="G58" s="114"/>
      <c r="H58" s="114"/>
      <c r="I58" s="114"/>
      <c r="J58" s="114"/>
      <c r="K58" s="114"/>
      <c r="L58" s="114"/>
      <c r="M58" s="114"/>
      <c r="N58" s="114"/>
      <c r="O58" s="114"/>
      <c r="P58" s="114"/>
      <c r="Q58" s="114"/>
      <c r="R58" s="114"/>
      <c r="S58" s="114"/>
    </row>
    <row r="59" spans="2:19" x14ac:dyDescent="0.3">
      <c r="B59" s="114"/>
      <c r="C59" s="114"/>
      <c r="D59" s="114"/>
      <c r="E59" s="114"/>
      <c r="F59" s="114"/>
      <c r="G59" s="114"/>
      <c r="H59" s="114"/>
      <c r="I59" s="114"/>
      <c r="J59" s="114"/>
      <c r="K59" s="114"/>
      <c r="L59" s="114"/>
      <c r="M59" s="114"/>
      <c r="N59" s="114"/>
      <c r="O59" s="114"/>
      <c r="P59" s="114"/>
      <c r="Q59" s="114"/>
      <c r="R59" s="114"/>
      <c r="S59" s="114"/>
    </row>
    <row r="60" spans="2:19" x14ac:dyDescent="0.3">
      <c r="B60" s="114"/>
      <c r="C60" s="114"/>
      <c r="D60" s="114"/>
      <c r="E60" s="114"/>
      <c r="F60" s="114"/>
      <c r="G60" s="114"/>
      <c r="H60" s="114"/>
      <c r="I60" s="114"/>
      <c r="J60" s="114"/>
      <c r="K60" s="114"/>
      <c r="L60" s="114"/>
      <c r="M60" s="114"/>
      <c r="N60" s="114"/>
      <c r="O60" s="114"/>
      <c r="P60" s="114"/>
      <c r="Q60" s="114"/>
      <c r="R60" s="114"/>
      <c r="S60" s="114"/>
    </row>
    <row r="61" spans="2:19" x14ac:dyDescent="0.3">
      <c r="B61" s="114"/>
      <c r="C61" s="114"/>
      <c r="D61" s="114"/>
      <c r="E61" s="114"/>
      <c r="F61" s="114"/>
      <c r="G61" s="114"/>
      <c r="H61" s="114"/>
      <c r="I61" s="114"/>
      <c r="J61" s="114"/>
      <c r="K61" s="114"/>
      <c r="L61" s="114"/>
      <c r="M61" s="114"/>
      <c r="N61" s="114"/>
      <c r="O61" s="114"/>
      <c r="P61" s="114"/>
      <c r="Q61" s="114"/>
      <c r="R61" s="114"/>
      <c r="S61" s="114"/>
    </row>
    <row r="62" spans="2:19" x14ac:dyDescent="0.3">
      <c r="B62" s="114"/>
      <c r="C62" s="114"/>
      <c r="D62" s="114"/>
      <c r="E62" s="114"/>
      <c r="F62" s="114"/>
      <c r="G62" s="114"/>
      <c r="H62" s="114"/>
      <c r="I62" s="114"/>
      <c r="J62" s="114"/>
      <c r="K62" s="114"/>
      <c r="L62" s="114"/>
      <c r="M62" s="114"/>
      <c r="N62" s="114"/>
      <c r="O62" s="114"/>
      <c r="P62" s="114"/>
      <c r="Q62" s="114"/>
      <c r="R62" s="114"/>
      <c r="S62" s="114"/>
    </row>
    <row r="63" spans="2:19" x14ac:dyDescent="0.3">
      <c r="B63" s="114"/>
      <c r="C63" s="114"/>
      <c r="D63" s="114"/>
      <c r="E63" s="114"/>
      <c r="F63" s="114"/>
      <c r="G63" s="114"/>
      <c r="H63" s="114"/>
      <c r="I63" s="114"/>
      <c r="J63" s="114"/>
      <c r="K63" s="114"/>
      <c r="L63" s="114"/>
      <c r="M63" s="114"/>
      <c r="N63" s="114"/>
      <c r="O63" s="114"/>
      <c r="P63" s="114"/>
      <c r="Q63" s="114"/>
      <c r="R63" s="114"/>
      <c r="S63" s="114"/>
    </row>
    <row r="64" spans="2:19" x14ac:dyDescent="0.3">
      <c r="B64" s="114"/>
      <c r="C64" s="114"/>
      <c r="D64" s="114"/>
      <c r="E64" s="114"/>
      <c r="F64" s="114"/>
      <c r="G64" s="114"/>
      <c r="H64" s="114"/>
      <c r="I64" s="114"/>
      <c r="J64" s="114"/>
      <c r="K64" s="114"/>
      <c r="L64" s="114"/>
      <c r="M64" s="114"/>
      <c r="N64" s="114"/>
      <c r="O64" s="114"/>
      <c r="P64" s="114"/>
      <c r="Q64" s="114"/>
      <c r="R64" s="114"/>
      <c r="S64" s="114"/>
    </row>
    <row r="65" spans="2:19" x14ac:dyDescent="0.3">
      <c r="B65" s="114"/>
      <c r="C65" s="114"/>
      <c r="D65" s="114"/>
      <c r="E65" s="114"/>
      <c r="F65" s="114"/>
      <c r="G65" s="114"/>
      <c r="H65" s="114"/>
      <c r="I65" s="114"/>
      <c r="J65" s="114"/>
      <c r="K65" s="114"/>
      <c r="L65" s="114"/>
      <c r="M65" s="114"/>
      <c r="N65" s="114"/>
      <c r="O65" s="114"/>
      <c r="P65" s="114"/>
      <c r="Q65" s="114"/>
      <c r="R65" s="114"/>
      <c r="S65" s="114"/>
    </row>
    <row r="66" spans="2:19" x14ac:dyDescent="0.3">
      <c r="B66" s="114"/>
      <c r="C66" s="114"/>
      <c r="D66" s="114"/>
      <c r="E66" s="114"/>
      <c r="F66" s="114"/>
      <c r="G66" s="114"/>
      <c r="H66" s="114"/>
      <c r="I66" s="114"/>
      <c r="J66" s="114"/>
      <c r="K66" s="114"/>
      <c r="L66" s="114"/>
      <c r="M66" s="114"/>
      <c r="N66" s="114"/>
      <c r="O66" s="114"/>
      <c r="P66" s="114"/>
      <c r="Q66" s="114"/>
      <c r="R66" s="114"/>
      <c r="S66" s="114"/>
    </row>
    <row r="67" spans="2:19" x14ac:dyDescent="0.3">
      <c r="B67" s="114"/>
      <c r="C67" s="114"/>
      <c r="D67" s="114"/>
      <c r="E67" s="114"/>
      <c r="F67" s="114"/>
      <c r="G67" s="114"/>
      <c r="H67" s="114"/>
      <c r="I67" s="114"/>
      <c r="J67" s="114"/>
      <c r="K67" s="114"/>
      <c r="L67" s="114"/>
      <c r="M67" s="114"/>
      <c r="N67" s="114"/>
      <c r="O67" s="114"/>
      <c r="P67" s="114"/>
      <c r="Q67" s="114"/>
      <c r="R67" s="114"/>
      <c r="S67" s="114"/>
    </row>
    <row r="68" spans="2:19" x14ac:dyDescent="0.3">
      <c r="B68" s="114"/>
      <c r="C68" s="114"/>
      <c r="D68" s="114"/>
      <c r="E68" s="114"/>
      <c r="F68" s="114"/>
      <c r="G68" s="114"/>
      <c r="H68" s="114"/>
      <c r="I68" s="114"/>
      <c r="J68" s="114"/>
      <c r="K68" s="114"/>
      <c r="L68" s="114"/>
      <c r="M68" s="114"/>
      <c r="N68" s="114"/>
      <c r="O68" s="114"/>
      <c r="P68" s="114"/>
      <c r="Q68" s="114"/>
      <c r="R68" s="114"/>
      <c r="S68" s="114"/>
    </row>
    <row r="69" spans="2:19" x14ac:dyDescent="0.3">
      <c r="B69" s="114"/>
      <c r="C69" s="114"/>
      <c r="D69" s="114"/>
      <c r="E69" s="114"/>
      <c r="F69" s="114"/>
      <c r="G69" s="114"/>
      <c r="H69" s="114"/>
      <c r="I69" s="114"/>
      <c r="J69" s="114"/>
      <c r="K69" s="114"/>
      <c r="L69" s="114"/>
      <c r="M69" s="114"/>
      <c r="N69" s="114"/>
      <c r="O69" s="114"/>
      <c r="P69" s="114"/>
      <c r="Q69" s="114"/>
      <c r="R69" s="114"/>
      <c r="S69" s="114"/>
    </row>
    <row r="70" spans="2:19" x14ac:dyDescent="0.3">
      <c r="B70" s="114"/>
      <c r="C70" s="114"/>
      <c r="D70" s="114"/>
      <c r="E70" s="114"/>
      <c r="F70" s="114"/>
      <c r="G70" s="114"/>
      <c r="H70" s="114"/>
      <c r="I70" s="114"/>
      <c r="J70" s="114"/>
      <c r="K70" s="114"/>
      <c r="L70" s="114"/>
      <c r="M70" s="114"/>
      <c r="N70" s="114"/>
      <c r="O70" s="114"/>
      <c r="P70" s="114"/>
      <c r="Q70" s="114"/>
      <c r="R70" s="114"/>
      <c r="S70" s="114"/>
    </row>
    <row r="71" spans="2:19" x14ac:dyDescent="0.3">
      <c r="B71" s="114"/>
      <c r="C71" s="114"/>
      <c r="D71" s="114"/>
      <c r="E71" s="114"/>
      <c r="F71" s="114"/>
      <c r="G71" s="114"/>
      <c r="H71" s="114"/>
      <c r="I71" s="114"/>
      <c r="J71" s="114"/>
      <c r="K71" s="114"/>
      <c r="L71" s="114"/>
      <c r="M71" s="114"/>
      <c r="N71" s="114"/>
      <c r="O71" s="114"/>
      <c r="P71" s="114"/>
      <c r="Q71" s="114"/>
      <c r="R71" s="114"/>
      <c r="S71" s="114"/>
    </row>
    <row r="72" spans="2:19" x14ac:dyDescent="0.3">
      <c r="B72" s="114"/>
      <c r="C72" s="114"/>
      <c r="D72" s="114"/>
      <c r="E72" s="114"/>
      <c r="F72" s="114"/>
      <c r="G72" s="114"/>
      <c r="H72" s="114"/>
      <c r="I72" s="114"/>
      <c r="J72" s="114"/>
      <c r="K72" s="114"/>
      <c r="L72" s="114"/>
      <c r="M72" s="114"/>
      <c r="N72" s="114"/>
      <c r="O72" s="114"/>
      <c r="P72" s="114"/>
      <c r="Q72" s="114"/>
      <c r="R72" s="114"/>
      <c r="S72" s="114"/>
    </row>
    <row r="73" spans="2:19" x14ac:dyDescent="0.3">
      <c r="B73" s="114"/>
      <c r="C73" s="114"/>
      <c r="D73" s="114"/>
      <c r="E73" s="114"/>
      <c r="F73" s="114"/>
      <c r="G73" s="114"/>
      <c r="H73" s="114"/>
      <c r="I73" s="114"/>
      <c r="J73" s="114"/>
      <c r="K73" s="114"/>
      <c r="L73" s="114"/>
      <c r="M73" s="114"/>
      <c r="N73" s="114"/>
      <c r="O73" s="114"/>
      <c r="P73" s="114"/>
      <c r="Q73" s="114"/>
      <c r="R73" s="114"/>
      <c r="S73" s="114"/>
    </row>
    <row r="74" spans="2:19" x14ac:dyDescent="0.3">
      <c r="B74" s="114"/>
      <c r="C74" s="114"/>
      <c r="D74" s="114"/>
      <c r="E74" s="114"/>
      <c r="F74" s="114"/>
      <c r="G74" s="114"/>
      <c r="H74" s="114"/>
      <c r="I74" s="114"/>
      <c r="J74" s="114"/>
      <c r="K74" s="114"/>
      <c r="L74" s="114"/>
      <c r="M74" s="114"/>
      <c r="N74" s="114"/>
      <c r="O74" s="114"/>
      <c r="P74" s="114"/>
      <c r="Q74" s="114"/>
      <c r="R74" s="114"/>
      <c r="S74" s="114"/>
    </row>
    <row r="75" spans="2:19" x14ac:dyDescent="0.3">
      <c r="B75" s="114"/>
      <c r="C75" s="114"/>
      <c r="D75" s="114"/>
      <c r="E75" s="114"/>
      <c r="F75" s="114"/>
      <c r="G75" s="114"/>
      <c r="H75" s="114"/>
      <c r="I75" s="114"/>
      <c r="J75" s="114"/>
      <c r="K75" s="114"/>
      <c r="L75" s="114"/>
      <c r="M75" s="114"/>
      <c r="N75" s="114"/>
      <c r="O75" s="114"/>
      <c r="P75" s="114"/>
      <c r="Q75" s="114"/>
      <c r="R75" s="114"/>
      <c r="S75" s="114"/>
    </row>
    <row r="76" spans="2:19" x14ac:dyDescent="0.3">
      <c r="B76" s="114"/>
      <c r="C76" s="114"/>
      <c r="D76" s="114"/>
      <c r="E76" s="114"/>
      <c r="F76" s="114"/>
      <c r="G76" s="114"/>
      <c r="H76" s="114"/>
      <c r="I76" s="114"/>
      <c r="J76" s="114"/>
      <c r="K76" s="114"/>
      <c r="L76" s="114"/>
      <c r="M76" s="114"/>
      <c r="N76" s="114"/>
      <c r="O76" s="114"/>
      <c r="P76" s="114"/>
      <c r="Q76" s="114"/>
      <c r="R76" s="114"/>
      <c r="S76" s="114"/>
    </row>
    <row r="77" spans="2:19" x14ac:dyDescent="0.3">
      <c r="B77" s="114"/>
      <c r="C77" s="114"/>
      <c r="D77" s="114"/>
      <c r="E77" s="114"/>
      <c r="F77" s="114"/>
      <c r="G77" s="114"/>
      <c r="H77" s="114"/>
      <c r="I77" s="114"/>
      <c r="J77" s="114"/>
      <c r="K77" s="114"/>
      <c r="L77" s="114"/>
      <c r="M77" s="114"/>
      <c r="N77" s="114"/>
      <c r="O77" s="114"/>
      <c r="P77" s="114"/>
      <c r="Q77" s="114"/>
      <c r="R77" s="114"/>
      <c r="S77" s="114"/>
    </row>
    <row r="78" spans="2:19" x14ac:dyDescent="0.3">
      <c r="B78" s="114"/>
      <c r="C78" s="114"/>
      <c r="D78" s="114"/>
      <c r="E78" s="114"/>
      <c r="F78" s="114"/>
      <c r="G78" s="114"/>
      <c r="H78" s="114"/>
      <c r="I78" s="114"/>
      <c r="J78" s="114"/>
      <c r="K78" s="114"/>
      <c r="L78" s="114"/>
      <c r="M78" s="114"/>
      <c r="N78" s="114"/>
      <c r="O78" s="114"/>
      <c r="P78" s="114"/>
      <c r="Q78" s="114"/>
      <c r="R78" s="114"/>
      <c r="S78" s="114"/>
    </row>
    <row r="79" spans="2:19" x14ac:dyDescent="0.3">
      <c r="B79" s="114"/>
      <c r="C79" s="114"/>
      <c r="D79" s="114"/>
      <c r="E79" s="114"/>
      <c r="F79" s="114"/>
      <c r="G79" s="114"/>
      <c r="H79" s="114"/>
      <c r="I79" s="114"/>
      <c r="J79" s="114"/>
      <c r="K79" s="114"/>
      <c r="L79" s="114"/>
      <c r="M79" s="114"/>
      <c r="N79" s="114"/>
      <c r="O79" s="114"/>
      <c r="P79" s="114"/>
      <c r="Q79" s="114"/>
      <c r="R79" s="114"/>
      <c r="S79" s="114"/>
    </row>
    <row r="80" spans="2:19" ht="24.75" customHeight="1" x14ac:dyDescent="0.3">
      <c r="B80" s="112" t="s">
        <v>480</v>
      </c>
    </row>
    <row r="81" spans="3:18" x14ac:dyDescent="0.3">
      <c r="C81" s="114"/>
      <c r="D81" s="114"/>
      <c r="E81" s="114"/>
      <c r="F81" s="114"/>
      <c r="G81" s="114"/>
      <c r="H81" s="114"/>
      <c r="I81" s="114"/>
      <c r="J81" s="114"/>
      <c r="K81" s="114"/>
      <c r="L81" s="114"/>
      <c r="M81" s="114"/>
      <c r="N81" s="114"/>
      <c r="O81" s="114"/>
      <c r="P81" s="114"/>
      <c r="Q81" s="114"/>
      <c r="R81" s="114"/>
    </row>
    <row r="82" spans="3:18" ht="16.5" x14ac:dyDescent="0.3">
      <c r="C82" s="116" t="s">
        <v>490</v>
      </c>
      <c r="D82" s="114"/>
      <c r="E82" s="114"/>
      <c r="F82" s="114"/>
      <c r="G82" s="114"/>
      <c r="H82" s="114"/>
      <c r="I82" s="114"/>
      <c r="J82" s="114"/>
      <c r="K82" s="114"/>
      <c r="L82" s="114"/>
      <c r="M82" s="114"/>
      <c r="N82" s="114"/>
      <c r="O82" s="114"/>
      <c r="P82" s="114"/>
      <c r="Q82" s="114"/>
      <c r="R82" s="114"/>
    </row>
    <row r="83" spans="3:18" ht="13.5" customHeight="1" x14ac:dyDescent="0.3">
      <c r="D83" s="115" t="s">
        <v>492</v>
      </c>
      <c r="E83" s="114"/>
      <c r="F83" s="114"/>
      <c r="G83" s="114"/>
      <c r="H83" s="114"/>
      <c r="I83" s="114"/>
      <c r="J83" s="114"/>
      <c r="K83" s="114"/>
      <c r="L83" s="114"/>
      <c r="M83" s="114"/>
      <c r="N83" s="114"/>
      <c r="O83" s="114"/>
      <c r="P83" s="114"/>
      <c r="Q83" s="114"/>
      <c r="R83" s="114"/>
    </row>
    <row r="84" spans="3:18" ht="13.5" customHeight="1" x14ac:dyDescent="0.3">
      <c r="C84" s="114"/>
      <c r="D84" s="115" t="s">
        <v>493</v>
      </c>
      <c r="E84" s="114"/>
      <c r="F84" s="114"/>
      <c r="G84" s="114"/>
      <c r="H84" s="114"/>
      <c r="I84" s="114"/>
      <c r="J84" s="114"/>
      <c r="K84" s="114"/>
      <c r="L84" s="114"/>
      <c r="M84" s="114"/>
      <c r="N84" s="114"/>
      <c r="O84" s="114"/>
      <c r="P84" s="114"/>
      <c r="Q84" s="114"/>
      <c r="R84" s="114"/>
    </row>
    <row r="85" spans="3:18" ht="13.5" customHeight="1" x14ac:dyDescent="0.3">
      <c r="C85" s="114"/>
      <c r="D85" s="115"/>
      <c r="E85" s="114"/>
      <c r="F85" s="114"/>
      <c r="G85" s="114"/>
      <c r="H85" s="114"/>
      <c r="I85" s="114"/>
      <c r="J85" s="114"/>
      <c r="K85" s="114"/>
      <c r="L85" s="114"/>
      <c r="M85" s="114"/>
      <c r="N85" s="114"/>
      <c r="O85" s="114"/>
      <c r="P85" s="114"/>
      <c r="Q85" s="114"/>
      <c r="R85" s="114"/>
    </row>
    <row r="86" spans="3:18" ht="13.5" customHeight="1" x14ac:dyDescent="0.3">
      <c r="C86" s="114"/>
      <c r="D86" s="115"/>
      <c r="E86" s="114"/>
      <c r="F86" s="114"/>
      <c r="G86" s="114"/>
      <c r="H86" s="114"/>
      <c r="I86" s="114"/>
      <c r="J86" s="114"/>
      <c r="K86" s="114"/>
      <c r="L86" s="114"/>
      <c r="M86" s="114"/>
      <c r="N86" s="114"/>
      <c r="O86" s="114"/>
      <c r="P86" s="114"/>
      <c r="Q86" s="114"/>
      <c r="R86" s="114"/>
    </row>
    <row r="87" spans="3:18" x14ac:dyDescent="0.3">
      <c r="C87" s="114"/>
      <c r="D87" s="114"/>
      <c r="E87" s="114"/>
      <c r="F87" s="114"/>
      <c r="G87" s="114"/>
      <c r="H87" s="114"/>
      <c r="I87" s="114"/>
      <c r="J87" s="114"/>
      <c r="K87" s="114"/>
      <c r="L87" s="114"/>
      <c r="M87" s="114"/>
      <c r="N87" s="114"/>
      <c r="O87" s="114"/>
      <c r="P87" s="114"/>
      <c r="Q87" s="114"/>
      <c r="R87" s="114"/>
    </row>
    <row r="88" spans="3:18" x14ac:dyDescent="0.3">
      <c r="C88" s="114"/>
      <c r="D88" s="114"/>
      <c r="E88" s="114"/>
      <c r="F88" s="114"/>
      <c r="G88" s="114"/>
      <c r="H88" s="114"/>
      <c r="I88" s="114"/>
      <c r="J88" s="114"/>
      <c r="K88" s="114"/>
      <c r="L88" s="114"/>
      <c r="M88" s="114"/>
      <c r="N88" s="114"/>
      <c r="O88" s="114"/>
      <c r="P88" s="114"/>
      <c r="Q88" s="114"/>
      <c r="R88" s="114"/>
    </row>
    <row r="89" spans="3:18" x14ac:dyDescent="0.3">
      <c r="C89" s="114"/>
      <c r="D89" s="114"/>
      <c r="E89" s="114"/>
      <c r="F89" s="114"/>
      <c r="G89" s="114"/>
      <c r="H89" s="114"/>
      <c r="I89" s="114"/>
      <c r="J89" s="114"/>
      <c r="K89" s="114"/>
      <c r="L89" s="114"/>
      <c r="M89" s="114"/>
      <c r="N89" s="114"/>
      <c r="O89" s="114"/>
      <c r="P89" s="114"/>
      <c r="Q89" s="114"/>
      <c r="R89" s="114"/>
    </row>
    <row r="90" spans="3:18" x14ac:dyDescent="0.3">
      <c r="C90" s="114"/>
      <c r="D90" s="114"/>
      <c r="E90" s="114"/>
      <c r="F90" s="114"/>
      <c r="G90" s="114"/>
      <c r="H90" s="114"/>
      <c r="I90" s="114"/>
      <c r="J90" s="114"/>
      <c r="K90" s="114"/>
      <c r="L90" s="114"/>
      <c r="M90" s="114"/>
      <c r="N90" s="114"/>
      <c r="O90" s="114"/>
      <c r="P90" s="114"/>
      <c r="Q90" s="114"/>
      <c r="R90" s="114"/>
    </row>
    <row r="91" spans="3:18" x14ac:dyDescent="0.3">
      <c r="C91" s="114"/>
      <c r="D91" s="114"/>
      <c r="E91" s="114"/>
      <c r="F91" s="114"/>
      <c r="G91" s="114"/>
      <c r="H91" s="114"/>
      <c r="I91" s="114"/>
      <c r="J91" s="114"/>
      <c r="K91" s="114"/>
      <c r="L91" s="114"/>
      <c r="M91" s="114"/>
      <c r="N91" s="114"/>
      <c r="O91" s="114"/>
      <c r="P91" s="114"/>
      <c r="Q91" s="114"/>
      <c r="R91" s="114"/>
    </row>
    <row r="92" spans="3:18" x14ac:dyDescent="0.3">
      <c r="C92" s="114"/>
      <c r="D92" s="114"/>
      <c r="E92" s="114"/>
      <c r="F92" s="114"/>
      <c r="G92" s="114"/>
      <c r="H92" s="114"/>
      <c r="I92" s="114"/>
      <c r="J92" s="114"/>
      <c r="K92" s="114"/>
      <c r="L92" s="114"/>
      <c r="M92" s="114"/>
      <c r="N92" s="114"/>
      <c r="O92" s="114"/>
      <c r="P92" s="114"/>
      <c r="Q92" s="114"/>
      <c r="R92" s="114"/>
    </row>
    <row r="93" spans="3:18" x14ac:dyDescent="0.3">
      <c r="C93" s="114"/>
      <c r="D93" s="114"/>
      <c r="E93" s="114"/>
      <c r="F93" s="114"/>
      <c r="G93" s="114"/>
      <c r="H93" s="114"/>
      <c r="I93" s="114"/>
      <c r="J93" s="114"/>
      <c r="K93" s="114"/>
      <c r="L93" s="114"/>
      <c r="M93" s="114"/>
      <c r="N93" s="114"/>
      <c r="O93" s="114"/>
      <c r="P93" s="114"/>
      <c r="Q93" s="114"/>
      <c r="R93" s="114"/>
    </row>
    <row r="94" spans="3:18" x14ac:dyDescent="0.3">
      <c r="C94" s="114"/>
      <c r="D94" s="114"/>
      <c r="E94" s="114"/>
      <c r="F94" s="114"/>
      <c r="G94" s="114"/>
      <c r="H94" s="114"/>
      <c r="I94" s="114"/>
      <c r="J94" s="114"/>
      <c r="K94" s="114"/>
      <c r="L94" s="114"/>
      <c r="M94" s="114"/>
      <c r="N94" s="114"/>
      <c r="O94" s="114"/>
      <c r="P94" s="114"/>
      <c r="Q94" s="114"/>
      <c r="R94" s="114"/>
    </row>
    <row r="95" spans="3:18" x14ac:dyDescent="0.3">
      <c r="C95" s="114"/>
      <c r="D95" s="114"/>
      <c r="E95" s="114"/>
      <c r="F95" s="114"/>
      <c r="G95" s="114"/>
      <c r="H95" s="114"/>
      <c r="I95" s="114"/>
      <c r="J95" s="114"/>
      <c r="K95" s="114"/>
      <c r="L95" s="114"/>
      <c r="M95" s="114"/>
      <c r="N95" s="114"/>
      <c r="O95" s="114"/>
      <c r="P95" s="114"/>
      <c r="Q95" s="114"/>
      <c r="R95" s="114"/>
    </row>
    <row r="96" spans="3:18" x14ac:dyDescent="0.3">
      <c r="C96" s="114"/>
      <c r="D96" s="114"/>
      <c r="E96" s="114"/>
      <c r="F96" s="114"/>
      <c r="G96" s="114"/>
      <c r="H96" s="114"/>
      <c r="I96" s="114"/>
      <c r="J96" s="114"/>
      <c r="K96" s="114"/>
      <c r="L96" s="114"/>
      <c r="M96" s="114"/>
      <c r="N96" s="114"/>
      <c r="O96" s="114"/>
      <c r="P96" s="114"/>
      <c r="Q96" s="114"/>
      <c r="R96" s="114"/>
    </row>
    <row r="97" spans="3:18" x14ac:dyDescent="0.3">
      <c r="C97" s="114"/>
      <c r="D97" s="114"/>
      <c r="E97" s="114"/>
      <c r="F97" s="114"/>
      <c r="G97" s="114"/>
      <c r="H97" s="114"/>
      <c r="I97" s="114"/>
      <c r="J97" s="114"/>
      <c r="K97" s="114"/>
      <c r="L97" s="114"/>
      <c r="M97" s="114"/>
      <c r="N97" s="114"/>
      <c r="O97" s="114"/>
      <c r="P97" s="114"/>
      <c r="Q97" s="114"/>
      <c r="R97" s="114"/>
    </row>
    <row r="98" spans="3:18" x14ac:dyDescent="0.3">
      <c r="C98" s="114"/>
      <c r="D98" s="114"/>
      <c r="E98" s="114"/>
      <c r="F98" s="114"/>
      <c r="G98" s="114"/>
      <c r="H98" s="114"/>
      <c r="I98" s="114"/>
      <c r="J98" s="114"/>
      <c r="K98" s="114"/>
      <c r="L98" s="114"/>
      <c r="M98" s="114"/>
      <c r="N98" s="114"/>
      <c r="O98" s="114"/>
      <c r="P98" s="114"/>
      <c r="Q98" s="114"/>
      <c r="R98" s="114"/>
    </row>
    <row r="99" spans="3:18" x14ac:dyDescent="0.3">
      <c r="C99" s="114"/>
      <c r="D99" s="114"/>
      <c r="E99" s="114"/>
      <c r="F99" s="114"/>
      <c r="G99" s="114"/>
      <c r="H99" s="114"/>
      <c r="I99" s="114"/>
      <c r="J99" s="114"/>
      <c r="K99" s="114"/>
      <c r="L99" s="114"/>
      <c r="M99" s="114"/>
      <c r="N99" s="114"/>
      <c r="O99" s="114"/>
      <c r="P99" s="114"/>
      <c r="Q99" s="114"/>
      <c r="R99" s="114"/>
    </row>
    <row r="100" spans="3:18" x14ac:dyDescent="0.3">
      <c r="C100" s="114"/>
      <c r="D100" s="114"/>
      <c r="E100" s="114"/>
      <c r="F100" s="114"/>
      <c r="G100" s="114"/>
      <c r="H100" s="114"/>
      <c r="I100" s="114"/>
      <c r="J100" s="114"/>
      <c r="K100" s="114"/>
      <c r="L100" s="114"/>
      <c r="M100" s="114"/>
      <c r="N100" s="114"/>
      <c r="O100" s="114"/>
      <c r="P100" s="114"/>
      <c r="Q100" s="114"/>
      <c r="R100" s="114"/>
    </row>
    <row r="101" spans="3:18" x14ac:dyDescent="0.3">
      <c r="C101" s="114"/>
      <c r="D101" s="114"/>
      <c r="E101" s="114"/>
      <c r="F101" s="114"/>
      <c r="G101" s="114"/>
      <c r="H101" s="114"/>
      <c r="I101" s="114"/>
      <c r="J101" s="114"/>
      <c r="K101" s="114"/>
      <c r="L101" s="114"/>
      <c r="M101" s="114"/>
      <c r="N101" s="114"/>
      <c r="O101" s="114"/>
      <c r="P101" s="114"/>
      <c r="Q101" s="114"/>
      <c r="R101" s="114"/>
    </row>
    <row r="102" spans="3:18" x14ac:dyDescent="0.3">
      <c r="C102" s="114"/>
      <c r="D102" s="114"/>
      <c r="E102" s="114"/>
      <c r="F102" s="114"/>
      <c r="G102" s="114"/>
      <c r="H102" s="114"/>
      <c r="I102" s="114"/>
      <c r="J102" s="114"/>
      <c r="K102" s="114"/>
      <c r="L102" s="114"/>
      <c r="M102" s="114"/>
      <c r="N102" s="114"/>
      <c r="O102" s="114"/>
      <c r="P102" s="114"/>
      <c r="Q102" s="114"/>
      <c r="R102" s="114"/>
    </row>
    <row r="103" spans="3:18" x14ac:dyDescent="0.3">
      <c r="C103" s="114"/>
      <c r="D103" s="114"/>
      <c r="E103" s="114"/>
      <c r="F103" s="114"/>
      <c r="G103" s="114"/>
      <c r="H103" s="114"/>
      <c r="I103" s="114"/>
      <c r="J103" s="114"/>
      <c r="K103" s="114"/>
      <c r="L103" s="114"/>
      <c r="M103" s="114"/>
      <c r="N103" s="114"/>
      <c r="O103" s="114"/>
      <c r="P103" s="114"/>
      <c r="Q103" s="114"/>
      <c r="R103" s="114"/>
    </row>
    <row r="104" spans="3:18" x14ac:dyDescent="0.3">
      <c r="C104" s="114"/>
      <c r="D104" s="114"/>
      <c r="E104" s="114"/>
      <c r="F104" s="114"/>
      <c r="G104" s="114"/>
      <c r="H104" s="114"/>
      <c r="I104" s="114"/>
      <c r="J104" s="114"/>
      <c r="K104" s="114"/>
      <c r="L104" s="114"/>
      <c r="M104" s="114"/>
      <c r="N104" s="114"/>
      <c r="O104" s="114"/>
      <c r="P104" s="114"/>
      <c r="Q104" s="114"/>
      <c r="R104" s="114"/>
    </row>
    <row r="105" spans="3:18" x14ac:dyDescent="0.3">
      <c r="C105" s="114"/>
      <c r="D105" s="114"/>
      <c r="E105" s="114"/>
      <c r="F105" s="114"/>
      <c r="G105" s="114"/>
      <c r="H105" s="114"/>
      <c r="I105" s="114"/>
      <c r="J105" s="114"/>
      <c r="K105" s="114"/>
      <c r="L105" s="114"/>
      <c r="M105" s="114"/>
      <c r="N105" s="114"/>
      <c r="O105" s="114"/>
      <c r="P105" s="114"/>
      <c r="Q105" s="114"/>
      <c r="R105" s="114"/>
    </row>
    <row r="106" spans="3:18" x14ac:dyDescent="0.3">
      <c r="C106" s="114"/>
      <c r="D106" s="114"/>
      <c r="E106" s="114"/>
      <c r="F106" s="114"/>
      <c r="G106" s="114"/>
      <c r="H106" s="114"/>
      <c r="I106" s="114"/>
      <c r="J106" s="114"/>
      <c r="K106" s="114"/>
      <c r="L106" s="114"/>
      <c r="M106" s="114"/>
      <c r="N106" s="114"/>
      <c r="O106" s="114"/>
      <c r="P106" s="114"/>
      <c r="Q106" s="114"/>
      <c r="R106" s="114"/>
    </row>
    <row r="107" spans="3:18" x14ac:dyDescent="0.3">
      <c r="C107" s="114"/>
      <c r="D107" s="114"/>
      <c r="E107" s="114"/>
      <c r="F107" s="114"/>
      <c r="G107" s="114"/>
      <c r="H107" s="114"/>
      <c r="I107" s="114"/>
      <c r="J107" s="114"/>
      <c r="K107" s="114"/>
      <c r="L107" s="114"/>
      <c r="M107" s="114"/>
      <c r="N107" s="114"/>
      <c r="O107" s="114"/>
      <c r="P107" s="114"/>
      <c r="Q107" s="114"/>
      <c r="R107" s="114"/>
    </row>
    <row r="108" spans="3:18" x14ac:dyDescent="0.3">
      <c r="C108" s="114"/>
      <c r="D108" s="114"/>
      <c r="E108" s="114"/>
      <c r="F108" s="114"/>
      <c r="G108" s="114"/>
      <c r="H108" s="114"/>
      <c r="I108" s="114"/>
      <c r="J108" s="114"/>
      <c r="K108" s="114"/>
      <c r="L108" s="114"/>
      <c r="M108" s="114"/>
      <c r="N108" s="114"/>
      <c r="O108" s="114"/>
      <c r="P108" s="114"/>
      <c r="Q108" s="114"/>
      <c r="R108" s="114"/>
    </row>
    <row r="109" spans="3:18" x14ac:dyDescent="0.3">
      <c r="C109" s="114"/>
      <c r="D109" s="114"/>
      <c r="E109" s="114"/>
      <c r="F109" s="114"/>
      <c r="G109" s="114"/>
      <c r="H109" s="114"/>
      <c r="I109" s="114"/>
      <c r="J109" s="114"/>
      <c r="K109" s="114"/>
      <c r="L109" s="114"/>
      <c r="M109" s="114"/>
      <c r="N109" s="114"/>
      <c r="O109" s="114"/>
      <c r="P109" s="114"/>
      <c r="Q109" s="114"/>
      <c r="R109" s="114"/>
    </row>
    <row r="110" spans="3:18" x14ac:dyDescent="0.3">
      <c r="C110" s="114"/>
      <c r="D110" s="114"/>
      <c r="E110" s="114"/>
      <c r="F110" s="114"/>
      <c r="G110" s="114"/>
      <c r="H110" s="114"/>
      <c r="I110" s="114"/>
      <c r="J110" s="114"/>
      <c r="K110" s="114"/>
      <c r="L110" s="114"/>
      <c r="M110" s="114"/>
      <c r="N110" s="114"/>
      <c r="O110" s="114"/>
      <c r="P110" s="114"/>
      <c r="Q110" s="114"/>
      <c r="R110" s="114"/>
    </row>
    <row r="111" spans="3:18" x14ac:dyDescent="0.3">
      <c r="C111" s="114"/>
      <c r="D111" s="114"/>
      <c r="E111" s="114"/>
      <c r="F111" s="114"/>
      <c r="G111" s="114"/>
      <c r="H111" s="114"/>
      <c r="I111" s="114"/>
      <c r="J111" s="114"/>
      <c r="K111" s="114"/>
      <c r="L111" s="114"/>
      <c r="M111" s="114"/>
      <c r="N111" s="114"/>
      <c r="O111" s="114"/>
      <c r="P111" s="114"/>
      <c r="Q111" s="114"/>
      <c r="R111" s="114"/>
    </row>
    <row r="112" spans="3:18" x14ac:dyDescent="0.3">
      <c r="C112" s="114"/>
      <c r="D112" s="114"/>
      <c r="E112" s="114"/>
      <c r="F112" s="114"/>
      <c r="G112" s="114"/>
      <c r="H112" s="114"/>
      <c r="I112" s="114"/>
      <c r="J112" s="114"/>
      <c r="K112" s="114"/>
      <c r="L112" s="114"/>
      <c r="M112" s="114"/>
      <c r="N112" s="114"/>
      <c r="O112" s="114"/>
      <c r="P112" s="114"/>
      <c r="Q112" s="114"/>
      <c r="R112" s="114"/>
    </row>
    <row r="113" spans="3:18" x14ac:dyDescent="0.3">
      <c r="C113" s="114"/>
      <c r="D113" s="114"/>
      <c r="E113" s="114"/>
      <c r="F113" s="114"/>
      <c r="G113" s="114"/>
      <c r="H113" s="114"/>
      <c r="I113" s="114"/>
      <c r="J113" s="114"/>
      <c r="K113" s="114"/>
      <c r="L113" s="114"/>
      <c r="M113" s="114"/>
      <c r="N113" s="114"/>
      <c r="O113" s="114"/>
      <c r="P113" s="114"/>
      <c r="Q113" s="114"/>
      <c r="R113" s="114"/>
    </row>
    <row r="114" spans="3:18" x14ac:dyDescent="0.3">
      <c r="C114" s="114"/>
      <c r="D114" s="114"/>
      <c r="E114" s="114"/>
      <c r="F114" s="114"/>
      <c r="G114" s="114"/>
      <c r="H114" s="114"/>
      <c r="I114" s="114"/>
      <c r="J114" s="114"/>
      <c r="K114" s="114"/>
      <c r="L114" s="114"/>
      <c r="M114" s="114"/>
      <c r="N114" s="114"/>
      <c r="O114" s="114"/>
      <c r="P114" s="114"/>
      <c r="Q114" s="114"/>
      <c r="R114" s="114"/>
    </row>
    <row r="115" spans="3:18" x14ac:dyDescent="0.3">
      <c r="C115" s="114"/>
      <c r="D115" s="114"/>
      <c r="E115" s="114"/>
      <c r="F115" s="114"/>
      <c r="G115" s="114"/>
      <c r="H115" s="114"/>
      <c r="I115" s="114"/>
      <c r="J115" s="114"/>
      <c r="K115" s="114"/>
      <c r="L115" s="114"/>
      <c r="M115" s="114"/>
      <c r="N115" s="114"/>
      <c r="O115" s="114"/>
      <c r="P115" s="114"/>
      <c r="Q115" s="114"/>
      <c r="R115" s="114"/>
    </row>
    <row r="116" spans="3:18" x14ac:dyDescent="0.3">
      <c r="C116" s="114"/>
      <c r="D116" s="114"/>
      <c r="E116" s="114"/>
      <c r="F116" s="114"/>
      <c r="G116" s="114"/>
      <c r="H116" s="114"/>
      <c r="I116" s="114"/>
      <c r="J116" s="114"/>
      <c r="K116" s="114"/>
      <c r="L116" s="114"/>
      <c r="M116" s="114"/>
      <c r="N116" s="114"/>
      <c r="O116" s="114"/>
      <c r="P116" s="114"/>
      <c r="Q116" s="114"/>
      <c r="R116" s="114"/>
    </row>
    <row r="117" spans="3:18" ht="16.5" x14ac:dyDescent="0.3">
      <c r="C117" s="116" t="s">
        <v>496</v>
      </c>
      <c r="D117" s="114"/>
      <c r="E117" s="114"/>
      <c r="F117" s="114"/>
      <c r="G117" s="114"/>
      <c r="H117" s="114"/>
      <c r="I117" s="114"/>
      <c r="J117" s="114"/>
      <c r="K117" s="114"/>
      <c r="L117" s="114"/>
      <c r="M117" s="114"/>
      <c r="N117" s="114"/>
      <c r="O117" s="114"/>
      <c r="P117" s="114"/>
      <c r="Q117" s="114"/>
      <c r="R117" s="114"/>
    </row>
    <row r="118" spans="3:18" customFormat="1" ht="16.5" x14ac:dyDescent="0.3">
      <c r="C118" s="111"/>
      <c r="D118" s="125" t="s">
        <v>494</v>
      </c>
    </row>
    <row r="119" spans="3:18" customFormat="1" ht="16.5" x14ac:dyDescent="0.3">
      <c r="C119" s="111"/>
      <c r="D119" s="125" t="s">
        <v>495</v>
      </c>
    </row>
    <row r="120" spans="3:18" customFormat="1" ht="16.5" x14ac:dyDescent="0.3"/>
    <row r="121" spans="3:18" customFormat="1" ht="16.5" x14ac:dyDescent="0.3"/>
    <row r="122" spans="3:18" customFormat="1" ht="16.5" x14ac:dyDescent="0.3"/>
    <row r="123" spans="3:18" customFormat="1" ht="16.5" x14ac:dyDescent="0.3"/>
    <row r="124" spans="3:18" customFormat="1" ht="16.5" x14ac:dyDescent="0.3"/>
    <row r="125" spans="3:18" customFormat="1" ht="16.5" x14ac:dyDescent="0.3"/>
    <row r="126" spans="3:18" customFormat="1" ht="16.5" x14ac:dyDescent="0.3"/>
    <row r="127" spans="3:18" customFormat="1" ht="16.5" x14ac:dyDescent="0.3"/>
    <row r="128" spans="3:18" customFormat="1" ht="16.5" x14ac:dyDescent="0.3"/>
    <row r="129" spans="3:18" customFormat="1" ht="16.5" x14ac:dyDescent="0.3"/>
    <row r="130" spans="3:18" customFormat="1" ht="16.5" x14ac:dyDescent="0.3"/>
    <row r="131" spans="3:18" customFormat="1" ht="16.5" x14ac:dyDescent="0.3"/>
    <row r="132" spans="3:18" customFormat="1" ht="16.5" x14ac:dyDescent="0.3"/>
    <row r="133" spans="3:18" customFormat="1" ht="16.5" x14ac:dyDescent="0.3"/>
    <row r="134" spans="3:18" customFormat="1" ht="16.5" x14ac:dyDescent="0.3"/>
    <row r="135" spans="3:18" customFormat="1" ht="16.5" x14ac:dyDescent="0.3"/>
    <row r="136" spans="3:18" customFormat="1" ht="16.5" x14ac:dyDescent="0.3"/>
    <row r="137" spans="3:18" customFormat="1" ht="16.5" x14ac:dyDescent="0.3"/>
    <row r="138" spans="3:18" x14ac:dyDescent="0.3">
      <c r="C138" s="114"/>
      <c r="D138" s="114"/>
      <c r="E138" s="114"/>
      <c r="F138" s="114"/>
      <c r="G138" s="114"/>
      <c r="H138" s="114"/>
      <c r="I138" s="114"/>
      <c r="J138" s="114"/>
      <c r="K138" s="114"/>
      <c r="L138" s="114"/>
      <c r="M138" s="114"/>
      <c r="N138" s="114"/>
      <c r="O138" s="114"/>
      <c r="P138" s="114"/>
      <c r="Q138" s="114"/>
      <c r="R138" s="114"/>
    </row>
    <row r="139" spans="3:18" x14ac:dyDescent="0.3">
      <c r="C139" s="114"/>
      <c r="D139" s="114"/>
      <c r="E139" s="114"/>
      <c r="F139" s="114"/>
      <c r="G139" s="114"/>
      <c r="H139" s="114"/>
      <c r="I139" s="114"/>
      <c r="J139" s="114"/>
      <c r="K139" s="114"/>
      <c r="L139" s="114"/>
      <c r="M139" s="114"/>
      <c r="N139" s="114"/>
      <c r="O139" s="114"/>
      <c r="P139" s="114"/>
      <c r="Q139" s="114"/>
      <c r="R139" s="114"/>
    </row>
    <row r="140" spans="3:18" ht="16.5" x14ac:dyDescent="0.3">
      <c r="C140" s="116" t="s">
        <v>497</v>
      </c>
      <c r="D140" s="114"/>
      <c r="E140" s="114"/>
      <c r="F140" s="114"/>
      <c r="G140" s="114"/>
      <c r="H140" s="114"/>
      <c r="I140" s="114"/>
      <c r="J140" s="114"/>
      <c r="K140" s="114"/>
      <c r="L140" s="114"/>
      <c r="M140" s="114"/>
      <c r="N140" s="114"/>
      <c r="O140" s="114"/>
      <c r="P140" s="114"/>
      <c r="Q140" s="114"/>
      <c r="R140" s="114"/>
    </row>
    <row r="141" spans="3:18" x14ac:dyDescent="0.3">
      <c r="D141" s="115" t="s">
        <v>498</v>
      </c>
      <c r="E141" s="114"/>
      <c r="F141" s="114"/>
      <c r="G141" s="114"/>
      <c r="H141" s="114"/>
      <c r="I141" s="114"/>
      <c r="J141" s="114"/>
      <c r="K141" s="114"/>
      <c r="L141" s="114"/>
      <c r="M141" s="114"/>
      <c r="N141" s="114"/>
      <c r="O141" s="114"/>
      <c r="P141" s="114"/>
      <c r="Q141" s="114"/>
      <c r="R141" s="114"/>
    </row>
    <row r="142" spans="3:18" x14ac:dyDescent="0.3">
      <c r="C142" s="114"/>
      <c r="D142" s="114" t="s">
        <v>499</v>
      </c>
      <c r="E142" s="114"/>
      <c r="F142" s="114"/>
      <c r="G142" s="114"/>
      <c r="H142" s="114"/>
      <c r="I142" s="114"/>
      <c r="J142" s="114"/>
      <c r="K142" s="114"/>
      <c r="L142" s="114"/>
      <c r="M142" s="114"/>
      <c r="N142" s="114"/>
      <c r="O142" s="114"/>
      <c r="P142" s="114"/>
      <c r="Q142" s="114"/>
      <c r="R142" s="114"/>
    </row>
    <row r="143" spans="3:18" x14ac:dyDescent="0.3">
      <c r="C143" s="114"/>
      <c r="D143" s="114" t="s">
        <v>500</v>
      </c>
      <c r="E143" s="114"/>
      <c r="F143" s="114"/>
      <c r="G143" s="114"/>
      <c r="H143" s="114"/>
      <c r="I143" s="114"/>
      <c r="J143" s="114"/>
      <c r="K143" s="114"/>
      <c r="L143" s="114"/>
      <c r="M143" s="114"/>
      <c r="N143" s="114"/>
      <c r="O143" s="114"/>
      <c r="P143" s="114"/>
      <c r="Q143" s="114"/>
      <c r="R143" s="114"/>
    </row>
    <row r="144" spans="3:18" x14ac:dyDescent="0.3">
      <c r="C144" s="114"/>
      <c r="D144" s="114"/>
      <c r="E144" s="114"/>
      <c r="F144" s="114"/>
      <c r="G144" s="114"/>
      <c r="H144" s="114"/>
      <c r="I144" s="114"/>
      <c r="J144" s="114"/>
      <c r="K144" s="114"/>
      <c r="L144" s="114"/>
      <c r="M144" s="114"/>
      <c r="N144" s="114"/>
      <c r="O144" s="114"/>
      <c r="P144" s="114"/>
      <c r="Q144" s="114"/>
      <c r="R144" s="114"/>
    </row>
    <row r="145" spans="3:18" x14ac:dyDescent="0.3">
      <c r="C145" s="114"/>
      <c r="D145" s="114"/>
      <c r="E145" s="114"/>
      <c r="F145" s="114"/>
      <c r="G145" s="114"/>
      <c r="H145" s="114"/>
      <c r="I145" s="114"/>
      <c r="J145" s="114"/>
      <c r="K145" s="114"/>
      <c r="L145" s="114"/>
      <c r="M145" s="114"/>
      <c r="N145" s="114"/>
      <c r="O145" s="114"/>
      <c r="P145" s="114"/>
      <c r="Q145" s="114"/>
      <c r="R145" s="114"/>
    </row>
    <row r="146" spans="3:18" x14ac:dyDescent="0.3">
      <c r="C146" s="114"/>
      <c r="D146" s="114"/>
      <c r="E146" s="114"/>
      <c r="F146" s="114"/>
      <c r="G146" s="114"/>
      <c r="H146" s="114"/>
      <c r="I146" s="114"/>
      <c r="J146" s="114"/>
      <c r="K146" s="114"/>
      <c r="L146" s="114"/>
      <c r="M146" s="114"/>
      <c r="N146" s="114"/>
      <c r="O146" s="114"/>
      <c r="P146" s="114"/>
      <c r="Q146" s="114"/>
      <c r="R146" s="114"/>
    </row>
    <row r="147" spans="3:18" x14ac:dyDescent="0.3">
      <c r="C147" s="114"/>
      <c r="D147" s="114"/>
      <c r="E147" s="114"/>
      <c r="F147" s="114"/>
      <c r="G147" s="114"/>
      <c r="H147" s="114"/>
      <c r="I147" s="114"/>
      <c r="J147" s="114"/>
      <c r="K147" s="114"/>
      <c r="L147" s="114"/>
      <c r="M147" s="114"/>
      <c r="N147" s="114"/>
      <c r="O147" s="114"/>
      <c r="P147" s="114"/>
      <c r="Q147" s="114"/>
      <c r="R147" s="114"/>
    </row>
    <row r="148" spans="3:18" x14ac:dyDescent="0.3">
      <c r="C148" s="114"/>
      <c r="D148" s="114"/>
      <c r="E148" s="114"/>
      <c r="F148" s="114"/>
      <c r="G148" s="114"/>
      <c r="H148" s="114"/>
      <c r="I148" s="114"/>
      <c r="J148" s="114"/>
      <c r="K148" s="114"/>
      <c r="L148" s="114"/>
      <c r="M148" s="114"/>
      <c r="N148" s="114"/>
      <c r="O148" s="114"/>
      <c r="P148" s="114"/>
      <c r="Q148" s="114"/>
      <c r="R148" s="114"/>
    </row>
    <row r="149" spans="3:18" x14ac:dyDescent="0.3">
      <c r="C149" s="114"/>
      <c r="D149" s="114"/>
      <c r="E149" s="114"/>
      <c r="F149" s="114"/>
      <c r="G149" s="114"/>
      <c r="H149" s="114"/>
      <c r="I149" s="114"/>
      <c r="J149" s="114"/>
      <c r="K149" s="114"/>
      <c r="L149" s="114"/>
      <c r="M149" s="114"/>
      <c r="N149" s="114"/>
      <c r="O149" s="114"/>
      <c r="P149" s="114"/>
      <c r="Q149" s="114"/>
      <c r="R149" s="114"/>
    </row>
    <row r="150" spans="3:18" x14ac:dyDescent="0.3">
      <c r="C150" s="114"/>
      <c r="D150" s="114"/>
      <c r="E150" s="114"/>
      <c r="F150" s="114"/>
      <c r="G150" s="114"/>
      <c r="H150" s="114"/>
      <c r="I150" s="114"/>
      <c r="J150" s="114"/>
      <c r="K150" s="114"/>
      <c r="L150" s="114"/>
      <c r="M150" s="114"/>
      <c r="N150" s="114"/>
      <c r="O150" s="114"/>
      <c r="P150" s="114"/>
      <c r="Q150" s="114"/>
      <c r="R150" s="114"/>
    </row>
    <row r="151" spans="3:18" x14ac:dyDescent="0.3">
      <c r="C151" s="114"/>
      <c r="D151" s="114"/>
      <c r="E151" s="114"/>
      <c r="F151" s="114"/>
      <c r="G151" s="114"/>
      <c r="H151" s="114"/>
      <c r="I151" s="114"/>
      <c r="J151" s="114"/>
      <c r="K151" s="114"/>
      <c r="L151" s="114"/>
      <c r="M151" s="114"/>
      <c r="N151" s="114"/>
      <c r="O151" s="114"/>
      <c r="P151" s="114"/>
      <c r="Q151" s="114"/>
      <c r="R151" s="114"/>
    </row>
    <row r="152" spans="3:18" x14ac:dyDescent="0.3">
      <c r="C152" s="114"/>
      <c r="D152" s="114"/>
      <c r="E152" s="114"/>
      <c r="F152" s="114"/>
      <c r="G152" s="114"/>
      <c r="H152" s="114"/>
      <c r="I152" s="114"/>
      <c r="J152" s="114"/>
      <c r="K152" s="114"/>
      <c r="L152" s="114"/>
      <c r="M152" s="114"/>
      <c r="N152" s="114"/>
      <c r="O152" s="114"/>
      <c r="P152" s="114"/>
      <c r="Q152" s="114"/>
      <c r="R152" s="114"/>
    </row>
    <row r="153" spans="3:18" x14ac:dyDescent="0.3">
      <c r="C153" s="114"/>
      <c r="D153" s="114"/>
      <c r="E153" s="114"/>
      <c r="F153" s="114"/>
      <c r="G153" s="114"/>
      <c r="H153" s="114"/>
      <c r="I153" s="114"/>
      <c r="J153" s="114"/>
      <c r="K153" s="114"/>
      <c r="L153" s="114"/>
      <c r="M153" s="114"/>
      <c r="N153" s="114"/>
      <c r="O153" s="114"/>
      <c r="P153" s="114"/>
      <c r="Q153" s="114"/>
      <c r="R153" s="114"/>
    </row>
    <row r="154" spans="3:18" x14ac:dyDescent="0.3">
      <c r="C154" s="114"/>
      <c r="D154" s="114"/>
      <c r="E154" s="114"/>
      <c r="F154" s="114"/>
      <c r="G154" s="114"/>
      <c r="H154" s="114"/>
      <c r="I154" s="114"/>
      <c r="J154" s="114"/>
      <c r="K154" s="114"/>
      <c r="L154" s="114"/>
      <c r="M154" s="114"/>
      <c r="N154" s="114"/>
      <c r="O154" s="114"/>
      <c r="P154" s="114"/>
      <c r="Q154" s="114"/>
      <c r="R154" s="114"/>
    </row>
    <row r="155" spans="3:18" x14ac:dyDescent="0.3">
      <c r="C155" s="114"/>
      <c r="D155" s="114"/>
      <c r="E155" s="114"/>
      <c r="F155" s="114"/>
      <c r="G155" s="114"/>
      <c r="H155" s="114"/>
      <c r="I155" s="114"/>
      <c r="J155" s="114"/>
      <c r="K155" s="114"/>
      <c r="L155" s="114"/>
      <c r="M155" s="114"/>
      <c r="N155" s="114"/>
      <c r="O155" s="114"/>
      <c r="P155" s="114"/>
      <c r="Q155" s="114"/>
      <c r="R155" s="114"/>
    </row>
    <row r="156" spans="3:18" x14ac:dyDescent="0.3">
      <c r="C156" s="114"/>
      <c r="D156" s="114"/>
      <c r="E156" s="114"/>
      <c r="F156" s="114"/>
      <c r="G156" s="114"/>
      <c r="H156" s="114"/>
      <c r="I156" s="114"/>
      <c r="J156" s="114"/>
      <c r="K156" s="114"/>
      <c r="L156" s="114"/>
      <c r="M156" s="114"/>
      <c r="N156" s="114"/>
      <c r="O156" s="114"/>
      <c r="P156" s="114"/>
      <c r="Q156" s="114"/>
      <c r="R156" s="114"/>
    </row>
    <row r="157" spans="3:18" x14ac:dyDescent="0.3">
      <c r="C157" s="114"/>
      <c r="D157" s="114"/>
      <c r="E157" s="114"/>
      <c r="F157" s="114"/>
      <c r="G157" s="114"/>
      <c r="H157" s="114"/>
      <c r="I157" s="114"/>
      <c r="J157" s="114"/>
      <c r="K157" s="114"/>
      <c r="L157" s="114"/>
      <c r="M157" s="114"/>
      <c r="N157" s="114"/>
      <c r="O157" s="114"/>
      <c r="P157" s="114"/>
      <c r="Q157" s="114"/>
      <c r="R157" s="114"/>
    </row>
    <row r="158" spans="3:18" x14ac:dyDescent="0.3">
      <c r="C158" s="114"/>
      <c r="D158" s="114"/>
      <c r="E158" s="114"/>
      <c r="F158" s="114"/>
      <c r="G158" s="114"/>
      <c r="H158" s="114"/>
      <c r="I158" s="114"/>
      <c r="J158" s="114"/>
      <c r="K158" s="114"/>
      <c r="L158" s="114"/>
      <c r="M158" s="114"/>
      <c r="N158" s="114"/>
      <c r="O158" s="114"/>
      <c r="P158" s="114"/>
      <c r="Q158" s="114"/>
      <c r="R158" s="114"/>
    </row>
    <row r="159" spans="3:18" x14ac:dyDescent="0.3">
      <c r="C159" s="114"/>
      <c r="D159" s="114"/>
      <c r="E159" s="114"/>
      <c r="F159" s="114"/>
      <c r="G159" s="114"/>
      <c r="H159" s="114"/>
      <c r="I159" s="114"/>
      <c r="J159" s="114"/>
      <c r="K159" s="114"/>
      <c r="L159" s="114"/>
      <c r="M159" s="114"/>
      <c r="N159" s="114"/>
      <c r="O159" s="114"/>
      <c r="P159" s="114"/>
      <c r="Q159" s="114"/>
      <c r="R159" s="114"/>
    </row>
    <row r="160" spans="3:18" x14ac:dyDescent="0.3">
      <c r="C160" s="114"/>
      <c r="D160" s="114"/>
      <c r="E160" s="114"/>
      <c r="F160" s="114"/>
      <c r="G160" s="114"/>
      <c r="H160" s="114"/>
      <c r="I160" s="114"/>
      <c r="J160" s="114"/>
      <c r="K160" s="114"/>
      <c r="L160" s="114"/>
      <c r="M160" s="114"/>
      <c r="N160" s="114"/>
      <c r="O160" s="114"/>
      <c r="P160" s="114"/>
      <c r="Q160" s="114"/>
      <c r="R160" s="114"/>
    </row>
    <row r="161" spans="3:18" x14ac:dyDescent="0.3">
      <c r="C161" s="114"/>
      <c r="D161" s="114"/>
      <c r="E161" s="114"/>
      <c r="F161" s="114"/>
      <c r="G161" s="114"/>
      <c r="H161" s="114"/>
      <c r="I161" s="114"/>
      <c r="J161" s="114"/>
      <c r="K161" s="114"/>
      <c r="L161" s="114"/>
      <c r="M161" s="114"/>
      <c r="N161" s="114"/>
      <c r="O161" s="114"/>
      <c r="P161" s="114"/>
      <c r="Q161" s="114"/>
      <c r="R161" s="114"/>
    </row>
    <row r="162" spans="3:18" x14ac:dyDescent="0.3">
      <c r="C162" s="114"/>
      <c r="D162" s="114"/>
      <c r="E162" s="114"/>
      <c r="F162" s="114"/>
      <c r="G162" s="114"/>
      <c r="H162" s="114"/>
      <c r="I162" s="114"/>
      <c r="J162" s="114"/>
      <c r="K162" s="114"/>
      <c r="L162" s="114"/>
      <c r="M162" s="114"/>
      <c r="N162" s="114"/>
      <c r="O162" s="114"/>
      <c r="P162" s="114"/>
      <c r="Q162" s="114"/>
      <c r="R162" s="114"/>
    </row>
    <row r="163" spans="3:18" x14ac:dyDescent="0.3">
      <c r="C163" s="114"/>
      <c r="D163" s="114"/>
      <c r="E163" s="114"/>
      <c r="F163" s="114"/>
      <c r="G163" s="114"/>
      <c r="H163" s="114"/>
      <c r="I163" s="114"/>
      <c r="J163" s="114"/>
      <c r="K163" s="114"/>
      <c r="L163" s="114"/>
      <c r="M163" s="114"/>
      <c r="N163" s="114"/>
      <c r="O163" s="114"/>
      <c r="P163" s="114"/>
      <c r="Q163" s="114"/>
      <c r="R163" s="114"/>
    </row>
    <row r="164" spans="3:18" x14ac:dyDescent="0.3">
      <c r="C164" s="114"/>
      <c r="D164" s="114"/>
      <c r="E164" s="114"/>
      <c r="F164" s="114"/>
      <c r="G164" s="114"/>
      <c r="H164" s="114"/>
      <c r="I164" s="114"/>
      <c r="J164" s="114"/>
      <c r="K164" s="114"/>
      <c r="L164" s="114"/>
      <c r="M164" s="114"/>
      <c r="N164" s="114"/>
      <c r="O164" s="114"/>
      <c r="P164" s="114"/>
      <c r="Q164" s="114"/>
      <c r="R164" s="114"/>
    </row>
    <row r="165" spans="3:18" x14ac:dyDescent="0.3">
      <c r="C165" s="114"/>
      <c r="D165" s="114"/>
      <c r="E165" s="114"/>
      <c r="F165" s="114"/>
      <c r="G165" s="114"/>
      <c r="H165" s="114"/>
      <c r="I165" s="114"/>
      <c r="J165" s="114"/>
      <c r="K165" s="114"/>
      <c r="L165" s="114"/>
      <c r="M165" s="114"/>
      <c r="N165" s="114"/>
      <c r="O165" s="114"/>
      <c r="P165" s="114"/>
      <c r="Q165" s="114"/>
      <c r="R165" s="114"/>
    </row>
    <row r="166" spans="3:18" x14ac:dyDescent="0.3">
      <c r="C166" s="114"/>
      <c r="D166" s="114"/>
      <c r="E166" s="114"/>
      <c r="F166" s="114"/>
      <c r="G166" s="114"/>
      <c r="H166" s="114"/>
      <c r="I166" s="114"/>
      <c r="J166" s="114"/>
      <c r="K166" s="114"/>
      <c r="L166" s="114"/>
      <c r="M166" s="114"/>
      <c r="N166" s="114"/>
      <c r="O166" s="114"/>
      <c r="P166" s="114"/>
      <c r="Q166" s="114"/>
      <c r="R166" s="114"/>
    </row>
    <row r="167" spans="3:18" x14ac:dyDescent="0.3">
      <c r="C167" s="114"/>
      <c r="D167" s="114"/>
      <c r="E167" s="114"/>
      <c r="F167" s="114"/>
      <c r="G167" s="114"/>
      <c r="H167" s="114"/>
      <c r="I167" s="114"/>
      <c r="J167" s="114"/>
      <c r="K167" s="114"/>
      <c r="L167" s="114"/>
      <c r="M167" s="114"/>
      <c r="N167" s="114"/>
      <c r="O167" s="114"/>
      <c r="P167" s="114"/>
      <c r="Q167" s="114"/>
      <c r="R167" s="114"/>
    </row>
    <row r="168" spans="3:18" x14ac:dyDescent="0.3">
      <c r="C168" s="114"/>
      <c r="D168" s="114"/>
      <c r="E168" s="114"/>
      <c r="F168" s="114"/>
      <c r="G168" s="114"/>
      <c r="H168" s="114"/>
      <c r="I168" s="114"/>
      <c r="J168" s="114"/>
      <c r="K168" s="114"/>
      <c r="L168" s="114"/>
      <c r="M168" s="114"/>
      <c r="N168" s="114"/>
      <c r="O168" s="114"/>
      <c r="P168" s="114"/>
      <c r="Q168" s="114"/>
      <c r="R168" s="114"/>
    </row>
    <row r="169" spans="3:18" x14ac:dyDescent="0.3">
      <c r="C169" s="114"/>
      <c r="D169" s="114"/>
      <c r="E169" s="114"/>
      <c r="F169" s="114"/>
      <c r="G169" s="114"/>
      <c r="H169" s="114"/>
      <c r="I169" s="114"/>
      <c r="J169" s="114"/>
      <c r="K169" s="114"/>
      <c r="L169" s="114"/>
      <c r="M169" s="114"/>
      <c r="N169" s="114"/>
      <c r="O169" s="114"/>
      <c r="P169" s="114"/>
      <c r="Q169" s="114"/>
      <c r="R169" s="114"/>
    </row>
    <row r="170" spans="3:18" x14ac:dyDescent="0.3">
      <c r="C170" s="114"/>
      <c r="D170" s="114"/>
      <c r="E170" s="114"/>
      <c r="F170" s="114"/>
      <c r="G170" s="114"/>
      <c r="H170" s="114"/>
      <c r="I170" s="114"/>
      <c r="J170" s="114"/>
      <c r="K170" s="114"/>
      <c r="L170" s="114"/>
      <c r="M170" s="114"/>
      <c r="N170" s="114"/>
      <c r="O170" s="114"/>
      <c r="P170" s="114"/>
      <c r="Q170" s="114"/>
      <c r="R170" s="114"/>
    </row>
    <row r="171" spans="3:18" x14ac:dyDescent="0.3">
      <c r="C171" s="114"/>
      <c r="D171" s="114"/>
      <c r="E171" s="114"/>
      <c r="F171" s="114"/>
      <c r="G171" s="114"/>
      <c r="H171" s="114"/>
      <c r="I171" s="114"/>
      <c r="J171" s="114"/>
      <c r="K171" s="114"/>
      <c r="L171" s="114"/>
      <c r="M171" s="114"/>
      <c r="N171" s="114"/>
      <c r="O171" s="114"/>
      <c r="P171" s="114"/>
      <c r="Q171" s="114"/>
      <c r="R171" s="114"/>
    </row>
    <row r="172" spans="3:18" x14ac:dyDescent="0.3">
      <c r="C172" s="114"/>
      <c r="D172" s="114"/>
      <c r="E172" s="114"/>
      <c r="F172" s="114"/>
      <c r="G172" s="114"/>
      <c r="H172" s="114"/>
      <c r="I172" s="114"/>
      <c r="J172" s="114"/>
      <c r="K172" s="114"/>
      <c r="L172" s="114"/>
      <c r="M172" s="114"/>
      <c r="N172" s="114"/>
      <c r="O172" s="114"/>
      <c r="P172" s="114"/>
      <c r="Q172" s="114"/>
      <c r="R172" s="114"/>
    </row>
    <row r="173" spans="3:18" x14ac:dyDescent="0.3">
      <c r="C173" s="114"/>
      <c r="D173" s="114"/>
      <c r="E173" s="114"/>
      <c r="F173" s="114"/>
      <c r="G173" s="114"/>
      <c r="H173" s="114"/>
      <c r="I173" s="114"/>
      <c r="J173" s="114"/>
      <c r="K173" s="114"/>
      <c r="L173" s="114"/>
      <c r="M173" s="114"/>
      <c r="N173" s="114"/>
      <c r="O173" s="114"/>
      <c r="P173" s="114"/>
      <c r="Q173" s="114"/>
      <c r="R173" s="114"/>
    </row>
    <row r="174" spans="3:18" x14ac:dyDescent="0.3">
      <c r="C174" s="114"/>
      <c r="D174" s="114"/>
      <c r="E174" s="114"/>
      <c r="F174" s="114"/>
      <c r="G174" s="114"/>
      <c r="H174" s="114"/>
      <c r="I174" s="114"/>
      <c r="J174" s="114"/>
      <c r="K174" s="114"/>
      <c r="L174" s="114"/>
      <c r="M174" s="114"/>
      <c r="N174" s="114"/>
      <c r="O174" s="114"/>
      <c r="P174" s="114"/>
      <c r="Q174" s="114"/>
      <c r="R174" s="114"/>
    </row>
    <row r="175" spans="3:18" x14ac:dyDescent="0.3">
      <c r="C175" s="114"/>
      <c r="D175" s="114"/>
      <c r="E175" s="114"/>
      <c r="F175" s="114"/>
      <c r="G175" s="114"/>
      <c r="H175" s="114"/>
      <c r="I175" s="114"/>
      <c r="J175" s="114"/>
      <c r="K175" s="114"/>
      <c r="L175" s="114"/>
      <c r="M175" s="114"/>
      <c r="N175" s="114"/>
      <c r="O175" s="114"/>
      <c r="P175" s="114"/>
      <c r="Q175" s="114"/>
      <c r="R175" s="114"/>
    </row>
    <row r="176" spans="3:18" x14ac:dyDescent="0.3">
      <c r="C176" s="114"/>
      <c r="D176" s="114"/>
      <c r="E176" s="114"/>
      <c r="F176" s="114"/>
      <c r="G176" s="114"/>
      <c r="H176" s="114"/>
      <c r="I176" s="114"/>
      <c r="J176" s="114"/>
      <c r="K176" s="114"/>
      <c r="L176" s="114"/>
      <c r="M176" s="114"/>
      <c r="N176" s="114"/>
      <c r="O176" s="114"/>
      <c r="P176" s="114"/>
      <c r="Q176" s="114"/>
      <c r="R176" s="114"/>
    </row>
    <row r="177" spans="2:18" x14ac:dyDescent="0.3">
      <c r="C177" s="114"/>
      <c r="D177" s="114"/>
      <c r="E177" s="114"/>
      <c r="F177" s="114"/>
      <c r="G177" s="114"/>
      <c r="H177" s="114"/>
      <c r="I177" s="114"/>
      <c r="J177" s="114"/>
      <c r="K177" s="114"/>
      <c r="L177" s="114"/>
      <c r="M177" s="114"/>
      <c r="N177" s="114"/>
      <c r="O177" s="114"/>
      <c r="P177" s="114"/>
      <c r="Q177" s="114"/>
      <c r="R177" s="114"/>
    </row>
    <row r="178" spans="2:18" x14ac:dyDescent="0.3">
      <c r="C178" s="114"/>
      <c r="D178" s="114"/>
      <c r="E178" s="114"/>
      <c r="F178" s="114"/>
      <c r="G178" s="114"/>
      <c r="H178" s="114"/>
      <c r="I178" s="114"/>
      <c r="J178" s="114"/>
      <c r="K178" s="114"/>
      <c r="L178" s="114"/>
      <c r="M178" s="114"/>
      <c r="N178" s="114"/>
      <c r="O178" s="114"/>
      <c r="P178" s="114"/>
      <c r="Q178" s="114"/>
      <c r="R178" s="114"/>
    </row>
    <row r="179" spans="2:18" x14ac:dyDescent="0.3">
      <c r="C179" s="114"/>
      <c r="D179" s="114"/>
      <c r="E179" s="114"/>
      <c r="F179" s="114"/>
      <c r="G179" s="114"/>
      <c r="H179" s="114"/>
      <c r="I179" s="114"/>
      <c r="J179" s="114"/>
      <c r="K179" s="114"/>
      <c r="L179" s="114"/>
      <c r="M179" s="114"/>
      <c r="N179" s="114"/>
      <c r="O179" s="114"/>
      <c r="P179" s="114"/>
      <c r="Q179" s="114"/>
      <c r="R179" s="114"/>
    </row>
    <row r="180" spans="2:18" x14ac:dyDescent="0.3">
      <c r="C180" s="114"/>
      <c r="D180" s="114"/>
      <c r="E180" s="114"/>
      <c r="F180" s="114"/>
      <c r="G180" s="114"/>
      <c r="H180" s="114"/>
      <c r="I180" s="114"/>
      <c r="J180" s="114"/>
      <c r="K180" s="114"/>
      <c r="L180" s="114"/>
      <c r="M180" s="114"/>
      <c r="N180" s="114"/>
      <c r="O180" s="114"/>
      <c r="P180" s="114"/>
      <c r="Q180" s="114"/>
      <c r="R180" s="114"/>
    </row>
    <row r="181" spans="2:18" x14ac:dyDescent="0.3">
      <c r="C181" s="114"/>
      <c r="D181" s="114"/>
      <c r="E181" s="114"/>
      <c r="F181" s="114"/>
      <c r="G181" s="114"/>
      <c r="H181" s="114"/>
      <c r="I181" s="114"/>
      <c r="J181" s="114"/>
      <c r="K181" s="114"/>
      <c r="L181" s="114"/>
      <c r="M181" s="114"/>
      <c r="N181" s="114"/>
      <c r="O181" s="114"/>
      <c r="P181" s="114"/>
      <c r="Q181" s="114"/>
      <c r="R181" s="114"/>
    </row>
    <row r="183" spans="2:18" ht="24.75" customHeight="1" x14ac:dyDescent="0.3">
      <c r="B183" s="112" t="s">
        <v>409</v>
      </c>
    </row>
    <row r="184" spans="2:18" ht="7.5" customHeight="1" x14ac:dyDescent="0.3">
      <c r="D184" s="114"/>
      <c r="E184" s="114"/>
      <c r="F184" s="114"/>
      <c r="G184" s="114"/>
      <c r="H184" s="114"/>
      <c r="I184" s="114"/>
      <c r="J184" s="114"/>
      <c r="K184" s="114"/>
    </row>
    <row r="185" spans="2:18" ht="16.5" x14ac:dyDescent="0.3">
      <c r="C185" s="113" t="s">
        <v>410</v>
      </c>
      <c r="D185" s="114"/>
      <c r="E185" s="114"/>
      <c r="F185" s="114"/>
      <c r="G185" s="114"/>
      <c r="H185" s="114"/>
      <c r="I185" s="114"/>
      <c r="J185" s="114"/>
      <c r="K185" s="114"/>
    </row>
    <row r="186" spans="2:18" x14ac:dyDescent="0.3">
      <c r="D186" s="114" t="s">
        <v>411</v>
      </c>
      <c r="E186" s="114"/>
      <c r="F186" s="114"/>
      <c r="G186" s="114"/>
      <c r="H186" s="114"/>
      <c r="I186" s="114"/>
      <c r="J186" s="114"/>
      <c r="K186" s="114"/>
    </row>
    <row r="187" spans="2:18" x14ac:dyDescent="0.3">
      <c r="D187" s="114"/>
      <c r="E187" s="114"/>
      <c r="F187" s="114"/>
      <c r="G187" s="114"/>
      <c r="H187" s="114"/>
      <c r="I187" s="114"/>
      <c r="J187" s="114"/>
      <c r="K187" s="114"/>
    </row>
    <row r="188" spans="2:18" x14ac:dyDescent="0.3">
      <c r="D188" s="157" t="s">
        <v>399</v>
      </c>
      <c r="E188" s="157"/>
      <c r="F188" s="147" t="s">
        <v>402</v>
      </c>
      <c r="G188" s="148"/>
      <c r="H188" s="148"/>
      <c r="I188" s="148"/>
      <c r="J188" s="148"/>
      <c r="K188" s="149"/>
    </row>
    <row r="189" spans="2:18" ht="28.5" customHeight="1" x14ac:dyDescent="0.3">
      <c r="D189" s="156" t="s">
        <v>400</v>
      </c>
      <c r="E189" s="156"/>
      <c r="F189" s="153" t="s">
        <v>403</v>
      </c>
      <c r="G189" s="154"/>
      <c r="H189" s="154"/>
      <c r="I189" s="154"/>
      <c r="J189" s="154"/>
      <c r="K189" s="154"/>
    </row>
    <row r="190" spans="2:18" ht="31.5" customHeight="1" x14ac:dyDescent="0.3">
      <c r="D190" s="156" t="s">
        <v>394</v>
      </c>
      <c r="E190" s="156"/>
      <c r="F190" s="153" t="s">
        <v>407</v>
      </c>
      <c r="G190" s="154"/>
      <c r="H190" s="154"/>
      <c r="I190" s="154"/>
      <c r="J190" s="154"/>
      <c r="K190" s="154"/>
    </row>
    <row r="191" spans="2:18" ht="29.25" customHeight="1" x14ac:dyDescent="0.3">
      <c r="D191" s="156" t="s">
        <v>395</v>
      </c>
      <c r="E191" s="156"/>
      <c r="F191" s="153" t="s">
        <v>408</v>
      </c>
      <c r="G191" s="154"/>
      <c r="H191" s="154"/>
      <c r="I191" s="154"/>
      <c r="J191" s="154"/>
      <c r="K191" s="154"/>
    </row>
    <row r="192" spans="2:18" ht="27.75" customHeight="1" x14ac:dyDescent="0.3">
      <c r="D192" s="156" t="s">
        <v>396</v>
      </c>
      <c r="E192" s="156"/>
      <c r="F192" s="153" t="s">
        <v>405</v>
      </c>
      <c r="G192" s="154"/>
      <c r="H192" s="154"/>
      <c r="I192" s="154"/>
      <c r="J192" s="154"/>
      <c r="K192" s="154"/>
    </row>
    <row r="193" spans="3:14" ht="27.75" customHeight="1" x14ac:dyDescent="0.3">
      <c r="D193" s="156" t="s">
        <v>397</v>
      </c>
      <c r="E193" s="156"/>
      <c r="F193" s="153" t="s">
        <v>406</v>
      </c>
      <c r="G193" s="154"/>
      <c r="H193" s="154"/>
      <c r="I193" s="154"/>
      <c r="J193" s="154"/>
      <c r="K193" s="154"/>
    </row>
    <row r="194" spans="3:14" ht="30.75" customHeight="1" x14ac:dyDescent="0.3">
      <c r="D194" s="155" t="s">
        <v>398</v>
      </c>
      <c r="E194" s="155"/>
      <c r="F194" s="153" t="s">
        <v>404</v>
      </c>
      <c r="G194" s="154"/>
      <c r="H194" s="154"/>
      <c r="I194" s="154"/>
      <c r="J194" s="154"/>
      <c r="K194" s="154"/>
    </row>
    <row r="195" spans="3:14" x14ac:dyDescent="0.3">
      <c r="D195" s="114"/>
      <c r="E195" s="114"/>
      <c r="F195" s="114"/>
      <c r="G195" s="114"/>
      <c r="H195" s="114"/>
      <c r="I195" s="114"/>
      <c r="J195" s="114"/>
      <c r="K195" s="114"/>
    </row>
    <row r="196" spans="3:14" x14ac:dyDescent="0.3">
      <c r="D196" s="114"/>
      <c r="E196" s="114"/>
      <c r="F196" s="114"/>
      <c r="G196" s="114"/>
      <c r="H196" s="114"/>
      <c r="I196" s="114"/>
      <c r="J196" s="114"/>
      <c r="K196" s="114"/>
    </row>
    <row r="197" spans="3:14" ht="16.5" x14ac:dyDescent="0.3">
      <c r="C197" s="113" t="s">
        <v>465</v>
      </c>
      <c r="D197" s="114"/>
      <c r="E197" s="114"/>
      <c r="F197" s="114"/>
      <c r="G197" s="114"/>
      <c r="H197" s="114"/>
      <c r="I197" s="114"/>
      <c r="J197" s="114"/>
      <c r="K197" s="114"/>
    </row>
    <row r="198" spans="3:14" x14ac:dyDescent="0.3">
      <c r="D198" s="114" t="s">
        <v>466</v>
      </c>
      <c r="E198" s="114"/>
      <c r="F198" s="114"/>
      <c r="G198" s="114"/>
      <c r="H198" s="114"/>
      <c r="I198" s="114"/>
      <c r="J198" s="114"/>
      <c r="K198" s="114"/>
    </row>
    <row r="199" spans="3:14" ht="16.5" x14ac:dyDescent="0.3">
      <c r="C199" s="113"/>
      <c r="D199" s="114"/>
      <c r="E199" s="114"/>
      <c r="F199" s="114"/>
      <c r="G199" s="114"/>
      <c r="H199" s="114"/>
      <c r="I199" s="114"/>
      <c r="J199" s="114"/>
      <c r="K199" s="114"/>
    </row>
    <row r="200" spans="3:14" x14ac:dyDescent="0.3">
      <c r="D200" s="140" t="s">
        <v>463</v>
      </c>
      <c r="E200" s="140"/>
      <c r="F200" s="140"/>
      <c r="G200" s="147" t="s">
        <v>464</v>
      </c>
      <c r="H200" s="148"/>
      <c r="I200" s="148"/>
      <c r="J200" s="149"/>
      <c r="K200" s="140" t="s">
        <v>401</v>
      </c>
      <c r="L200" s="140"/>
      <c r="M200" s="140"/>
      <c r="N200" s="140"/>
    </row>
    <row r="201" spans="3:14" ht="16.5" x14ac:dyDescent="0.3">
      <c r="D201" s="151" t="s">
        <v>412</v>
      </c>
      <c r="E201" s="151"/>
      <c r="F201" s="151"/>
      <c r="G201" s="141" t="s">
        <v>413</v>
      </c>
      <c r="H201" s="142"/>
      <c r="I201" s="142"/>
      <c r="J201" s="143"/>
      <c r="K201" s="128" t="s">
        <v>478</v>
      </c>
      <c r="L201" s="129"/>
      <c r="M201" s="129"/>
      <c r="N201" s="130"/>
    </row>
    <row r="202" spans="3:14" ht="16.5" x14ac:dyDescent="0.3">
      <c r="D202" s="151" t="s">
        <v>414</v>
      </c>
      <c r="E202" s="151"/>
      <c r="F202" s="151"/>
      <c r="G202" s="141" t="s">
        <v>415</v>
      </c>
      <c r="H202" s="142"/>
      <c r="I202" s="142"/>
      <c r="J202" s="143"/>
      <c r="K202" s="131"/>
      <c r="L202" s="132"/>
      <c r="M202" s="132"/>
      <c r="N202" s="133"/>
    </row>
    <row r="203" spans="3:14" ht="16.5" x14ac:dyDescent="0.3">
      <c r="D203" s="151" t="s">
        <v>416</v>
      </c>
      <c r="E203" s="151"/>
      <c r="F203" s="151"/>
      <c r="G203" s="141" t="s">
        <v>417</v>
      </c>
      <c r="H203" s="142"/>
      <c r="I203" s="142"/>
      <c r="J203" s="143"/>
      <c r="K203" s="131"/>
      <c r="L203" s="132"/>
      <c r="M203" s="132"/>
      <c r="N203" s="133"/>
    </row>
    <row r="204" spans="3:14" ht="16.5" x14ac:dyDescent="0.3">
      <c r="D204" s="151" t="s">
        <v>418</v>
      </c>
      <c r="E204" s="151"/>
      <c r="F204" s="151"/>
      <c r="G204" s="141" t="s">
        <v>419</v>
      </c>
      <c r="H204" s="142"/>
      <c r="I204" s="142"/>
      <c r="J204" s="143"/>
      <c r="K204" s="131"/>
      <c r="L204" s="132"/>
      <c r="M204" s="132"/>
      <c r="N204" s="133"/>
    </row>
    <row r="205" spans="3:14" ht="16.5" x14ac:dyDescent="0.3">
      <c r="D205" s="151" t="s">
        <v>420</v>
      </c>
      <c r="E205" s="151"/>
      <c r="F205" s="151"/>
      <c r="G205" s="141" t="s">
        <v>421</v>
      </c>
      <c r="H205" s="142"/>
      <c r="I205" s="142"/>
      <c r="J205" s="143"/>
      <c r="K205" s="131"/>
      <c r="L205" s="132"/>
      <c r="M205" s="132"/>
      <c r="N205" s="133"/>
    </row>
    <row r="206" spans="3:14" ht="16.5" x14ac:dyDescent="0.3">
      <c r="D206" s="151" t="s">
        <v>422</v>
      </c>
      <c r="E206" s="151"/>
      <c r="F206" s="151"/>
      <c r="G206" s="141" t="s">
        <v>423</v>
      </c>
      <c r="H206" s="142"/>
      <c r="I206" s="142"/>
      <c r="J206" s="143"/>
      <c r="K206" s="131"/>
      <c r="L206" s="132"/>
      <c r="M206" s="132"/>
      <c r="N206" s="133"/>
    </row>
    <row r="207" spans="3:14" ht="16.5" x14ac:dyDescent="0.3">
      <c r="D207" s="151" t="s">
        <v>424</v>
      </c>
      <c r="E207" s="151"/>
      <c r="F207" s="151"/>
      <c r="G207" s="141" t="s">
        <v>425</v>
      </c>
      <c r="H207" s="142"/>
      <c r="I207" s="142"/>
      <c r="J207" s="143"/>
      <c r="K207" s="131"/>
      <c r="L207" s="132"/>
      <c r="M207" s="132"/>
      <c r="N207" s="133"/>
    </row>
    <row r="208" spans="3:14" ht="16.5" x14ac:dyDescent="0.3">
      <c r="D208" s="151" t="s">
        <v>426</v>
      </c>
      <c r="E208" s="151"/>
      <c r="F208" s="151"/>
      <c r="G208" s="141" t="s">
        <v>427</v>
      </c>
      <c r="H208" s="142"/>
      <c r="I208" s="142"/>
      <c r="J208" s="143"/>
      <c r="K208" s="131"/>
      <c r="L208" s="132"/>
      <c r="M208" s="132"/>
      <c r="N208" s="133"/>
    </row>
    <row r="209" spans="4:14" ht="16.5" x14ac:dyDescent="0.3">
      <c r="D209" s="151" t="s">
        <v>428</v>
      </c>
      <c r="E209" s="151"/>
      <c r="F209" s="151"/>
      <c r="G209" s="141" t="s">
        <v>429</v>
      </c>
      <c r="H209" s="142"/>
      <c r="I209" s="142"/>
      <c r="J209" s="143"/>
      <c r="K209" s="131"/>
      <c r="L209" s="132"/>
      <c r="M209" s="132"/>
      <c r="N209" s="133"/>
    </row>
    <row r="210" spans="4:14" ht="16.5" x14ac:dyDescent="0.3">
      <c r="D210" s="151" t="s">
        <v>430</v>
      </c>
      <c r="E210" s="151"/>
      <c r="F210" s="151"/>
      <c r="G210" s="141" t="s">
        <v>431</v>
      </c>
      <c r="H210" s="142"/>
      <c r="I210" s="142"/>
      <c r="J210" s="143"/>
      <c r="K210" s="131"/>
      <c r="L210" s="132"/>
      <c r="M210" s="132"/>
      <c r="N210" s="133"/>
    </row>
    <row r="211" spans="4:14" ht="16.5" x14ac:dyDescent="0.3">
      <c r="D211" s="151" t="s">
        <v>432</v>
      </c>
      <c r="E211" s="151"/>
      <c r="F211" s="151"/>
      <c r="G211" s="141" t="s">
        <v>433</v>
      </c>
      <c r="H211" s="142"/>
      <c r="I211" s="142"/>
      <c r="J211" s="143"/>
      <c r="K211" s="131"/>
      <c r="L211" s="132"/>
      <c r="M211" s="132"/>
      <c r="N211" s="133"/>
    </row>
    <row r="212" spans="4:14" ht="16.5" x14ac:dyDescent="0.3">
      <c r="D212" s="151" t="s">
        <v>434</v>
      </c>
      <c r="E212" s="151"/>
      <c r="F212" s="151"/>
      <c r="G212" s="141" t="s">
        <v>435</v>
      </c>
      <c r="H212" s="142"/>
      <c r="I212" s="142"/>
      <c r="J212" s="143"/>
      <c r="K212" s="131"/>
      <c r="L212" s="132"/>
      <c r="M212" s="132"/>
      <c r="N212" s="133"/>
    </row>
    <row r="213" spans="4:14" ht="16.5" x14ac:dyDescent="0.3">
      <c r="D213" s="151" t="s">
        <v>436</v>
      </c>
      <c r="E213" s="151"/>
      <c r="F213" s="151"/>
      <c r="G213" s="141" t="s">
        <v>437</v>
      </c>
      <c r="H213" s="142"/>
      <c r="I213" s="142"/>
      <c r="J213" s="143"/>
      <c r="K213" s="131"/>
      <c r="L213" s="132"/>
      <c r="M213" s="132"/>
      <c r="N213" s="133"/>
    </row>
    <row r="214" spans="4:14" ht="16.5" x14ac:dyDescent="0.3">
      <c r="D214" s="151" t="s">
        <v>438</v>
      </c>
      <c r="E214" s="151"/>
      <c r="F214" s="151"/>
      <c r="G214" s="141" t="s">
        <v>439</v>
      </c>
      <c r="H214" s="142"/>
      <c r="I214" s="142"/>
      <c r="J214" s="143"/>
      <c r="K214" s="131"/>
      <c r="L214" s="132"/>
      <c r="M214" s="132"/>
      <c r="N214" s="133"/>
    </row>
    <row r="215" spans="4:14" ht="16.5" x14ac:dyDescent="0.3">
      <c r="D215" s="151" t="s">
        <v>440</v>
      </c>
      <c r="E215" s="151"/>
      <c r="F215" s="151"/>
      <c r="G215" s="141" t="s">
        <v>441</v>
      </c>
      <c r="H215" s="142"/>
      <c r="I215" s="142"/>
      <c r="J215" s="143"/>
      <c r="K215" s="131"/>
      <c r="L215" s="132"/>
      <c r="M215" s="132"/>
      <c r="N215" s="133"/>
    </row>
    <row r="216" spans="4:14" ht="16.5" x14ac:dyDescent="0.3">
      <c r="D216" s="151" t="s">
        <v>442</v>
      </c>
      <c r="E216" s="151"/>
      <c r="F216" s="151"/>
      <c r="G216" s="141" t="s">
        <v>443</v>
      </c>
      <c r="H216" s="142"/>
      <c r="I216" s="142"/>
      <c r="J216" s="143"/>
      <c r="K216" s="134"/>
      <c r="L216" s="135"/>
      <c r="M216" s="135"/>
      <c r="N216" s="136"/>
    </row>
    <row r="217" spans="4:14" ht="51" customHeight="1" x14ac:dyDescent="0.3">
      <c r="D217" s="152" t="s">
        <v>444</v>
      </c>
      <c r="E217" s="152"/>
      <c r="F217" s="152"/>
      <c r="G217" s="144" t="s">
        <v>445</v>
      </c>
      <c r="H217" s="145"/>
      <c r="I217" s="145"/>
      <c r="J217" s="146"/>
      <c r="K217" s="127" t="s">
        <v>467</v>
      </c>
      <c r="L217" s="127"/>
      <c r="M217" s="127"/>
      <c r="N217" s="127"/>
    </row>
    <row r="218" spans="4:14" ht="16.5" x14ac:dyDescent="0.3">
      <c r="D218" s="152" t="s">
        <v>446</v>
      </c>
      <c r="E218" s="152"/>
      <c r="F218" s="152"/>
      <c r="G218" s="144" t="s">
        <v>447</v>
      </c>
      <c r="H218" s="145"/>
      <c r="I218" s="145"/>
      <c r="J218" s="146"/>
      <c r="K218" s="127" t="s">
        <v>468</v>
      </c>
      <c r="L218" s="127"/>
      <c r="M218" s="127"/>
      <c r="N218" s="127"/>
    </row>
    <row r="219" spans="4:14" ht="16.5" x14ac:dyDescent="0.3">
      <c r="D219" s="152" t="s">
        <v>448</v>
      </c>
      <c r="E219" s="152"/>
      <c r="F219" s="152"/>
      <c r="G219" s="144" t="s">
        <v>449</v>
      </c>
      <c r="H219" s="145"/>
      <c r="I219" s="145"/>
      <c r="J219" s="146"/>
      <c r="K219" s="127" t="s">
        <v>469</v>
      </c>
      <c r="L219" s="127"/>
      <c r="M219" s="127"/>
      <c r="N219" s="127"/>
    </row>
    <row r="220" spans="4:14" ht="16.5" x14ac:dyDescent="0.3">
      <c r="D220" s="152" t="s">
        <v>450</v>
      </c>
      <c r="E220" s="152"/>
      <c r="F220" s="152"/>
      <c r="G220" s="144" t="s">
        <v>451</v>
      </c>
      <c r="H220" s="145"/>
      <c r="I220" s="145"/>
      <c r="J220" s="146"/>
      <c r="K220" s="127" t="s">
        <v>471</v>
      </c>
      <c r="L220" s="127"/>
      <c r="M220" s="127"/>
      <c r="N220" s="127"/>
    </row>
    <row r="221" spans="4:14" ht="16.5" x14ac:dyDescent="0.3">
      <c r="D221" s="152" t="s">
        <v>452</v>
      </c>
      <c r="E221" s="152"/>
      <c r="F221" s="152"/>
      <c r="G221" s="144" t="s">
        <v>453</v>
      </c>
      <c r="H221" s="145"/>
      <c r="I221" s="145"/>
      <c r="J221" s="146"/>
      <c r="K221" s="127" t="s">
        <v>470</v>
      </c>
      <c r="L221" s="127"/>
      <c r="M221" s="127"/>
      <c r="N221" s="127"/>
    </row>
    <row r="222" spans="4:14" ht="16.5" x14ac:dyDescent="0.3">
      <c r="D222" s="152" t="s">
        <v>454</v>
      </c>
      <c r="E222" s="152"/>
      <c r="F222" s="152"/>
      <c r="G222" s="144" t="s">
        <v>455</v>
      </c>
      <c r="H222" s="145"/>
      <c r="I222" s="145"/>
      <c r="J222" s="146"/>
      <c r="K222" s="127" t="s">
        <v>472</v>
      </c>
      <c r="L222" s="127"/>
      <c r="M222" s="127"/>
      <c r="N222" s="127"/>
    </row>
    <row r="223" spans="4:14" ht="16.5" x14ac:dyDescent="0.3">
      <c r="D223" s="152" t="s">
        <v>456</v>
      </c>
      <c r="E223" s="152"/>
      <c r="F223" s="152"/>
      <c r="G223" s="144" t="s">
        <v>457</v>
      </c>
      <c r="H223" s="145"/>
      <c r="I223" s="145"/>
      <c r="J223" s="146"/>
      <c r="K223" s="127" t="s">
        <v>473</v>
      </c>
      <c r="L223" s="127"/>
      <c r="M223" s="127"/>
      <c r="N223" s="127"/>
    </row>
    <row r="224" spans="4:14" ht="16.5" x14ac:dyDescent="0.3">
      <c r="D224" s="150" t="s">
        <v>458</v>
      </c>
      <c r="E224" s="150"/>
      <c r="F224" s="150"/>
      <c r="G224" s="137" t="s">
        <v>462</v>
      </c>
      <c r="H224" s="138"/>
      <c r="I224" s="138"/>
      <c r="J224" s="139"/>
      <c r="K224" s="126" t="s">
        <v>474</v>
      </c>
      <c r="L224" s="126"/>
      <c r="M224" s="126"/>
      <c r="N224" s="126"/>
    </row>
    <row r="225" spans="3:18" ht="16.5" x14ac:dyDescent="0.3">
      <c r="D225" s="150" t="s">
        <v>461</v>
      </c>
      <c r="E225" s="150"/>
      <c r="F225" s="150"/>
      <c r="G225" s="137" t="s">
        <v>462</v>
      </c>
      <c r="H225" s="138"/>
      <c r="I225" s="138"/>
      <c r="J225" s="139"/>
      <c r="K225" s="126" t="s">
        <v>475</v>
      </c>
      <c r="L225" s="126"/>
      <c r="M225" s="126"/>
      <c r="N225" s="126"/>
    </row>
    <row r="226" spans="3:18" ht="16.5" x14ac:dyDescent="0.3">
      <c r="D226" s="150" t="s">
        <v>460</v>
      </c>
      <c r="E226" s="150"/>
      <c r="F226" s="150"/>
      <c r="G226" s="137" t="s">
        <v>462</v>
      </c>
      <c r="H226" s="138"/>
      <c r="I226" s="138"/>
      <c r="J226" s="139"/>
      <c r="K226" s="126" t="s">
        <v>476</v>
      </c>
      <c r="L226" s="126"/>
      <c r="M226" s="126"/>
      <c r="N226" s="126"/>
    </row>
    <row r="227" spans="3:18" ht="16.5" x14ac:dyDescent="0.3">
      <c r="D227" s="150" t="s">
        <v>459</v>
      </c>
      <c r="E227" s="150"/>
      <c r="F227" s="150"/>
      <c r="G227" s="137" t="s">
        <v>462</v>
      </c>
      <c r="H227" s="138"/>
      <c r="I227" s="138"/>
      <c r="J227" s="139"/>
      <c r="K227" s="126" t="s">
        <v>477</v>
      </c>
      <c r="L227" s="126"/>
      <c r="M227" s="126"/>
      <c r="N227" s="126"/>
    </row>
    <row r="228" spans="3:18" x14ac:dyDescent="0.3">
      <c r="D228" s="114"/>
      <c r="E228" s="114"/>
      <c r="F228" s="114"/>
      <c r="G228" s="114"/>
      <c r="H228" s="114"/>
      <c r="I228" s="114"/>
      <c r="J228" s="114"/>
      <c r="K228" s="114"/>
    </row>
    <row r="229" spans="3:18" x14ac:dyDescent="0.3">
      <c r="D229" s="115"/>
      <c r="E229" s="114"/>
      <c r="F229" s="114"/>
      <c r="G229" s="114"/>
      <c r="H229" s="114"/>
      <c r="I229" s="114"/>
      <c r="J229" s="114"/>
      <c r="K229" s="114"/>
    </row>
    <row r="230" spans="3:18" x14ac:dyDescent="0.3">
      <c r="C230" s="114"/>
      <c r="D230" s="114"/>
      <c r="E230" s="114"/>
      <c r="F230" s="114"/>
      <c r="G230" s="114"/>
      <c r="H230" s="114"/>
      <c r="I230" s="114"/>
      <c r="J230" s="114"/>
      <c r="K230" s="114"/>
      <c r="L230" s="114"/>
      <c r="M230" s="114"/>
      <c r="N230" s="114"/>
      <c r="O230" s="114"/>
      <c r="P230" s="114"/>
      <c r="Q230" s="114"/>
      <c r="R230" s="114"/>
    </row>
    <row r="231" spans="3:18" x14ac:dyDescent="0.3">
      <c r="C231" s="114"/>
      <c r="D231" s="114"/>
      <c r="E231" s="114"/>
      <c r="F231" s="114"/>
      <c r="G231" s="114"/>
      <c r="H231" s="114"/>
      <c r="I231" s="114"/>
      <c r="J231" s="114"/>
      <c r="K231" s="114"/>
      <c r="L231" s="114"/>
      <c r="M231" s="114"/>
      <c r="N231" s="114"/>
      <c r="O231" s="114"/>
      <c r="P231" s="114"/>
      <c r="Q231" s="114"/>
      <c r="R231" s="114"/>
    </row>
    <row r="232" spans="3:18" x14ac:dyDescent="0.3">
      <c r="C232" s="114"/>
      <c r="D232" s="114"/>
      <c r="E232" s="114"/>
      <c r="F232" s="114"/>
      <c r="G232" s="114"/>
      <c r="H232" s="114"/>
      <c r="I232" s="114"/>
      <c r="J232" s="114"/>
      <c r="K232" s="114"/>
      <c r="L232" s="114"/>
      <c r="M232" s="114"/>
      <c r="N232" s="114"/>
      <c r="O232" s="114"/>
      <c r="P232" s="114"/>
      <c r="Q232" s="114"/>
      <c r="R232" s="114"/>
    </row>
    <row r="233" spans="3:18" x14ac:dyDescent="0.3">
      <c r="C233" s="114"/>
      <c r="D233" s="114"/>
      <c r="E233" s="114"/>
      <c r="F233" s="114"/>
      <c r="G233" s="114"/>
      <c r="H233" s="114"/>
      <c r="I233" s="114"/>
      <c r="J233" s="114"/>
      <c r="K233" s="114"/>
      <c r="L233" s="114"/>
      <c r="M233" s="114"/>
      <c r="N233" s="114"/>
      <c r="O233" s="114"/>
      <c r="P233" s="114"/>
      <c r="Q233" s="114"/>
      <c r="R233" s="114"/>
    </row>
    <row r="234" spans="3:18" x14ac:dyDescent="0.3">
      <c r="C234" s="114"/>
      <c r="D234" s="114"/>
      <c r="E234" s="114"/>
      <c r="F234" s="114"/>
      <c r="G234" s="114"/>
      <c r="H234" s="114"/>
      <c r="I234" s="114"/>
      <c r="J234" s="114"/>
      <c r="K234" s="114"/>
      <c r="L234" s="114"/>
      <c r="M234" s="114"/>
      <c r="N234" s="114"/>
      <c r="O234" s="114"/>
      <c r="P234" s="114"/>
      <c r="Q234" s="114"/>
      <c r="R234" s="114"/>
    </row>
    <row r="235" spans="3:18" x14ac:dyDescent="0.3">
      <c r="C235" s="114"/>
      <c r="D235" s="114"/>
      <c r="E235" s="114"/>
      <c r="F235" s="114"/>
      <c r="G235" s="114"/>
      <c r="H235" s="114"/>
      <c r="I235" s="114"/>
      <c r="J235" s="114"/>
      <c r="K235" s="114"/>
      <c r="L235" s="114"/>
      <c r="M235" s="114"/>
      <c r="N235" s="114"/>
      <c r="O235" s="114"/>
      <c r="P235" s="114"/>
      <c r="Q235" s="114"/>
      <c r="R235" s="114"/>
    </row>
    <row r="236" spans="3:18" x14ac:dyDescent="0.3">
      <c r="C236" s="114"/>
      <c r="D236" s="114"/>
      <c r="E236" s="114"/>
      <c r="F236" s="114"/>
      <c r="G236" s="114"/>
      <c r="H236" s="114"/>
      <c r="I236" s="114"/>
      <c r="J236" s="114"/>
      <c r="K236" s="114"/>
      <c r="L236" s="114"/>
      <c r="M236" s="114"/>
      <c r="N236" s="114"/>
      <c r="O236" s="114"/>
      <c r="P236" s="114"/>
      <c r="Q236" s="114"/>
      <c r="R236" s="114"/>
    </row>
    <row r="237" spans="3:18" x14ac:dyDescent="0.3">
      <c r="C237" s="114"/>
      <c r="D237" s="114"/>
      <c r="E237" s="114"/>
      <c r="F237" s="114"/>
      <c r="G237" s="114"/>
      <c r="H237" s="114"/>
      <c r="I237" s="114"/>
      <c r="J237" s="114"/>
      <c r="K237" s="114"/>
      <c r="L237" s="114"/>
      <c r="M237" s="114"/>
      <c r="N237" s="114"/>
      <c r="O237" s="114"/>
      <c r="P237" s="114"/>
      <c r="Q237" s="114"/>
      <c r="R237" s="114"/>
    </row>
    <row r="238" spans="3:18" x14ac:dyDescent="0.3">
      <c r="C238" s="114"/>
      <c r="D238" s="114"/>
      <c r="E238" s="114"/>
      <c r="F238" s="114"/>
      <c r="G238" s="114"/>
      <c r="H238" s="114"/>
      <c r="I238" s="114"/>
      <c r="J238" s="114"/>
      <c r="K238" s="114"/>
      <c r="L238" s="114"/>
      <c r="M238" s="114"/>
      <c r="N238" s="114"/>
      <c r="O238" s="114"/>
      <c r="P238" s="114"/>
      <c r="Q238" s="114"/>
      <c r="R238" s="114"/>
    </row>
    <row r="239" spans="3:18" x14ac:dyDescent="0.3">
      <c r="C239" s="114"/>
      <c r="D239" s="114"/>
      <c r="E239" s="114"/>
      <c r="F239" s="114"/>
      <c r="G239" s="114"/>
      <c r="H239" s="114"/>
      <c r="I239" s="114"/>
      <c r="J239" s="114"/>
      <c r="K239" s="114"/>
      <c r="L239" s="114"/>
      <c r="M239" s="114"/>
      <c r="N239" s="114"/>
      <c r="O239" s="114"/>
      <c r="P239" s="114"/>
      <c r="Q239" s="114"/>
      <c r="R239" s="114"/>
    </row>
    <row r="240" spans="3:18" x14ac:dyDescent="0.3">
      <c r="C240" s="114"/>
      <c r="D240" s="114"/>
      <c r="E240" s="114"/>
      <c r="F240" s="114"/>
      <c r="G240" s="114"/>
      <c r="H240" s="114"/>
      <c r="I240" s="114"/>
      <c r="J240" s="114"/>
      <c r="K240" s="114"/>
      <c r="L240" s="114"/>
      <c r="M240" s="114"/>
      <c r="N240" s="114"/>
      <c r="O240" s="114"/>
      <c r="P240" s="114"/>
      <c r="Q240" s="114"/>
      <c r="R240" s="114"/>
    </row>
    <row r="241" spans="3:18" x14ac:dyDescent="0.3">
      <c r="C241" s="114"/>
      <c r="D241" s="114"/>
      <c r="E241" s="114"/>
      <c r="F241" s="114"/>
      <c r="G241" s="114"/>
      <c r="H241" s="114"/>
      <c r="I241" s="114"/>
      <c r="J241" s="114"/>
      <c r="K241" s="114"/>
      <c r="L241" s="114"/>
      <c r="M241" s="114"/>
      <c r="N241" s="114"/>
      <c r="O241" s="114"/>
      <c r="P241" s="114"/>
      <c r="Q241" s="114"/>
      <c r="R241" s="114"/>
    </row>
    <row r="242" spans="3:18" x14ac:dyDescent="0.3">
      <c r="C242" s="114"/>
      <c r="D242" s="114"/>
      <c r="E242" s="114"/>
      <c r="F242" s="114"/>
      <c r="G242" s="114"/>
      <c r="H242" s="114"/>
      <c r="I242" s="114"/>
      <c r="J242" s="114"/>
      <c r="K242" s="114"/>
      <c r="L242" s="114"/>
      <c r="M242" s="114"/>
      <c r="N242" s="114"/>
      <c r="O242" s="114"/>
      <c r="P242" s="114"/>
      <c r="Q242" s="114"/>
      <c r="R242" s="114"/>
    </row>
    <row r="243" spans="3:18" x14ac:dyDescent="0.3">
      <c r="C243" s="114"/>
      <c r="D243" s="114"/>
      <c r="E243" s="114"/>
      <c r="F243" s="114"/>
      <c r="G243" s="114"/>
      <c r="H243" s="114"/>
      <c r="I243" s="114"/>
      <c r="J243" s="114"/>
      <c r="K243" s="114"/>
      <c r="L243" s="114"/>
      <c r="M243" s="114"/>
      <c r="N243" s="114"/>
      <c r="O243" s="114"/>
      <c r="P243" s="114"/>
      <c r="Q243" s="114"/>
      <c r="R243" s="114"/>
    </row>
    <row r="244" spans="3:18" x14ac:dyDescent="0.3">
      <c r="C244" s="114"/>
      <c r="D244" s="114"/>
      <c r="E244" s="114"/>
      <c r="F244" s="114"/>
      <c r="G244" s="114"/>
      <c r="H244" s="114"/>
      <c r="I244" s="114"/>
      <c r="J244" s="114"/>
      <c r="K244" s="114"/>
      <c r="L244" s="114"/>
      <c r="M244" s="114"/>
      <c r="N244" s="114"/>
      <c r="O244" s="114"/>
      <c r="P244" s="114"/>
      <c r="Q244" s="114"/>
      <c r="R244" s="114"/>
    </row>
    <row r="245" spans="3:18" x14ac:dyDescent="0.3">
      <c r="C245" s="114"/>
      <c r="D245" s="114"/>
      <c r="E245" s="114"/>
      <c r="F245" s="114"/>
      <c r="G245" s="114"/>
      <c r="H245" s="114"/>
      <c r="I245" s="114"/>
      <c r="J245" s="114"/>
      <c r="K245" s="114"/>
      <c r="L245" s="114"/>
      <c r="M245" s="114"/>
      <c r="N245" s="114"/>
      <c r="O245" s="114"/>
      <c r="P245" s="114"/>
      <c r="Q245" s="114"/>
      <c r="R245" s="114"/>
    </row>
    <row r="246" spans="3:18" x14ac:dyDescent="0.3">
      <c r="C246" s="114"/>
      <c r="D246" s="114"/>
      <c r="E246" s="114"/>
      <c r="F246" s="114"/>
      <c r="G246" s="114"/>
      <c r="H246" s="114"/>
      <c r="I246" s="114"/>
      <c r="J246" s="114"/>
      <c r="K246" s="114"/>
      <c r="L246" s="114"/>
      <c r="M246" s="114"/>
      <c r="N246" s="114"/>
      <c r="O246" s="114"/>
      <c r="P246" s="114"/>
      <c r="Q246" s="114"/>
      <c r="R246" s="114"/>
    </row>
    <row r="247" spans="3:18" x14ac:dyDescent="0.3">
      <c r="C247" s="114"/>
      <c r="D247" s="114"/>
      <c r="E247" s="114"/>
      <c r="F247" s="114"/>
      <c r="G247" s="114"/>
      <c r="H247" s="114"/>
      <c r="I247" s="114"/>
      <c r="J247" s="114"/>
      <c r="K247" s="114"/>
      <c r="L247" s="114"/>
      <c r="M247" s="114"/>
      <c r="N247" s="114"/>
      <c r="O247" s="114"/>
      <c r="P247" s="114"/>
      <c r="Q247" s="114"/>
      <c r="R247" s="114"/>
    </row>
    <row r="248" spans="3:18" x14ac:dyDescent="0.3">
      <c r="C248" s="114"/>
      <c r="D248" s="114"/>
      <c r="E248" s="114"/>
      <c r="F248" s="114"/>
      <c r="G248" s="114"/>
      <c r="H248" s="114"/>
      <c r="I248" s="114"/>
      <c r="J248" s="114"/>
      <c r="K248" s="114"/>
      <c r="L248" s="114"/>
      <c r="M248" s="114"/>
      <c r="N248" s="114"/>
      <c r="O248" s="114"/>
      <c r="P248" s="114"/>
      <c r="Q248" s="114"/>
      <c r="R248" s="114"/>
    </row>
    <row r="249" spans="3:18" x14ac:dyDescent="0.3">
      <c r="C249" s="114"/>
      <c r="D249" s="114"/>
      <c r="E249" s="114"/>
      <c r="F249" s="114"/>
      <c r="G249" s="114"/>
      <c r="H249" s="114"/>
      <c r="I249" s="114"/>
      <c r="J249" s="114"/>
      <c r="K249" s="114"/>
      <c r="L249" s="114"/>
      <c r="M249" s="114"/>
      <c r="N249" s="114"/>
      <c r="O249" s="114"/>
      <c r="P249" s="114"/>
      <c r="Q249" s="114"/>
      <c r="R249" s="114"/>
    </row>
    <row r="250" spans="3:18" x14ac:dyDescent="0.3">
      <c r="C250" s="114"/>
      <c r="D250" s="114"/>
      <c r="E250" s="114"/>
      <c r="F250" s="114"/>
      <c r="G250" s="114"/>
      <c r="H250" s="114"/>
      <c r="I250" s="114"/>
      <c r="J250" s="114"/>
      <c r="K250" s="114"/>
      <c r="L250" s="114"/>
      <c r="M250" s="114"/>
      <c r="N250" s="114"/>
      <c r="O250" s="114"/>
      <c r="P250" s="114"/>
      <c r="Q250" s="114"/>
      <c r="R250" s="114"/>
    </row>
    <row r="251" spans="3:18" x14ac:dyDescent="0.3">
      <c r="C251" s="114"/>
      <c r="D251" s="114"/>
      <c r="E251" s="114"/>
      <c r="F251" s="114"/>
      <c r="G251" s="114"/>
      <c r="H251" s="114"/>
      <c r="I251" s="114"/>
      <c r="J251" s="114"/>
      <c r="K251" s="114"/>
      <c r="L251" s="114"/>
      <c r="M251" s="114"/>
      <c r="N251" s="114"/>
      <c r="O251" s="114"/>
      <c r="P251" s="114"/>
      <c r="Q251" s="114"/>
      <c r="R251" s="114"/>
    </row>
    <row r="252" spans="3:18" x14ac:dyDescent="0.3">
      <c r="C252" s="114"/>
      <c r="D252" s="114"/>
      <c r="E252" s="114"/>
      <c r="F252" s="114"/>
      <c r="G252" s="114"/>
      <c r="H252" s="114"/>
      <c r="I252" s="114"/>
      <c r="J252" s="114"/>
      <c r="K252" s="114"/>
      <c r="L252" s="114"/>
      <c r="M252" s="114"/>
      <c r="N252" s="114"/>
      <c r="O252" s="114"/>
      <c r="P252" s="114"/>
      <c r="Q252" s="114"/>
      <c r="R252" s="114"/>
    </row>
    <row r="253" spans="3:18" x14ac:dyDescent="0.3">
      <c r="C253" s="114"/>
      <c r="D253" s="114"/>
      <c r="E253" s="114"/>
      <c r="F253" s="114"/>
      <c r="G253" s="114"/>
      <c r="H253" s="114"/>
      <c r="I253" s="114"/>
      <c r="J253" s="114"/>
      <c r="K253" s="114"/>
      <c r="L253" s="114"/>
      <c r="M253" s="114"/>
      <c r="N253" s="114"/>
      <c r="O253" s="114"/>
      <c r="P253" s="114"/>
      <c r="Q253" s="114"/>
      <c r="R253" s="114"/>
    </row>
    <row r="254" spans="3:18" x14ac:dyDescent="0.3">
      <c r="C254" s="114"/>
      <c r="D254" s="114"/>
      <c r="E254" s="114"/>
      <c r="F254" s="114"/>
      <c r="G254" s="114"/>
      <c r="H254" s="114"/>
      <c r="I254" s="114"/>
      <c r="J254" s="114"/>
      <c r="K254" s="114"/>
      <c r="L254" s="114"/>
      <c r="M254" s="114"/>
      <c r="N254" s="114"/>
      <c r="O254" s="114"/>
      <c r="P254" s="114"/>
      <c r="Q254" s="114"/>
      <c r="R254" s="114"/>
    </row>
    <row r="255" spans="3:18" x14ac:dyDescent="0.3">
      <c r="C255" s="114"/>
      <c r="D255" s="114"/>
      <c r="E255" s="114"/>
      <c r="F255" s="114"/>
      <c r="G255" s="114"/>
      <c r="H255" s="114"/>
      <c r="I255" s="114"/>
      <c r="J255" s="114"/>
      <c r="K255" s="114"/>
      <c r="L255" s="114"/>
      <c r="M255" s="114"/>
      <c r="N255" s="114"/>
      <c r="O255" s="114"/>
      <c r="P255" s="114"/>
      <c r="Q255" s="114"/>
      <c r="R255" s="114"/>
    </row>
    <row r="256" spans="3:18" x14ac:dyDescent="0.3">
      <c r="C256" s="114"/>
      <c r="D256" s="114"/>
      <c r="E256" s="114"/>
      <c r="F256" s="114"/>
      <c r="G256" s="114"/>
      <c r="H256" s="114"/>
      <c r="I256" s="114"/>
      <c r="J256" s="114"/>
      <c r="K256" s="114"/>
      <c r="L256" s="114"/>
      <c r="M256" s="114"/>
      <c r="N256" s="114"/>
      <c r="O256" s="114"/>
      <c r="P256" s="114"/>
      <c r="Q256" s="114"/>
      <c r="R256" s="114"/>
    </row>
    <row r="257" spans="3:18" x14ac:dyDescent="0.3">
      <c r="C257" s="114"/>
      <c r="D257" s="114"/>
      <c r="E257" s="114"/>
      <c r="F257" s="114"/>
      <c r="G257" s="114"/>
      <c r="H257" s="114"/>
      <c r="I257" s="114"/>
      <c r="J257" s="114"/>
      <c r="K257" s="114"/>
      <c r="L257" s="114"/>
      <c r="M257" s="114"/>
      <c r="N257" s="114"/>
      <c r="O257" s="114"/>
      <c r="P257" s="114"/>
      <c r="Q257" s="114"/>
      <c r="R257" s="114"/>
    </row>
    <row r="258" spans="3:18" x14ac:dyDescent="0.3">
      <c r="C258" s="114"/>
      <c r="D258" s="114"/>
      <c r="E258" s="114"/>
      <c r="F258" s="114"/>
      <c r="G258" s="114"/>
      <c r="H258" s="114"/>
      <c r="I258" s="114"/>
      <c r="J258" s="114"/>
      <c r="K258" s="114"/>
      <c r="L258" s="114"/>
      <c r="M258" s="114"/>
      <c r="N258" s="114"/>
      <c r="O258" s="114"/>
      <c r="P258" s="114"/>
      <c r="Q258" s="114"/>
      <c r="R258" s="114"/>
    </row>
    <row r="259" spans="3:18" x14ac:dyDescent="0.3">
      <c r="C259" s="114"/>
      <c r="D259" s="114"/>
      <c r="E259" s="114"/>
      <c r="F259" s="114"/>
      <c r="G259" s="114"/>
      <c r="H259" s="114"/>
      <c r="I259" s="114"/>
      <c r="J259" s="114"/>
      <c r="K259" s="114"/>
      <c r="L259" s="114"/>
      <c r="M259" s="114"/>
      <c r="N259" s="114"/>
      <c r="O259" s="114"/>
      <c r="P259" s="114"/>
      <c r="Q259" s="114"/>
      <c r="R259" s="114"/>
    </row>
    <row r="260" spans="3:18" x14ac:dyDescent="0.3">
      <c r="C260" s="114"/>
      <c r="D260" s="114"/>
      <c r="E260" s="114"/>
      <c r="F260" s="114"/>
      <c r="G260" s="114"/>
      <c r="H260" s="114"/>
      <c r="I260" s="114"/>
      <c r="J260" s="114"/>
      <c r="K260" s="114"/>
      <c r="L260" s="114"/>
      <c r="M260" s="114"/>
      <c r="N260" s="114"/>
      <c r="O260" s="114"/>
      <c r="P260" s="114"/>
      <c r="Q260" s="114"/>
      <c r="R260" s="114"/>
    </row>
    <row r="261" spans="3:18" x14ac:dyDescent="0.3">
      <c r="C261" s="114"/>
      <c r="D261" s="114"/>
      <c r="E261" s="114"/>
      <c r="F261" s="114"/>
      <c r="G261" s="114"/>
      <c r="H261" s="114"/>
      <c r="I261" s="114"/>
      <c r="J261" s="114"/>
      <c r="K261" s="114"/>
      <c r="L261" s="114"/>
      <c r="M261" s="114"/>
      <c r="N261" s="114"/>
      <c r="O261" s="114"/>
      <c r="P261" s="114"/>
      <c r="Q261" s="114"/>
      <c r="R261" s="114"/>
    </row>
    <row r="262" spans="3:18" x14ac:dyDescent="0.3">
      <c r="C262" s="114"/>
      <c r="D262" s="114"/>
      <c r="E262" s="114"/>
      <c r="F262" s="114"/>
      <c r="G262" s="114"/>
      <c r="H262" s="114"/>
      <c r="I262" s="114"/>
      <c r="J262" s="114"/>
      <c r="K262" s="114"/>
      <c r="L262" s="114"/>
      <c r="M262" s="114"/>
      <c r="N262" s="114"/>
      <c r="O262" s="114"/>
      <c r="P262" s="114"/>
      <c r="Q262" s="114"/>
      <c r="R262" s="114"/>
    </row>
    <row r="263" spans="3:18" x14ac:dyDescent="0.3">
      <c r="C263" s="114"/>
      <c r="D263" s="114"/>
      <c r="E263" s="114"/>
      <c r="F263" s="114"/>
      <c r="G263" s="114"/>
      <c r="H263" s="114"/>
      <c r="I263" s="114"/>
      <c r="J263" s="114"/>
      <c r="K263" s="114"/>
      <c r="L263" s="114"/>
      <c r="M263" s="114"/>
      <c r="N263" s="114"/>
      <c r="O263" s="114"/>
      <c r="P263" s="114"/>
      <c r="Q263" s="114"/>
      <c r="R263" s="114"/>
    </row>
    <row r="264" spans="3:18" x14ac:dyDescent="0.3">
      <c r="C264" s="114"/>
      <c r="D264" s="114"/>
      <c r="E264" s="114"/>
      <c r="F264" s="114"/>
      <c r="G264" s="114"/>
      <c r="H264" s="114"/>
      <c r="I264" s="114"/>
      <c r="J264" s="114"/>
      <c r="K264" s="114"/>
      <c r="L264" s="114"/>
      <c r="M264" s="114"/>
      <c r="N264" s="114"/>
      <c r="O264" s="114"/>
      <c r="P264" s="114"/>
      <c r="Q264" s="114"/>
      <c r="R264" s="114"/>
    </row>
    <row r="265" spans="3:18" x14ac:dyDescent="0.3">
      <c r="C265" s="114"/>
      <c r="D265" s="114"/>
      <c r="E265" s="114"/>
      <c r="F265" s="114"/>
      <c r="G265" s="114"/>
      <c r="H265" s="114"/>
      <c r="I265" s="114"/>
      <c r="J265" s="114"/>
      <c r="K265" s="114"/>
      <c r="L265" s="114"/>
      <c r="M265" s="114"/>
      <c r="N265" s="114"/>
      <c r="O265" s="114"/>
      <c r="P265" s="114"/>
      <c r="Q265" s="114"/>
      <c r="R265" s="114"/>
    </row>
    <row r="266" spans="3:18" x14ac:dyDescent="0.3">
      <c r="C266" s="114"/>
      <c r="D266" s="114"/>
      <c r="E266" s="114"/>
      <c r="F266" s="114"/>
      <c r="G266" s="114"/>
      <c r="H266" s="114"/>
      <c r="I266" s="114"/>
      <c r="J266" s="114"/>
      <c r="K266" s="114"/>
      <c r="L266" s="114"/>
      <c r="M266" s="114"/>
      <c r="N266" s="114"/>
      <c r="O266" s="114"/>
      <c r="P266" s="114"/>
      <c r="Q266" s="114"/>
      <c r="R266" s="114"/>
    </row>
    <row r="267" spans="3:18" x14ac:dyDescent="0.3">
      <c r="C267" s="114"/>
      <c r="D267" s="114"/>
      <c r="E267" s="114"/>
      <c r="F267" s="114"/>
      <c r="G267" s="114"/>
      <c r="H267" s="114"/>
      <c r="I267" s="114"/>
      <c r="J267" s="114"/>
      <c r="K267" s="114"/>
      <c r="L267" s="114"/>
      <c r="M267" s="114"/>
      <c r="N267" s="114"/>
      <c r="O267" s="114"/>
      <c r="P267" s="114"/>
      <c r="Q267" s="114"/>
      <c r="R267" s="114"/>
    </row>
    <row r="268" spans="3:18" x14ac:dyDescent="0.3">
      <c r="C268" s="114"/>
      <c r="D268" s="114"/>
      <c r="E268" s="114"/>
      <c r="F268" s="114"/>
      <c r="G268" s="114"/>
      <c r="H268" s="114"/>
      <c r="I268" s="114"/>
      <c r="J268" s="114"/>
      <c r="K268" s="114"/>
      <c r="L268" s="114"/>
      <c r="M268" s="114"/>
      <c r="N268" s="114"/>
      <c r="O268" s="114"/>
      <c r="P268" s="114"/>
      <c r="Q268" s="114"/>
      <c r="R268" s="114"/>
    </row>
  </sheetData>
  <mergeCells count="83">
    <mergeCell ref="F194:K194"/>
    <mergeCell ref="D194:E194"/>
    <mergeCell ref="F188:K188"/>
    <mergeCell ref="D200:F200"/>
    <mergeCell ref="D193:E193"/>
    <mergeCell ref="F189:K189"/>
    <mergeCell ref="F190:K190"/>
    <mergeCell ref="F191:K191"/>
    <mergeCell ref="F192:K192"/>
    <mergeCell ref="F193:K193"/>
    <mergeCell ref="D188:E188"/>
    <mergeCell ref="D189:E189"/>
    <mergeCell ref="D190:E190"/>
    <mergeCell ref="D191:E191"/>
    <mergeCell ref="D192:E192"/>
    <mergeCell ref="D201:F201"/>
    <mergeCell ref="D202:F202"/>
    <mergeCell ref="D215:F215"/>
    <mergeCell ref="D204:F204"/>
    <mergeCell ref="D205:F205"/>
    <mergeCell ref="D206:F206"/>
    <mergeCell ref="D207:F207"/>
    <mergeCell ref="D208:F208"/>
    <mergeCell ref="D209:F209"/>
    <mergeCell ref="D210:F210"/>
    <mergeCell ref="D211:F211"/>
    <mergeCell ref="D212:F212"/>
    <mergeCell ref="D213:F213"/>
    <mergeCell ref="D214:F214"/>
    <mergeCell ref="D203:F203"/>
    <mergeCell ref="D227:F227"/>
    <mergeCell ref="D216:F216"/>
    <mergeCell ref="D217:F217"/>
    <mergeCell ref="D218:F218"/>
    <mergeCell ref="D219:F219"/>
    <mergeCell ref="D220:F220"/>
    <mergeCell ref="D221:F221"/>
    <mergeCell ref="D222:F222"/>
    <mergeCell ref="D223:F223"/>
    <mergeCell ref="D224:F224"/>
    <mergeCell ref="D225:F225"/>
    <mergeCell ref="D226:F226"/>
    <mergeCell ref="G210:J210"/>
    <mergeCell ref="G211:J211"/>
    <mergeCell ref="G212:J212"/>
    <mergeCell ref="G213:J213"/>
    <mergeCell ref="G206:J206"/>
    <mergeCell ref="G207:J207"/>
    <mergeCell ref="G208:J208"/>
    <mergeCell ref="G209:J209"/>
    <mergeCell ref="G223:J223"/>
    <mergeCell ref="G224:J224"/>
    <mergeCell ref="G225:J225"/>
    <mergeCell ref="G220:J220"/>
    <mergeCell ref="G221:J221"/>
    <mergeCell ref="G226:J226"/>
    <mergeCell ref="G227:J227"/>
    <mergeCell ref="K200:N200"/>
    <mergeCell ref="G214:J214"/>
    <mergeCell ref="G215:J215"/>
    <mergeCell ref="G216:J216"/>
    <mergeCell ref="G217:J217"/>
    <mergeCell ref="G218:J218"/>
    <mergeCell ref="G219:J219"/>
    <mergeCell ref="G200:J200"/>
    <mergeCell ref="G201:J201"/>
    <mergeCell ref="G202:J202"/>
    <mergeCell ref="G203:J203"/>
    <mergeCell ref="G204:J204"/>
    <mergeCell ref="G205:J205"/>
    <mergeCell ref="G222:J222"/>
    <mergeCell ref="K227:N227"/>
    <mergeCell ref="K217:N217"/>
    <mergeCell ref="K218:N218"/>
    <mergeCell ref="K219:N219"/>
    <mergeCell ref="K201:N216"/>
    <mergeCell ref="K220:N220"/>
    <mergeCell ref="K221:N221"/>
    <mergeCell ref="K222:N222"/>
    <mergeCell ref="K223:N223"/>
    <mergeCell ref="K224:N224"/>
    <mergeCell ref="K225:N225"/>
    <mergeCell ref="K226:N226"/>
  </mergeCells>
  <phoneticPr fontId="1"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8"/>
  <sheetViews>
    <sheetView showGridLines="0" zoomScale="90" zoomScaleNormal="90" zoomScaleSheetLayoutView="80" workbookViewId="0">
      <selection activeCell="S16" sqref="S16"/>
    </sheetView>
  </sheetViews>
  <sheetFormatPr defaultRowHeight="12" x14ac:dyDescent="0.3"/>
  <cols>
    <col min="1" max="1" width="1.625" style="2" customWidth="1"/>
    <col min="2" max="2" width="7.75" style="84" customWidth="1"/>
    <col min="3" max="3" width="6.75" style="2" customWidth="1"/>
    <col min="4" max="4" width="4.375" style="2" customWidth="1"/>
    <col min="5" max="5" width="20.75" style="2" customWidth="1"/>
    <col min="6" max="6" width="6.5" style="2" customWidth="1"/>
    <col min="7" max="7" width="9.875" style="2" customWidth="1"/>
    <col min="8" max="8" width="11.625" style="2" customWidth="1"/>
    <col min="9" max="9" width="5.5" style="2" customWidth="1"/>
    <col min="10" max="10" width="5.375" style="2" customWidth="1"/>
    <col min="11" max="11" width="9" style="2" customWidth="1"/>
    <col min="12" max="12" width="1" style="2" customWidth="1"/>
    <col min="13" max="26" width="4.25" style="2" customWidth="1"/>
    <col min="27" max="251" width="9" style="2"/>
    <col min="252" max="252" width="2.125" style="2" customWidth="1"/>
    <col min="253" max="253" width="6.75" style="2" customWidth="1"/>
    <col min="254" max="254" width="8.625" style="2" customWidth="1"/>
    <col min="255" max="255" width="8.875" style="2" customWidth="1"/>
    <col min="256" max="256" width="3.5" style="2" customWidth="1"/>
    <col min="257" max="257" width="6.5" style="2" customWidth="1"/>
    <col min="258" max="258" width="9" style="2" customWidth="1"/>
    <col min="259" max="259" width="11.625" style="2" customWidth="1"/>
    <col min="260" max="260" width="5.5" style="2" customWidth="1"/>
    <col min="261" max="261" width="5.375" style="2" customWidth="1"/>
    <col min="262" max="262" width="8.125" style="2" customWidth="1"/>
    <col min="263" max="282" width="4.25" style="2" customWidth="1"/>
    <col min="283" max="507" width="9" style="2"/>
    <col min="508" max="508" width="2.125" style="2" customWidth="1"/>
    <col min="509" max="509" width="6.75" style="2" customWidth="1"/>
    <col min="510" max="510" width="8.625" style="2" customWidth="1"/>
    <col min="511" max="511" width="8.875" style="2" customWidth="1"/>
    <col min="512" max="512" width="3.5" style="2" customWidth="1"/>
    <col min="513" max="513" width="6.5" style="2" customWidth="1"/>
    <col min="514" max="514" width="9" style="2" customWidth="1"/>
    <col min="515" max="515" width="11.625" style="2" customWidth="1"/>
    <col min="516" max="516" width="5.5" style="2" customWidth="1"/>
    <col min="517" max="517" width="5.375" style="2" customWidth="1"/>
    <col min="518" max="518" width="8.125" style="2" customWidth="1"/>
    <col min="519" max="538" width="4.25" style="2" customWidth="1"/>
    <col min="539" max="763" width="9" style="2"/>
    <col min="764" max="764" width="2.125" style="2" customWidth="1"/>
    <col min="765" max="765" width="6.75" style="2" customWidth="1"/>
    <col min="766" max="766" width="8.625" style="2" customWidth="1"/>
    <col min="767" max="767" width="8.875" style="2" customWidth="1"/>
    <col min="768" max="768" width="3.5" style="2" customWidth="1"/>
    <col min="769" max="769" width="6.5" style="2" customWidth="1"/>
    <col min="770" max="770" width="9" style="2" customWidth="1"/>
    <col min="771" max="771" width="11.625" style="2" customWidth="1"/>
    <col min="772" max="772" width="5.5" style="2" customWidth="1"/>
    <col min="773" max="773" width="5.375" style="2" customWidth="1"/>
    <col min="774" max="774" width="8.125" style="2" customWidth="1"/>
    <col min="775" max="794" width="4.25" style="2" customWidth="1"/>
    <col min="795" max="1019" width="9" style="2"/>
    <col min="1020" max="1020" width="2.125" style="2" customWidth="1"/>
    <col min="1021" max="1021" width="6.75" style="2" customWidth="1"/>
    <col min="1022" max="1022" width="8.625" style="2" customWidth="1"/>
    <col min="1023" max="1023" width="8.875" style="2" customWidth="1"/>
    <col min="1024" max="1024" width="3.5" style="2" customWidth="1"/>
    <col min="1025" max="1025" width="6.5" style="2" customWidth="1"/>
    <col min="1026" max="1026" width="9" style="2" customWidth="1"/>
    <col min="1027" max="1027" width="11.625" style="2" customWidth="1"/>
    <col min="1028" max="1028" width="5.5" style="2" customWidth="1"/>
    <col min="1029" max="1029" width="5.375" style="2" customWidth="1"/>
    <col min="1030" max="1030" width="8.125" style="2" customWidth="1"/>
    <col min="1031" max="1050" width="4.25" style="2" customWidth="1"/>
    <col min="1051" max="1275" width="9" style="2"/>
    <col min="1276" max="1276" width="2.125" style="2" customWidth="1"/>
    <col min="1277" max="1277" width="6.75" style="2" customWidth="1"/>
    <col min="1278" max="1278" width="8.625" style="2" customWidth="1"/>
    <col min="1279" max="1279" width="8.875" style="2" customWidth="1"/>
    <col min="1280" max="1280" width="3.5" style="2" customWidth="1"/>
    <col min="1281" max="1281" width="6.5" style="2" customWidth="1"/>
    <col min="1282" max="1282" width="9" style="2" customWidth="1"/>
    <col min="1283" max="1283" width="11.625" style="2" customWidth="1"/>
    <col min="1284" max="1284" width="5.5" style="2" customWidth="1"/>
    <col min="1285" max="1285" width="5.375" style="2" customWidth="1"/>
    <col min="1286" max="1286" width="8.125" style="2" customWidth="1"/>
    <col min="1287" max="1306" width="4.25" style="2" customWidth="1"/>
    <col min="1307" max="1531" width="9" style="2"/>
    <col min="1532" max="1532" width="2.125" style="2" customWidth="1"/>
    <col min="1533" max="1533" width="6.75" style="2" customWidth="1"/>
    <col min="1534" max="1534" width="8.625" style="2" customWidth="1"/>
    <col min="1535" max="1535" width="8.875" style="2" customWidth="1"/>
    <col min="1536" max="1536" width="3.5" style="2" customWidth="1"/>
    <col min="1537" max="1537" width="6.5" style="2" customWidth="1"/>
    <col min="1538" max="1538" width="9" style="2" customWidth="1"/>
    <col min="1539" max="1539" width="11.625" style="2" customWidth="1"/>
    <col min="1540" max="1540" width="5.5" style="2" customWidth="1"/>
    <col min="1541" max="1541" width="5.375" style="2" customWidth="1"/>
    <col min="1542" max="1542" width="8.125" style="2" customWidth="1"/>
    <col min="1543" max="1562" width="4.25" style="2" customWidth="1"/>
    <col min="1563" max="1787" width="9" style="2"/>
    <col min="1788" max="1788" width="2.125" style="2" customWidth="1"/>
    <col min="1789" max="1789" width="6.75" style="2" customWidth="1"/>
    <col min="1790" max="1790" width="8.625" style="2" customWidth="1"/>
    <col min="1791" max="1791" width="8.875" style="2" customWidth="1"/>
    <col min="1792" max="1792" width="3.5" style="2" customWidth="1"/>
    <col min="1793" max="1793" width="6.5" style="2" customWidth="1"/>
    <col min="1794" max="1794" width="9" style="2" customWidth="1"/>
    <col min="1795" max="1795" width="11.625" style="2" customWidth="1"/>
    <col min="1796" max="1796" width="5.5" style="2" customWidth="1"/>
    <col min="1797" max="1797" width="5.375" style="2" customWidth="1"/>
    <col min="1798" max="1798" width="8.125" style="2" customWidth="1"/>
    <col min="1799" max="1818" width="4.25" style="2" customWidth="1"/>
    <col min="1819" max="2043" width="9" style="2"/>
    <col min="2044" max="2044" width="2.125" style="2" customWidth="1"/>
    <col min="2045" max="2045" width="6.75" style="2" customWidth="1"/>
    <col min="2046" max="2046" width="8.625" style="2" customWidth="1"/>
    <col min="2047" max="2047" width="8.875" style="2" customWidth="1"/>
    <col min="2048" max="2048" width="3.5" style="2" customWidth="1"/>
    <col min="2049" max="2049" width="6.5" style="2" customWidth="1"/>
    <col min="2050" max="2050" width="9" style="2" customWidth="1"/>
    <col min="2051" max="2051" width="11.625" style="2" customWidth="1"/>
    <col min="2052" max="2052" width="5.5" style="2" customWidth="1"/>
    <col min="2053" max="2053" width="5.375" style="2" customWidth="1"/>
    <col min="2054" max="2054" width="8.125" style="2" customWidth="1"/>
    <col min="2055" max="2074" width="4.25" style="2" customWidth="1"/>
    <col min="2075" max="2299" width="9" style="2"/>
    <col min="2300" max="2300" width="2.125" style="2" customWidth="1"/>
    <col min="2301" max="2301" width="6.75" style="2" customWidth="1"/>
    <col min="2302" max="2302" width="8.625" style="2" customWidth="1"/>
    <col min="2303" max="2303" width="8.875" style="2" customWidth="1"/>
    <col min="2304" max="2304" width="3.5" style="2" customWidth="1"/>
    <col min="2305" max="2305" width="6.5" style="2" customWidth="1"/>
    <col min="2306" max="2306" width="9" style="2" customWidth="1"/>
    <col min="2307" max="2307" width="11.625" style="2" customWidth="1"/>
    <col min="2308" max="2308" width="5.5" style="2" customWidth="1"/>
    <col min="2309" max="2309" width="5.375" style="2" customWidth="1"/>
    <col min="2310" max="2310" width="8.125" style="2" customWidth="1"/>
    <col min="2311" max="2330" width="4.25" style="2" customWidth="1"/>
    <col min="2331" max="2555" width="9" style="2"/>
    <col min="2556" max="2556" width="2.125" style="2" customWidth="1"/>
    <col min="2557" max="2557" width="6.75" style="2" customWidth="1"/>
    <col min="2558" max="2558" width="8.625" style="2" customWidth="1"/>
    <col min="2559" max="2559" width="8.875" style="2" customWidth="1"/>
    <col min="2560" max="2560" width="3.5" style="2" customWidth="1"/>
    <col min="2561" max="2561" width="6.5" style="2" customWidth="1"/>
    <col min="2562" max="2562" width="9" style="2" customWidth="1"/>
    <col min="2563" max="2563" width="11.625" style="2" customWidth="1"/>
    <col min="2564" max="2564" width="5.5" style="2" customWidth="1"/>
    <col min="2565" max="2565" width="5.375" style="2" customWidth="1"/>
    <col min="2566" max="2566" width="8.125" style="2" customWidth="1"/>
    <col min="2567" max="2586" width="4.25" style="2" customWidth="1"/>
    <col min="2587" max="2811" width="9" style="2"/>
    <col min="2812" max="2812" width="2.125" style="2" customWidth="1"/>
    <col min="2813" max="2813" width="6.75" style="2" customWidth="1"/>
    <col min="2814" max="2814" width="8.625" style="2" customWidth="1"/>
    <col min="2815" max="2815" width="8.875" style="2" customWidth="1"/>
    <col min="2816" max="2816" width="3.5" style="2" customWidth="1"/>
    <col min="2817" max="2817" width="6.5" style="2" customWidth="1"/>
    <col min="2818" max="2818" width="9" style="2" customWidth="1"/>
    <col min="2819" max="2819" width="11.625" style="2" customWidth="1"/>
    <col min="2820" max="2820" width="5.5" style="2" customWidth="1"/>
    <col min="2821" max="2821" width="5.375" style="2" customWidth="1"/>
    <col min="2822" max="2822" width="8.125" style="2" customWidth="1"/>
    <col min="2823" max="2842" width="4.25" style="2" customWidth="1"/>
    <col min="2843" max="3067" width="9" style="2"/>
    <col min="3068" max="3068" width="2.125" style="2" customWidth="1"/>
    <col min="3069" max="3069" width="6.75" style="2" customWidth="1"/>
    <col min="3070" max="3070" width="8.625" style="2" customWidth="1"/>
    <col min="3071" max="3071" width="8.875" style="2" customWidth="1"/>
    <col min="3072" max="3072" width="3.5" style="2" customWidth="1"/>
    <col min="3073" max="3073" width="6.5" style="2" customWidth="1"/>
    <col min="3074" max="3074" width="9" style="2" customWidth="1"/>
    <col min="3075" max="3075" width="11.625" style="2" customWidth="1"/>
    <col min="3076" max="3076" width="5.5" style="2" customWidth="1"/>
    <col min="3077" max="3077" width="5.375" style="2" customWidth="1"/>
    <col min="3078" max="3078" width="8.125" style="2" customWidth="1"/>
    <col min="3079" max="3098" width="4.25" style="2" customWidth="1"/>
    <col min="3099" max="3323" width="9" style="2"/>
    <col min="3324" max="3324" width="2.125" style="2" customWidth="1"/>
    <col min="3325" max="3325" width="6.75" style="2" customWidth="1"/>
    <col min="3326" max="3326" width="8.625" style="2" customWidth="1"/>
    <col min="3327" max="3327" width="8.875" style="2" customWidth="1"/>
    <col min="3328" max="3328" width="3.5" style="2" customWidth="1"/>
    <col min="3329" max="3329" width="6.5" style="2" customWidth="1"/>
    <col min="3330" max="3330" width="9" style="2" customWidth="1"/>
    <col min="3331" max="3331" width="11.625" style="2" customWidth="1"/>
    <col min="3332" max="3332" width="5.5" style="2" customWidth="1"/>
    <col min="3333" max="3333" width="5.375" style="2" customWidth="1"/>
    <col min="3334" max="3334" width="8.125" style="2" customWidth="1"/>
    <col min="3335" max="3354" width="4.25" style="2" customWidth="1"/>
    <col min="3355" max="3579" width="9" style="2"/>
    <col min="3580" max="3580" width="2.125" style="2" customWidth="1"/>
    <col min="3581" max="3581" width="6.75" style="2" customWidth="1"/>
    <col min="3582" max="3582" width="8.625" style="2" customWidth="1"/>
    <col min="3583" max="3583" width="8.875" style="2" customWidth="1"/>
    <col min="3584" max="3584" width="3.5" style="2" customWidth="1"/>
    <col min="3585" max="3585" width="6.5" style="2" customWidth="1"/>
    <col min="3586" max="3586" width="9" style="2" customWidth="1"/>
    <col min="3587" max="3587" width="11.625" style="2" customWidth="1"/>
    <col min="3588" max="3588" width="5.5" style="2" customWidth="1"/>
    <col min="3589" max="3589" width="5.375" style="2" customWidth="1"/>
    <col min="3590" max="3590" width="8.125" style="2" customWidth="1"/>
    <col min="3591" max="3610" width="4.25" style="2" customWidth="1"/>
    <col min="3611" max="3835" width="9" style="2"/>
    <col min="3836" max="3836" width="2.125" style="2" customWidth="1"/>
    <col min="3837" max="3837" width="6.75" style="2" customWidth="1"/>
    <col min="3838" max="3838" width="8.625" style="2" customWidth="1"/>
    <col min="3839" max="3839" width="8.875" style="2" customWidth="1"/>
    <col min="3840" max="3840" width="3.5" style="2" customWidth="1"/>
    <col min="3841" max="3841" width="6.5" style="2" customWidth="1"/>
    <col min="3842" max="3842" width="9" style="2" customWidth="1"/>
    <col min="3843" max="3843" width="11.625" style="2" customWidth="1"/>
    <col min="3844" max="3844" width="5.5" style="2" customWidth="1"/>
    <col min="3845" max="3845" width="5.375" style="2" customWidth="1"/>
    <col min="3846" max="3846" width="8.125" style="2" customWidth="1"/>
    <col min="3847" max="3866" width="4.25" style="2" customWidth="1"/>
    <col min="3867" max="4091" width="9" style="2"/>
    <col min="4092" max="4092" width="2.125" style="2" customWidth="1"/>
    <col min="4093" max="4093" width="6.75" style="2" customWidth="1"/>
    <col min="4094" max="4094" width="8.625" style="2" customWidth="1"/>
    <col min="4095" max="4095" width="8.875" style="2" customWidth="1"/>
    <col min="4096" max="4096" width="3.5" style="2" customWidth="1"/>
    <col min="4097" max="4097" width="6.5" style="2" customWidth="1"/>
    <col min="4098" max="4098" width="9" style="2" customWidth="1"/>
    <col min="4099" max="4099" width="11.625" style="2" customWidth="1"/>
    <col min="4100" max="4100" width="5.5" style="2" customWidth="1"/>
    <col min="4101" max="4101" width="5.375" style="2" customWidth="1"/>
    <col min="4102" max="4102" width="8.125" style="2" customWidth="1"/>
    <col min="4103" max="4122" width="4.25" style="2" customWidth="1"/>
    <col min="4123" max="4347" width="9" style="2"/>
    <col min="4348" max="4348" width="2.125" style="2" customWidth="1"/>
    <col min="4349" max="4349" width="6.75" style="2" customWidth="1"/>
    <col min="4350" max="4350" width="8.625" style="2" customWidth="1"/>
    <col min="4351" max="4351" width="8.875" style="2" customWidth="1"/>
    <col min="4352" max="4352" width="3.5" style="2" customWidth="1"/>
    <col min="4353" max="4353" width="6.5" style="2" customWidth="1"/>
    <col min="4354" max="4354" width="9" style="2" customWidth="1"/>
    <col min="4355" max="4355" width="11.625" style="2" customWidth="1"/>
    <col min="4356" max="4356" width="5.5" style="2" customWidth="1"/>
    <col min="4357" max="4357" width="5.375" style="2" customWidth="1"/>
    <col min="4358" max="4358" width="8.125" style="2" customWidth="1"/>
    <col min="4359" max="4378" width="4.25" style="2" customWidth="1"/>
    <col min="4379" max="4603" width="9" style="2"/>
    <col min="4604" max="4604" width="2.125" style="2" customWidth="1"/>
    <col min="4605" max="4605" width="6.75" style="2" customWidth="1"/>
    <col min="4606" max="4606" width="8.625" style="2" customWidth="1"/>
    <col min="4607" max="4607" width="8.875" style="2" customWidth="1"/>
    <col min="4608" max="4608" width="3.5" style="2" customWidth="1"/>
    <col min="4609" max="4609" width="6.5" style="2" customWidth="1"/>
    <col min="4610" max="4610" width="9" style="2" customWidth="1"/>
    <col min="4611" max="4611" width="11.625" style="2" customWidth="1"/>
    <col min="4612" max="4612" width="5.5" style="2" customWidth="1"/>
    <col min="4613" max="4613" width="5.375" style="2" customWidth="1"/>
    <col min="4614" max="4614" width="8.125" style="2" customWidth="1"/>
    <col min="4615" max="4634" width="4.25" style="2" customWidth="1"/>
    <col min="4635" max="4859" width="9" style="2"/>
    <col min="4860" max="4860" width="2.125" style="2" customWidth="1"/>
    <col min="4861" max="4861" width="6.75" style="2" customWidth="1"/>
    <col min="4862" max="4862" width="8.625" style="2" customWidth="1"/>
    <col min="4863" max="4863" width="8.875" style="2" customWidth="1"/>
    <col min="4864" max="4864" width="3.5" style="2" customWidth="1"/>
    <col min="4865" max="4865" width="6.5" style="2" customWidth="1"/>
    <col min="4866" max="4866" width="9" style="2" customWidth="1"/>
    <col min="4867" max="4867" width="11.625" style="2" customWidth="1"/>
    <col min="4868" max="4868" width="5.5" style="2" customWidth="1"/>
    <col min="4869" max="4869" width="5.375" style="2" customWidth="1"/>
    <col min="4870" max="4870" width="8.125" style="2" customWidth="1"/>
    <col min="4871" max="4890" width="4.25" style="2" customWidth="1"/>
    <col min="4891" max="5115" width="9" style="2"/>
    <col min="5116" max="5116" width="2.125" style="2" customWidth="1"/>
    <col min="5117" max="5117" width="6.75" style="2" customWidth="1"/>
    <col min="5118" max="5118" width="8.625" style="2" customWidth="1"/>
    <col min="5119" max="5119" width="8.875" style="2" customWidth="1"/>
    <col min="5120" max="5120" width="3.5" style="2" customWidth="1"/>
    <col min="5121" max="5121" width="6.5" style="2" customWidth="1"/>
    <col min="5122" max="5122" width="9" style="2" customWidth="1"/>
    <col min="5123" max="5123" width="11.625" style="2" customWidth="1"/>
    <col min="5124" max="5124" width="5.5" style="2" customWidth="1"/>
    <col min="5125" max="5125" width="5.375" style="2" customWidth="1"/>
    <col min="5126" max="5126" width="8.125" style="2" customWidth="1"/>
    <col min="5127" max="5146" width="4.25" style="2" customWidth="1"/>
    <col min="5147" max="5371" width="9" style="2"/>
    <col min="5372" max="5372" width="2.125" style="2" customWidth="1"/>
    <col min="5373" max="5373" width="6.75" style="2" customWidth="1"/>
    <col min="5374" max="5374" width="8.625" style="2" customWidth="1"/>
    <col min="5375" max="5375" width="8.875" style="2" customWidth="1"/>
    <col min="5376" max="5376" width="3.5" style="2" customWidth="1"/>
    <col min="5377" max="5377" width="6.5" style="2" customWidth="1"/>
    <col min="5378" max="5378" width="9" style="2" customWidth="1"/>
    <col min="5379" max="5379" width="11.625" style="2" customWidth="1"/>
    <col min="5380" max="5380" width="5.5" style="2" customWidth="1"/>
    <col min="5381" max="5381" width="5.375" style="2" customWidth="1"/>
    <col min="5382" max="5382" width="8.125" style="2" customWidth="1"/>
    <col min="5383" max="5402" width="4.25" style="2" customWidth="1"/>
    <col min="5403" max="5627" width="9" style="2"/>
    <col min="5628" max="5628" width="2.125" style="2" customWidth="1"/>
    <col min="5629" max="5629" width="6.75" style="2" customWidth="1"/>
    <col min="5630" max="5630" width="8.625" style="2" customWidth="1"/>
    <col min="5631" max="5631" width="8.875" style="2" customWidth="1"/>
    <col min="5632" max="5632" width="3.5" style="2" customWidth="1"/>
    <col min="5633" max="5633" width="6.5" style="2" customWidth="1"/>
    <col min="5634" max="5634" width="9" style="2" customWidth="1"/>
    <col min="5635" max="5635" width="11.625" style="2" customWidth="1"/>
    <col min="5636" max="5636" width="5.5" style="2" customWidth="1"/>
    <col min="5637" max="5637" width="5.375" style="2" customWidth="1"/>
    <col min="5638" max="5638" width="8.125" style="2" customWidth="1"/>
    <col min="5639" max="5658" width="4.25" style="2" customWidth="1"/>
    <col min="5659" max="5883" width="9" style="2"/>
    <col min="5884" max="5884" width="2.125" style="2" customWidth="1"/>
    <col min="5885" max="5885" width="6.75" style="2" customWidth="1"/>
    <col min="5886" max="5886" width="8.625" style="2" customWidth="1"/>
    <col min="5887" max="5887" width="8.875" style="2" customWidth="1"/>
    <col min="5888" max="5888" width="3.5" style="2" customWidth="1"/>
    <col min="5889" max="5889" width="6.5" style="2" customWidth="1"/>
    <col min="5890" max="5890" width="9" style="2" customWidth="1"/>
    <col min="5891" max="5891" width="11.625" style="2" customWidth="1"/>
    <col min="5892" max="5892" width="5.5" style="2" customWidth="1"/>
    <col min="5893" max="5893" width="5.375" style="2" customWidth="1"/>
    <col min="5894" max="5894" width="8.125" style="2" customWidth="1"/>
    <col min="5895" max="5914" width="4.25" style="2" customWidth="1"/>
    <col min="5915" max="6139" width="9" style="2"/>
    <col min="6140" max="6140" width="2.125" style="2" customWidth="1"/>
    <col min="6141" max="6141" width="6.75" style="2" customWidth="1"/>
    <col min="6142" max="6142" width="8.625" style="2" customWidth="1"/>
    <col min="6143" max="6143" width="8.875" style="2" customWidth="1"/>
    <col min="6144" max="6144" width="3.5" style="2" customWidth="1"/>
    <col min="6145" max="6145" width="6.5" style="2" customWidth="1"/>
    <col min="6146" max="6146" width="9" style="2" customWidth="1"/>
    <col min="6147" max="6147" width="11.625" style="2" customWidth="1"/>
    <col min="6148" max="6148" width="5.5" style="2" customWidth="1"/>
    <col min="6149" max="6149" width="5.375" style="2" customWidth="1"/>
    <col min="6150" max="6150" width="8.125" style="2" customWidth="1"/>
    <col min="6151" max="6170" width="4.25" style="2" customWidth="1"/>
    <col min="6171" max="6395" width="9" style="2"/>
    <col min="6396" max="6396" width="2.125" style="2" customWidth="1"/>
    <col min="6397" max="6397" width="6.75" style="2" customWidth="1"/>
    <col min="6398" max="6398" width="8.625" style="2" customWidth="1"/>
    <col min="6399" max="6399" width="8.875" style="2" customWidth="1"/>
    <col min="6400" max="6400" width="3.5" style="2" customWidth="1"/>
    <col min="6401" max="6401" width="6.5" style="2" customWidth="1"/>
    <col min="6402" max="6402" width="9" style="2" customWidth="1"/>
    <col min="6403" max="6403" width="11.625" style="2" customWidth="1"/>
    <col min="6404" max="6404" width="5.5" style="2" customWidth="1"/>
    <col min="6405" max="6405" width="5.375" style="2" customWidth="1"/>
    <col min="6406" max="6406" width="8.125" style="2" customWidth="1"/>
    <col min="6407" max="6426" width="4.25" style="2" customWidth="1"/>
    <col min="6427" max="6651" width="9" style="2"/>
    <col min="6652" max="6652" width="2.125" style="2" customWidth="1"/>
    <col min="6653" max="6653" width="6.75" style="2" customWidth="1"/>
    <col min="6654" max="6654" width="8.625" style="2" customWidth="1"/>
    <col min="6655" max="6655" width="8.875" style="2" customWidth="1"/>
    <col min="6656" max="6656" width="3.5" style="2" customWidth="1"/>
    <col min="6657" max="6657" width="6.5" style="2" customWidth="1"/>
    <col min="6658" max="6658" width="9" style="2" customWidth="1"/>
    <col min="6659" max="6659" width="11.625" style="2" customWidth="1"/>
    <col min="6660" max="6660" width="5.5" style="2" customWidth="1"/>
    <col min="6661" max="6661" width="5.375" style="2" customWidth="1"/>
    <col min="6662" max="6662" width="8.125" style="2" customWidth="1"/>
    <col min="6663" max="6682" width="4.25" style="2" customWidth="1"/>
    <col min="6683" max="6907" width="9" style="2"/>
    <col min="6908" max="6908" width="2.125" style="2" customWidth="1"/>
    <col min="6909" max="6909" width="6.75" style="2" customWidth="1"/>
    <col min="6910" max="6910" width="8.625" style="2" customWidth="1"/>
    <col min="6911" max="6911" width="8.875" style="2" customWidth="1"/>
    <col min="6912" max="6912" width="3.5" style="2" customWidth="1"/>
    <col min="6913" max="6913" width="6.5" style="2" customWidth="1"/>
    <col min="6914" max="6914" width="9" style="2" customWidth="1"/>
    <col min="6915" max="6915" width="11.625" style="2" customWidth="1"/>
    <col min="6916" max="6916" width="5.5" style="2" customWidth="1"/>
    <col min="6917" max="6917" width="5.375" style="2" customWidth="1"/>
    <col min="6918" max="6918" width="8.125" style="2" customWidth="1"/>
    <col min="6919" max="6938" width="4.25" style="2" customWidth="1"/>
    <col min="6939" max="7163" width="9" style="2"/>
    <col min="7164" max="7164" width="2.125" style="2" customWidth="1"/>
    <col min="7165" max="7165" width="6.75" style="2" customWidth="1"/>
    <col min="7166" max="7166" width="8.625" style="2" customWidth="1"/>
    <col min="7167" max="7167" width="8.875" style="2" customWidth="1"/>
    <col min="7168" max="7168" width="3.5" style="2" customWidth="1"/>
    <col min="7169" max="7169" width="6.5" style="2" customWidth="1"/>
    <col min="7170" max="7170" width="9" style="2" customWidth="1"/>
    <col min="7171" max="7171" width="11.625" style="2" customWidth="1"/>
    <col min="7172" max="7172" width="5.5" style="2" customWidth="1"/>
    <col min="7173" max="7173" width="5.375" style="2" customWidth="1"/>
    <col min="7174" max="7174" width="8.125" style="2" customWidth="1"/>
    <col min="7175" max="7194" width="4.25" style="2" customWidth="1"/>
    <col min="7195" max="7419" width="9" style="2"/>
    <col min="7420" max="7420" width="2.125" style="2" customWidth="1"/>
    <col min="7421" max="7421" width="6.75" style="2" customWidth="1"/>
    <col min="7422" max="7422" width="8.625" style="2" customWidth="1"/>
    <col min="7423" max="7423" width="8.875" style="2" customWidth="1"/>
    <col min="7424" max="7424" width="3.5" style="2" customWidth="1"/>
    <col min="7425" max="7425" width="6.5" style="2" customWidth="1"/>
    <col min="7426" max="7426" width="9" style="2" customWidth="1"/>
    <col min="7427" max="7427" width="11.625" style="2" customWidth="1"/>
    <col min="7428" max="7428" width="5.5" style="2" customWidth="1"/>
    <col min="7429" max="7429" width="5.375" style="2" customWidth="1"/>
    <col min="7430" max="7430" width="8.125" style="2" customWidth="1"/>
    <col min="7431" max="7450" width="4.25" style="2" customWidth="1"/>
    <col min="7451" max="7675" width="9" style="2"/>
    <col min="7676" max="7676" width="2.125" style="2" customWidth="1"/>
    <col min="7677" max="7677" width="6.75" style="2" customWidth="1"/>
    <col min="7678" max="7678" width="8.625" style="2" customWidth="1"/>
    <col min="7679" max="7679" width="8.875" style="2" customWidth="1"/>
    <col min="7680" max="7680" width="3.5" style="2" customWidth="1"/>
    <col min="7681" max="7681" width="6.5" style="2" customWidth="1"/>
    <col min="7682" max="7682" width="9" style="2" customWidth="1"/>
    <col min="7683" max="7683" width="11.625" style="2" customWidth="1"/>
    <col min="7684" max="7684" width="5.5" style="2" customWidth="1"/>
    <col min="7685" max="7685" width="5.375" style="2" customWidth="1"/>
    <col min="7686" max="7686" width="8.125" style="2" customWidth="1"/>
    <col min="7687" max="7706" width="4.25" style="2" customWidth="1"/>
    <col min="7707" max="7931" width="9" style="2"/>
    <col min="7932" max="7932" width="2.125" style="2" customWidth="1"/>
    <col min="7933" max="7933" width="6.75" style="2" customWidth="1"/>
    <col min="7934" max="7934" width="8.625" style="2" customWidth="1"/>
    <col min="7935" max="7935" width="8.875" style="2" customWidth="1"/>
    <col min="7936" max="7936" width="3.5" style="2" customWidth="1"/>
    <col min="7937" max="7937" width="6.5" style="2" customWidth="1"/>
    <col min="7938" max="7938" width="9" style="2" customWidth="1"/>
    <col min="7939" max="7939" width="11.625" style="2" customWidth="1"/>
    <col min="7940" max="7940" width="5.5" style="2" customWidth="1"/>
    <col min="7941" max="7941" width="5.375" style="2" customWidth="1"/>
    <col min="7942" max="7942" width="8.125" style="2" customWidth="1"/>
    <col min="7943" max="7962" width="4.25" style="2" customWidth="1"/>
    <col min="7963" max="8187" width="9" style="2"/>
    <col min="8188" max="8188" width="2.125" style="2" customWidth="1"/>
    <col min="8189" max="8189" width="6.75" style="2" customWidth="1"/>
    <col min="8190" max="8190" width="8.625" style="2" customWidth="1"/>
    <col min="8191" max="8191" width="8.875" style="2" customWidth="1"/>
    <col min="8192" max="8192" width="3.5" style="2" customWidth="1"/>
    <col min="8193" max="8193" width="6.5" style="2" customWidth="1"/>
    <col min="8194" max="8194" width="9" style="2" customWidth="1"/>
    <col min="8195" max="8195" width="11.625" style="2" customWidth="1"/>
    <col min="8196" max="8196" width="5.5" style="2" customWidth="1"/>
    <col min="8197" max="8197" width="5.375" style="2" customWidth="1"/>
    <col min="8198" max="8198" width="8.125" style="2" customWidth="1"/>
    <col min="8199" max="8218" width="4.25" style="2" customWidth="1"/>
    <col min="8219" max="8443" width="9" style="2"/>
    <col min="8444" max="8444" width="2.125" style="2" customWidth="1"/>
    <col min="8445" max="8445" width="6.75" style="2" customWidth="1"/>
    <col min="8446" max="8446" width="8.625" style="2" customWidth="1"/>
    <col min="8447" max="8447" width="8.875" style="2" customWidth="1"/>
    <col min="8448" max="8448" width="3.5" style="2" customWidth="1"/>
    <col min="8449" max="8449" width="6.5" style="2" customWidth="1"/>
    <col min="8450" max="8450" width="9" style="2" customWidth="1"/>
    <col min="8451" max="8451" width="11.625" style="2" customWidth="1"/>
    <col min="8452" max="8452" width="5.5" style="2" customWidth="1"/>
    <col min="8453" max="8453" width="5.375" style="2" customWidth="1"/>
    <col min="8454" max="8454" width="8.125" style="2" customWidth="1"/>
    <col min="8455" max="8474" width="4.25" style="2" customWidth="1"/>
    <col min="8475" max="8699" width="9" style="2"/>
    <col min="8700" max="8700" width="2.125" style="2" customWidth="1"/>
    <col min="8701" max="8701" width="6.75" style="2" customWidth="1"/>
    <col min="8702" max="8702" width="8.625" style="2" customWidth="1"/>
    <col min="8703" max="8703" width="8.875" style="2" customWidth="1"/>
    <col min="8704" max="8704" width="3.5" style="2" customWidth="1"/>
    <col min="8705" max="8705" width="6.5" style="2" customWidth="1"/>
    <col min="8706" max="8706" width="9" style="2" customWidth="1"/>
    <col min="8707" max="8707" width="11.625" style="2" customWidth="1"/>
    <col min="8708" max="8708" width="5.5" style="2" customWidth="1"/>
    <col min="8709" max="8709" width="5.375" style="2" customWidth="1"/>
    <col min="8710" max="8710" width="8.125" style="2" customWidth="1"/>
    <col min="8711" max="8730" width="4.25" style="2" customWidth="1"/>
    <col min="8731" max="8955" width="9" style="2"/>
    <col min="8956" max="8956" width="2.125" style="2" customWidth="1"/>
    <col min="8957" max="8957" width="6.75" style="2" customWidth="1"/>
    <col min="8958" max="8958" width="8.625" style="2" customWidth="1"/>
    <col min="8959" max="8959" width="8.875" style="2" customWidth="1"/>
    <col min="8960" max="8960" width="3.5" style="2" customWidth="1"/>
    <col min="8961" max="8961" width="6.5" style="2" customWidth="1"/>
    <col min="8962" max="8962" width="9" style="2" customWidth="1"/>
    <col min="8963" max="8963" width="11.625" style="2" customWidth="1"/>
    <col min="8964" max="8964" width="5.5" style="2" customWidth="1"/>
    <col min="8965" max="8965" width="5.375" style="2" customWidth="1"/>
    <col min="8966" max="8966" width="8.125" style="2" customWidth="1"/>
    <col min="8967" max="8986" width="4.25" style="2" customWidth="1"/>
    <col min="8987" max="9211" width="9" style="2"/>
    <col min="9212" max="9212" width="2.125" style="2" customWidth="1"/>
    <col min="9213" max="9213" width="6.75" style="2" customWidth="1"/>
    <col min="9214" max="9214" width="8.625" style="2" customWidth="1"/>
    <col min="9215" max="9215" width="8.875" style="2" customWidth="1"/>
    <col min="9216" max="9216" width="3.5" style="2" customWidth="1"/>
    <col min="9217" max="9217" width="6.5" style="2" customWidth="1"/>
    <col min="9218" max="9218" width="9" style="2" customWidth="1"/>
    <col min="9219" max="9219" width="11.625" style="2" customWidth="1"/>
    <col min="9220" max="9220" width="5.5" style="2" customWidth="1"/>
    <col min="9221" max="9221" width="5.375" style="2" customWidth="1"/>
    <col min="9222" max="9222" width="8.125" style="2" customWidth="1"/>
    <col min="9223" max="9242" width="4.25" style="2" customWidth="1"/>
    <col min="9243" max="9467" width="9" style="2"/>
    <col min="9468" max="9468" width="2.125" style="2" customWidth="1"/>
    <col min="9469" max="9469" width="6.75" style="2" customWidth="1"/>
    <col min="9470" max="9470" width="8.625" style="2" customWidth="1"/>
    <col min="9471" max="9471" width="8.875" style="2" customWidth="1"/>
    <col min="9472" max="9472" width="3.5" style="2" customWidth="1"/>
    <col min="9473" max="9473" width="6.5" style="2" customWidth="1"/>
    <col min="9474" max="9474" width="9" style="2" customWidth="1"/>
    <col min="9475" max="9475" width="11.625" style="2" customWidth="1"/>
    <col min="9476" max="9476" width="5.5" style="2" customWidth="1"/>
    <col min="9477" max="9477" width="5.375" style="2" customWidth="1"/>
    <col min="9478" max="9478" width="8.125" style="2" customWidth="1"/>
    <col min="9479" max="9498" width="4.25" style="2" customWidth="1"/>
    <col min="9499" max="9723" width="9" style="2"/>
    <col min="9724" max="9724" width="2.125" style="2" customWidth="1"/>
    <col min="9725" max="9725" width="6.75" style="2" customWidth="1"/>
    <col min="9726" max="9726" width="8.625" style="2" customWidth="1"/>
    <col min="9727" max="9727" width="8.875" style="2" customWidth="1"/>
    <col min="9728" max="9728" width="3.5" style="2" customWidth="1"/>
    <col min="9729" max="9729" width="6.5" style="2" customWidth="1"/>
    <col min="9730" max="9730" width="9" style="2" customWidth="1"/>
    <col min="9731" max="9731" width="11.625" style="2" customWidth="1"/>
    <col min="9732" max="9732" width="5.5" style="2" customWidth="1"/>
    <col min="9733" max="9733" width="5.375" style="2" customWidth="1"/>
    <col min="9734" max="9734" width="8.125" style="2" customWidth="1"/>
    <col min="9735" max="9754" width="4.25" style="2" customWidth="1"/>
    <col min="9755" max="9979" width="9" style="2"/>
    <col min="9980" max="9980" width="2.125" style="2" customWidth="1"/>
    <col min="9981" max="9981" width="6.75" style="2" customWidth="1"/>
    <col min="9982" max="9982" width="8.625" style="2" customWidth="1"/>
    <col min="9983" max="9983" width="8.875" style="2" customWidth="1"/>
    <col min="9984" max="9984" width="3.5" style="2" customWidth="1"/>
    <col min="9985" max="9985" width="6.5" style="2" customWidth="1"/>
    <col min="9986" max="9986" width="9" style="2" customWidth="1"/>
    <col min="9987" max="9987" width="11.625" style="2" customWidth="1"/>
    <col min="9988" max="9988" width="5.5" style="2" customWidth="1"/>
    <col min="9989" max="9989" width="5.375" style="2" customWidth="1"/>
    <col min="9990" max="9990" width="8.125" style="2" customWidth="1"/>
    <col min="9991" max="10010" width="4.25" style="2" customWidth="1"/>
    <col min="10011" max="10235" width="9" style="2"/>
    <col min="10236" max="10236" width="2.125" style="2" customWidth="1"/>
    <col min="10237" max="10237" width="6.75" style="2" customWidth="1"/>
    <col min="10238" max="10238" width="8.625" style="2" customWidth="1"/>
    <col min="10239" max="10239" width="8.875" style="2" customWidth="1"/>
    <col min="10240" max="10240" width="3.5" style="2" customWidth="1"/>
    <col min="10241" max="10241" width="6.5" style="2" customWidth="1"/>
    <col min="10242" max="10242" width="9" style="2" customWidth="1"/>
    <col min="10243" max="10243" width="11.625" style="2" customWidth="1"/>
    <col min="10244" max="10244" width="5.5" style="2" customWidth="1"/>
    <col min="10245" max="10245" width="5.375" style="2" customWidth="1"/>
    <col min="10246" max="10246" width="8.125" style="2" customWidth="1"/>
    <col min="10247" max="10266" width="4.25" style="2" customWidth="1"/>
    <col min="10267" max="10491" width="9" style="2"/>
    <col min="10492" max="10492" width="2.125" style="2" customWidth="1"/>
    <col min="10493" max="10493" width="6.75" style="2" customWidth="1"/>
    <col min="10494" max="10494" width="8.625" style="2" customWidth="1"/>
    <col min="10495" max="10495" width="8.875" style="2" customWidth="1"/>
    <col min="10496" max="10496" width="3.5" style="2" customWidth="1"/>
    <col min="10497" max="10497" width="6.5" style="2" customWidth="1"/>
    <col min="10498" max="10498" width="9" style="2" customWidth="1"/>
    <col min="10499" max="10499" width="11.625" style="2" customWidth="1"/>
    <col min="10500" max="10500" width="5.5" style="2" customWidth="1"/>
    <col min="10501" max="10501" width="5.375" style="2" customWidth="1"/>
    <col min="10502" max="10502" width="8.125" style="2" customWidth="1"/>
    <col min="10503" max="10522" width="4.25" style="2" customWidth="1"/>
    <col min="10523" max="10747" width="9" style="2"/>
    <col min="10748" max="10748" width="2.125" style="2" customWidth="1"/>
    <col min="10749" max="10749" width="6.75" style="2" customWidth="1"/>
    <col min="10750" max="10750" width="8.625" style="2" customWidth="1"/>
    <col min="10751" max="10751" width="8.875" style="2" customWidth="1"/>
    <col min="10752" max="10752" width="3.5" style="2" customWidth="1"/>
    <col min="10753" max="10753" width="6.5" style="2" customWidth="1"/>
    <col min="10754" max="10754" width="9" style="2" customWidth="1"/>
    <col min="10755" max="10755" width="11.625" style="2" customWidth="1"/>
    <col min="10756" max="10756" width="5.5" style="2" customWidth="1"/>
    <col min="10757" max="10757" width="5.375" style="2" customWidth="1"/>
    <col min="10758" max="10758" width="8.125" style="2" customWidth="1"/>
    <col min="10759" max="10778" width="4.25" style="2" customWidth="1"/>
    <col min="10779" max="11003" width="9" style="2"/>
    <col min="11004" max="11004" width="2.125" style="2" customWidth="1"/>
    <col min="11005" max="11005" width="6.75" style="2" customWidth="1"/>
    <col min="11006" max="11006" width="8.625" style="2" customWidth="1"/>
    <col min="11007" max="11007" width="8.875" style="2" customWidth="1"/>
    <col min="11008" max="11008" width="3.5" style="2" customWidth="1"/>
    <col min="11009" max="11009" width="6.5" style="2" customWidth="1"/>
    <col min="11010" max="11010" width="9" style="2" customWidth="1"/>
    <col min="11011" max="11011" width="11.625" style="2" customWidth="1"/>
    <col min="11012" max="11012" width="5.5" style="2" customWidth="1"/>
    <col min="11013" max="11013" width="5.375" style="2" customWidth="1"/>
    <col min="11014" max="11014" width="8.125" style="2" customWidth="1"/>
    <col min="11015" max="11034" width="4.25" style="2" customWidth="1"/>
    <col min="11035" max="11259" width="9" style="2"/>
    <col min="11260" max="11260" width="2.125" style="2" customWidth="1"/>
    <col min="11261" max="11261" width="6.75" style="2" customWidth="1"/>
    <col min="11262" max="11262" width="8.625" style="2" customWidth="1"/>
    <col min="11263" max="11263" width="8.875" style="2" customWidth="1"/>
    <col min="11264" max="11264" width="3.5" style="2" customWidth="1"/>
    <col min="11265" max="11265" width="6.5" style="2" customWidth="1"/>
    <col min="11266" max="11266" width="9" style="2" customWidth="1"/>
    <col min="11267" max="11267" width="11.625" style="2" customWidth="1"/>
    <col min="11268" max="11268" width="5.5" style="2" customWidth="1"/>
    <col min="11269" max="11269" width="5.375" style="2" customWidth="1"/>
    <col min="11270" max="11270" width="8.125" style="2" customWidth="1"/>
    <col min="11271" max="11290" width="4.25" style="2" customWidth="1"/>
    <col min="11291" max="11515" width="9" style="2"/>
    <col min="11516" max="11516" width="2.125" style="2" customWidth="1"/>
    <col min="11517" max="11517" width="6.75" style="2" customWidth="1"/>
    <col min="11518" max="11518" width="8.625" style="2" customWidth="1"/>
    <col min="11519" max="11519" width="8.875" style="2" customWidth="1"/>
    <col min="11520" max="11520" width="3.5" style="2" customWidth="1"/>
    <col min="11521" max="11521" width="6.5" style="2" customWidth="1"/>
    <col min="11522" max="11522" width="9" style="2" customWidth="1"/>
    <col min="11523" max="11523" width="11.625" style="2" customWidth="1"/>
    <col min="11524" max="11524" width="5.5" style="2" customWidth="1"/>
    <col min="11525" max="11525" width="5.375" style="2" customWidth="1"/>
    <col min="11526" max="11526" width="8.125" style="2" customWidth="1"/>
    <col min="11527" max="11546" width="4.25" style="2" customWidth="1"/>
    <col min="11547" max="11771" width="9" style="2"/>
    <col min="11772" max="11772" width="2.125" style="2" customWidth="1"/>
    <col min="11773" max="11773" width="6.75" style="2" customWidth="1"/>
    <col min="11774" max="11774" width="8.625" style="2" customWidth="1"/>
    <col min="11775" max="11775" width="8.875" style="2" customWidth="1"/>
    <col min="11776" max="11776" width="3.5" style="2" customWidth="1"/>
    <col min="11777" max="11777" width="6.5" style="2" customWidth="1"/>
    <col min="11778" max="11778" width="9" style="2" customWidth="1"/>
    <col min="11779" max="11779" width="11.625" style="2" customWidth="1"/>
    <col min="11780" max="11780" width="5.5" style="2" customWidth="1"/>
    <col min="11781" max="11781" width="5.375" style="2" customWidth="1"/>
    <col min="11782" max="11782" width="8.125" style="2" customWidth="1"/>
    <col min="11783" max="11802" width="4.25" style="2" customWidth="1"/>
    <col min="11803" max="12027" width="9" style="2"/>
    <col min="12028" max="12028" width="2.125" style="2" customWidth="1"/>
    <col min="12029" max="12029" width="6.75" style="2" customWidth="1"/>
    <col min="12030" max="12030" width="8.625" style="2" customWidth="1"/>
    <col min="12031" max="12031" width="8.875" style="2" customWidth="1"/>
    <col min="12032" max="12032" width="3.5" style="2" customWidth="1"/>
    <col min="12033" max="12033" width="6.5" style="2" customWidth="1"/>
    <col min="12034" max="12034" width="9" style="2" customWidth="1"/>
    <col min="12035" max="12035" width="11.625" style="2" customWidth="1"/>
    <col min="12036" max="12036" width="5.5" style="2" customWidth="1"/>
    <col min="12037" max="12037" width="5.375" style="2" customWidth="1"/>
    <col min="12038" max="12038" width="8.125" style="2" customWidth="1"/>
    <col min="12039" max="12058" width="4.25" style="2" customWidth="1"/>
    <col min="12059" max="12283" width="9" style="2"/>
    <col min="12284" max="12284" width="2.125" style="2" customWidth="1"/>
    <col min="12285" max="12285" width="6.75" style="2" customWidth="1"/>
    <col min="12286" max="12286" width="8.625" style="2" customWidth="1"/>
    <col min="12287" max="12287" width="8.875" style="2" customWidth="1"/>
    <col min="12288" max="12288" width="3.5" style="2" customWidth="1"/>
    <col min="12289" max="12289" width="6.5" style="2" customWidth="1"/>
    <col min="12290" max="12290" width="9" style="2" customWidth="1"/>
    <col min="12291" max="12291" width="11.625" style="2" customWidth="1"/>
    <col min="12292" max="12292" width="5.5" style="2" customWidth="1"/>
    <col min="12293" max="12293" width="5.375" style="2" customWidth="1"/>
    <col min="12294" max="12294" width="8.125" style="2" customWidth="1"/>
    <col min="12295" max="12314" width="4.25" style="2" customWidth="1"/>
    <col min="12315" max="12539" width="9" style="2"/>
    <col min="12540" max="12540" width="2.125" style="2" customWidth="1"/>
    <col min="12541" max="12541" width="6.75" style="2" customWidth="1"/>
    <col min="12542" max="12542" width="8.625" style="2" customWidth="1"/>
    <col min="12543" max="12543" width="8.875" style="2" customWidth="1"/>
    <col min="12544" max="12544" width="3.5" style="2" customWidth="1"/>
    <col min="12545" max="12545" width="6.5" style="2" customWidth="1"/>
    <col min="12546" max="12546" width="9" style="2" customWidth="1"/>
    <col min="12547" max="12547" width="11.625" style="2" customWidth="1"/>
    <col min="12548" max="12548" width="5.5" style="2" customWidth="1"/>
    <col min="12549" max="12549" width="5.375" style="2" customWidth="1"/>
    <col min="12550" max="12550" width="8.125" style="2" customWidth="1"/>
    <col min="12551" max="12570" width="4.25" style="2" customWidth="1"/>
    <col min="12571" max="12795" width="9" style="2"/>
    <col min="12796" max="12796" width="2.125" style="2" customWidth="1"/>
    <col min="12797" max="12797" width="6.75" style="2" customWidth="1"/>
    <col min="12798" max="12798" width="8.625" style="2" customWidth="1"/>
    <col min="12799" max="12799" width="8.875" style="2" customWidth="1"/>
    <col min="12800" max="12800" width="3.5" style="2" customWidth="1"/>
    <col min="12801" max="12801" width="6.5" style="2" customWidth="1"/>
    <col min="12802" max="12802" width="9" style="2" customWidth="1"/>
    <col min="12803" max="12803" width="11.625" style="2" customWidth="1"/>
    <col min="12804" max="12804" width="5.5" style="2" customWidth="1"/>
    <col min="12805" max="12805" width="5.375" style="2" customWidth="1"/>
    <col min="12806" max="12806" width="8.125" style="2" customWidth="1"/>
    <col min="12807" max="12826" width="4.25" style="2" customWidth="1"/>
    <col min="12827" max="13051" width="9" style="2"/>
    <col min="13052" max="13052" width="2.125" style="2" customWidth="1"/>
    <col min="13053" max="13053" width="6.75" style="2" customWidth="1"/>
    <col min="13054" max="13054" width="8.625" style="2" customWidth="1"/>
    <col min="13055" max="13055" width="8.875" style="2" customWidth="1"/>
    <col min="13056" max="13056" width="3.5" style="2" customWidth="1"/>
    <col min="13057" max="13057" width="6.5" style="2" customWidth="1"/>
    <col min="13058" max="13058" width="9" style="2" customWidth="1"/>
    <col min="13059" max="13059" width="11.625" style="2" customWidth="1"/>
    <col min="13060" max="13060" width="5.5" style="2" customWidth="1"/>
    <col min="13061" max="13061" width="5.375" style="2" customWidth="1"/>
    <col min="13062" max="13062" width="8.125" style="2" customWidth="1"/>
    <col min="13063" max="13082" width="4.25" style="2" customWidth="1"/>
    <col min="13083" max="13307" width="9" style="2"/>
    <col min="13308" max="13308" width="2.125" style="2" customWidth="1"/>
    <col min="13309" max="13309" width="6.75" style="2" customWidth="1"/>
    <col min="13310" max="13310" width="8.625" style="2" customWidth="1"/>
    <col min="13311" max="13311" width="8.875" style="2" customWidth="1"/>
    <col min="13312" max="13312" width="3.5" style="2" customWidth="1"/>
    <col min="13313" max="13313" width="6.5" style="2" customWidth="1"/>
    <col min="13314" max="13314" width="9" style="2" customWidth="1"/>
    <col min="13315" max="13315" width="11.625" style="2" customWidth="1"/>
    <col min="13316" max="13316" width="5.5" style="2" customWidth="1"/>
    <col min="13317" max="13317" width="5.375" style="2" customWidth="1"/>
    <col min="13318" max="13318" width="8.125" style="2" customWidth="1"/>
    <col min="13319" max="13338" width="4.25" style="2" customWidth="1"/>
    <col min="13339" max="13563" width="9" style="2"/>
    <col min="13564" max="13564" width="2.125" style="2" customWidth="1"/>
    <col min="13565" max="13565" width="6.75" style="2" customWidth="1"/>
    <col min="13566" max="13566" width="8.625" style="2" customWidth="1"/>
    <col min="13567" max="13567" width="8.875" style="2" customWidth="1"/>
    <col min="13568" max="13568" width="3.5" style="2" customWidth="1"/>
    <col min="13569" max="13569" width="6.5" style="2" customWidth="1"/>
    <col min="13570" max="13570" width="9" style="2" customWidth="1"/>
    <col min="13571" max="13571" width="11.625" style="2" customWidth="1"/>
    <col min="13572" max="13572" width="5.5" style="2" customWidth="1"/>
    <col min="13573" max="13573" width="5.375" style="2" customWidth="1"/>
    <col min="13574" max="13574" width="8.125" style="2" customWidth="1"/>
    <col min="13575" max="13594" width="4.25" style="2" customWidth="1"/>
    <col min="13595" max="13819" width="9" style="2"/>
    <col min="13820" max="13820" width="2.125" style="2" customWidth="1"/>
    <col min="13821" max="13821" width="6.75" style="2" customWidth="1"/>
    <col min="13822" max="13822" width="8.625" style="2" customWidth="1"/>
    <col min="13823" max="13823" width="8.875" style="2" customWidth="1"/>
    <col min="13824" max="13824" width="3.5" style="2" customWidth="1"/>
    <col min="13825" max="13825" width="6.5" style="2" customWidth="1"/>
    <col min="13826" max="13826" width="9" style="2" customWidth="1"/>
    <col min="13827" max="13827" width="11.625" style="2" customWidth="1"/>
    <col min="13828" max="13828" width="5.5" style="2" customWidth="1"/>
    <col min="13829" max="13829" width="5.375" style="2" customWidth="1"/>
    <col min="13830" max="13830" width="8.125" style="2" customWidth="1"/>
    <col min="13831" max="13850" width="4.25" style="2" customWidth="1"/>
    <col min="13851" max="14075" width="9" style="2"/>
    <col min="14076" max="14076" width="2.125" style="2" customWidth="1"/>
    <col min="14077" max="14077" width="6.75" style="2" customWidth="1"/>
    <col min="14078" max="14078" width="8.625" style="2" customWidth="1"/>
    <col min="14079" max="14079" width="8.875" style="2" customWidth="1"/>
    <col min="14080" max="14080" width="3.5" style="2" customWidth="1"/>
    <col min="14081" max="14081" width="6.5" style="2" customWidth="1"/>
    <col min="14082" max="14082" width="9" style="2" customWidth="1"/>
    <col min="14083" max="14083" width="11.625" style="2" customWidth="1"/>
    <col min="14084" max="14084" width="5.5" style="2" customWidth="1"/>
    <col min="14085" max="14085" width="5.375" style="2" customWidth="1"/>
    <col min="14086" max="14086" width="8.125" style="2" customWidth="1"/>
    <col min="14087" max="14106" width="4.25" style="2" customWidth="1"/>
    <col min="14107" max="14331" width="9" style="2"/>
    <col min="14332" max="14332" width="2.125" style="2" customWidth="1"/>
    <col min="14333" max="14333" width="6.75" style="2" customWidth="1"/>
    <col min="14334" max="14334" width="8.625" style="2" customWidth="1"/>
    <col min="14335" max="14335" width="8.875" style="2" customWidth="1"/>
    <col min="14336" max="14336" width="3.5" style="2" customWidth="1"/>
    <col min="14337" max="14337" width="6.5" style="2" customWidth="1"/>
    <col min="14338" max="14338" width="9" style="2" customWidth="1"/>
    <col min="14339" max="14339" width="11.625" style="2" customWidth="1"/>
    <col min="14340" max="14340" width="5.5" style="2" customWidth="1"/>
    <col min="14341" max="14341" width="5.375" style="2" customWidth="1"/>
    <col min="14342" max="14342" width="8.125" style="2" customWidth="1"/>
    <col min="14343" max="14362" width="4.25" style="2" customWidth="1"/>
    <col min="14363" max="14587" width="9" style="2"/>
    <col min="14588" max="14588" width="2.125" style="2" customWidth="1"/>
    <col min="14589" max="14589" width="6.75" style="2" customWidth="1"/>
    <col min="14590" max="14590" width="8.625" style="2" customWidth="1"/>
    <col min="14591" max="14591" width="8.875" style="2" customWidth="1"/>
    <col min="14592" max="14592" width="3.5" style="2" customWidth="1"/>
    <col min="14593" max="14593" width="6.5" style="2" customWidth="1"/>
    <col min="14594" max="14594" width="9" style="2" customWidth="1"/>
    <col min="14595" max="14595" width="11.625" style="2" customWidth="1"/>
    <col min="14596" max="14596" width="5.5" style="2" customWidth="1"/>
    <col min="14597" max="14597" width="5.375" style="2" customWidth="1"/>
    <col min="14598" max="14598" width="8.125" style="2" customWidth="1"/>
    <col min="14599" max="14618" width="4.25" style="2" customWidth="1"/>
    <col min="14619" max="14843" width="9" style="2"/>
    <col min="14844" max="14844" width="2.125" style="2" customWidth="1"/>
    <col min="14845" max="14845" width="6.75" style="2" customWidth="1"/>
    <col min="14846" max="14846" width="8.625" style="2" customWidth="1"/>
    <col min="14847" max="14847" width="8.875" style="2" customWidth="1"/>
    <col min="14848" max="14848" width="3.5" style="2" customWidth="1"/>
    <col min="14849" max="14849" width="6.5" style="2" customWidth="1"/>
    <col min="14850" max="14850" width="9" style="2" customWidth="1"/>
    <col min="14851" max="14851" width="11.625" style="2" customWidth="1"/>
    <col min="14852" max="14852" width="5.5" style="2" customWidth="1"/>
    <col min="14853" max="14853" width="5.375" style="2" customWidth="1"/>
    <col min="14854" max="14854" width="8.125" style="2" customWidth="1"/>
    <col min="14855" max="14874" width="4.25" style="2" customWidth="1"/>
    <col min="14875" max="15099" width="9" style="2"/>
    <col min="15100" max="15100" width="2.125" style="2" customWidth="1"/>
    <col min="15101" max="15101" width="6.75" style="2" customWidth="1"/>
    <col min="15102" max="15102" width="8.625" style="2" customWidth="1"/>
    <col min="15103" max="15103" width="8.875" style="2" customWidth="1"/>
    <col min="15104" max="15104" width="3.5" style="2" customWidth="1"/>
    <col min="15105" max="15105" width="6.5" style="2" customWidth="1"/>
    <col min="15106" max="15106" width="9" style="2" customWidth="1"/>
    <col min="15107" max="15107" width="11.625" style="2" customWidth="1"/>
    <col min="15108" max="15108" width="5.5" style="2" customWidth="1"/>
    <col min="15109" max="15109" width="5.375" style="2" customWidth="1"/>
    <col min="15110" max="15110" width="8.125" style="2" customWidth="1"/>
    <col min="15111" max="15130" width="4.25" style="2" customWidth="1"/>
    <col min="15131" max="15355" width="9" style="2"/>
    <col min="15356" max="15356" width="2.125" style="2" customWidth="1"/>
    <col min="15357" max="15357" width="6.75" style="2" customWidth="1"/>
    <col min="15358" max="15358" width="8.625" style="2" customWidth="1"/>
    <col min="15359" max="15359" width="8.875" style="2" customWidth="1"/>
    <col min="15360" max="15360" width="3.5" style="2" customWidth="1"/>
    <col min="15361" max="15361" width="6.5" style="2" customWidth="1"/>
    <col min="15362" max="15362" width="9" style="2" customWidth="1"/>
    <col min="15363" max="15363" width="11.625" style="2" customWidth="1"/>
    <col min="15364" max="15364" width="5.5" style="2" customWidth="1"/>
    <col min="15365" max="15365" width="5.375" style="2" customWidth="1"/>
    <col min="15366" max="15366" width="8.125" style="2" customWidth="1"/>
    <col min="15367" max="15386" width="4.25" style="2" customWidth="1"/>
    <col min="15387" max="15611" width="9" style="2"/>
    <col min="15612" max="15612" width="2.125" style="2" customWidth="1"/>
    <col min="15613" max="15613" width="6.75" style="2" customWidth="1"/>
    <col min="15614" max="15614" width="8.625" style="2" customWidth="1"/>
    <col min="15615" max="15615" width="8.875" style="2" customWidth="1"/>
    <col min="15616" max="15616" width="3.5" style="2" customWidth="1"/>
    <col min="15617" max="15617" width="6.5" style="2" customWidth="1"/>
    <col min="15618" max="15618" width="9" style="2" customWidth="1"/>
    <col min="15619" max="15619" width="11.625" style="2" customWidth="1"/>
    <col min="15620" max="15620" width="5.5" style="2" customWidth="1"/>
    <col min="15621" max="15621" width="5.375" style="2" customWidth="1"/>
    <col min="15622" max="15622" width="8.125" style="2" customWidth="1"/>
    <col min="15623" max="15642" width="4.25" style="2" customWidth="1"/>
    <col min="15643" max="15867" width="9" style="2"/>
    <col min="15868" max="15868" width="2.125" style="2" customWidth="1"/>
    <col min="15869" max="15869" width="6.75" style="2" customWidth="1"/>
    <col min="15870" max="15870" width="8.625" style="2" customWidth="1"/>
    <col min="15871" max="15871" width="8.875" style="2" customWidth="1"/>
    <col min="15872" max="15872" width="3.5" style="2" customWidth="1"/>
    <col min="15873" max="15873" width="6.5" style="2" customWidth="1"/>
    <col min="15874" max="15874" width="9" style="2" customWidth="1"/>
    <col min="15875" max="15875" width="11.625" style="2" customWidth="1"/>
    <col min="15876" max="15876" width="5.5" style="2" customWidth="1"/>
    <col min="15877" max="15877" width="5.375" style="2" customWidth="1"/>
    <col min="15878" max="15878" width="8.125" style="2" customWidth="1"/>
    <col min="15879" max="15898" width="4.25" style="2" customWidth="1"/>
    <col min="15899" max="16123" width="9" style="2"/>
    <col min="16124" max="16124" width="2.125" style="2" customWidth="1"/>
    <col min="16125" max="16125" width="6.75" style="2" customWidth="1"/>
    <col min="16126" max="16126" width="8.625" style="2" customWidth="1"/>
    <col min="16127" max="16127" width="8.875" style="2" customWidth="1"/>
    <col min="16128" max="16128" width="3.5" style="2" customWidth="1"/>
    <col min="16129" max="16129" width="6.5" style="2" customWidth="1"/>
    <col min="16130" max="16130" width="9" style="2" customWidth="1"/>
    <col min="16131" max="16131" width="11.625" style="2" customWidth="1"/>
    <col min="16132" max="16132" width="5.5" style="2" customWidth="1"/>
    <col min="16133" max="16133" width="5.375" style="2" customWidth="1"/>
    <col min="16134" max="16134" width="8.125" style="2" customWidth="1"/>
    <col min="16135" max="16154" width="4.25" style="2" customWidth="1"/>
    <col min="16155" max="16384" width="9" style="2"/>
  </cols>
  <sheetData>
    <row r="1" spans="2:26" ht="15" customHeight="1" x14ac:dyDescent="0.3">
      <c r="C1" s="158" t="str">
        <f>IF(COUNTIF(tbl견적서발급[문서번호],nmD_문서번호)=0,"신규등록","수정")</f>
        <v>신규등록</v>
      </c>
      <c r="D1" s="158"/>
      <c r="E1" s="158"/>
      <c r="F1" s="158"/>
      <c r="G1" s="158"/>
      <c r="H1" s="158"/>
      <c r="I1" s="158"/>
      <c r="J1" s="158"/>
      <c r="K1" s="158"/>
    </row>
    <row r="2" spans="2:26" ht="15" customHeight="1" x14ac:dyDescent="0.25">
      <c r="I2" s="194" t="s">
        <v>266</v>
      </c>
      <c r="J2" s="194"/>
      <c r="K2" s="105" t="s">
        <v>543</v>
      </c>
    </row>
    <row r="3" spans="2:26" ht="37.5" customHeight="1" x14ac:dyDescent="0.7">
      <c r="C3" s="195" t="s">
        <v>6</v>
      </c>
      <c r="D3" s="195"/>
      <c r="E3" s="195"/>
      <c r="F3" s="195"/>
      <c r="G3" s="195"/>
      <c r="H3" s="195"/>
      <c r="I3" s="195"/>
      <c r="J3" s="195"/>
      <c r="K3" s="195"/>
    </row>
    <row r="4" spans="2:26" s="3" customFormat="1" ht="12" customHeight="1" x14ac:dyDescent="0.3">
      <c r="B4" s="85" t="s">
        <v>239</v>
      </c>
      <c r="C4" s="196"/>
      <c r="D4" s="196"/>
      <c r="E4" s="196"/>
      <c r="F4" s="196"/>
      <c r="G4" s="196"/>
      <c r="H4" s="196"/>
      <c r="I4" s="196"/>
      <c r="J4" s="196"/>
      <c r="K4" s="196"/>
      <c r="L4" s="4"/>
      <c r="M4" s="4"/>
      <c r="N4" s="4"/>
      <c r="O4" s="4"/>
      <c r="P4" s="4"/>
      <c r="Q4" s="4"/>
      <c r="R4" s="4"/>
      <c r="S4" s="4"/>
      <c r="T4" s="4"/>
      <c r="U4" s="4"/>
      <c r="V4" s="4"/>
      <c r="W4" s="4"/>
      <c r="X4" s="4"/>
      <c r="Y4" s="4"/>
    </row>
    <row r="5" spans="2:26" ht="22.5" customHeight="1" x14ac:dyDescent="0.3">
      <c r="B5" s="86"/>
      <c r="C5" s="163"/>
      <c r="D5" s="163"/>
      <c r="E5" s="163"/>
      <c r="F5" s="94" t="s">
        <v>7</v>
      </c>
      <c r="G5" s="96"/>
      <c r="H5" s="197" t="s">
        <v>270</v>
      </c>
      <c r="I5" s="197"/>
      <c r="J5" s="197"/>
      <c r="K5" s="197"/>
      <c r="L5" s="4"/>
      <c r="M5" s="4"/>
      <c r="N5" s="4"/>
      <c r="O5" s="4"/>
      <c r="P5" s="4"/>
      <c r="Q5" s="4"/>
      <c r="R5" s="4"/>
      <c r="S5" s="4"/>
      <c r="T5" s="4"/>
      <c r="U5" s="4"/>
      <c r="V5" s="4"/>
      <c r="W5" s="4"/>
      <c r="X5" s="4"/>
      <c r="Y5" s="4"/>
    </row>
    <row r="6" spans="2:26" ht="8.25" customHeight="1" thickBot="1" x14ac:dyDescent="0.35">
      <c r="C6"/>
      <c r="D6"/>
      <c r="E6"/>
      <c r="F6"/>
      <c r="G6" s="96"/>
      <c r="H6" s="98"/>
      <c r="I6" s="98"/>
      <c r="J6" s="186"/>
      <c r="K6" s="186"/>
      <c r="L6" s="4"/>
      <c r="M6" s="4"/>
      <c r="N6" s="4"/>
      <c r="O6" s="4"/>
      <c r="P6" s="4"/>
      <c r="Q6" s="4"/>
      <c r="R6" s="4"/>
      <c r="S6" s="4"/>
      <c r="T6" s="4"/>
      <c r="U6" s="4"/>
      <c r="V6" s="4"/>
      <c r="W6" s="4"/>
      <c r="X6" s="4"/>
      <c r="Y6" s="4"/>
      <c r="Z6" s="3"/>
    </row>
    <row r="7" spans="2:26" ht="18" customHeight="1" x14ac:dyDescent="0.3">
      <c r="C7" s="202" t="s">
        <v>10</v>
      </c>
      <c r="D7" s="203"/>
      <c r="E7" s="204"/>
      <c r="F7" s="205"/>
      <c r="G7" s="97"/>
      <c r="H7" s="187" t="s">
        <v>271</v>
      </c>
      <c r="I7" s="187"/>
      <c r="J7" s="187"/>
      <c r="K7" s="187"/>
      <c r="L7" s="4"/>
      <c r="M7" s="4"/>
      <c r="N7" s="4"/>
      <c r="O7" s="4"/>
      <c r="P7" s="4"/>
      <c r="Q7" s="4"/>
      <c r="R7" s="4"/>
      <c r="S7" s="3"/>
      <c r="T7" s="3"/>
      <c r="U7" s="3"/>
      <c r="V7" s="3"/>
      <c r="W7" s="4"/>
      <c r="X7" s="4"/>
      <c r="Y7" s="4"/>
      <c r="Z7" s="3"/>
    </row>
    <row r="8" spans="2:26" ht="18" customHeight="1" x14ac:dyDescent="0.3">
      <c r="C8" s="211" t="s">
        <v>268</v>
      </c>
      <c r="D8" s="212"/>
      <c r="E8" s="190"/>
      <c r="F8" s="191"/>
      <c r="G8" s="97"/>
      <c r="H8" s="187" t="s">
        <v>272</v>
      </c>
      <c r="I8" s="187"/>
      <c r="J8" s="187"/>
      <c r="K8" s="187"/>
      <c r="L8" s="5"/>
      <c r="M8" s="4"/>
      <c r="N8" s="4"/>
      <c r="O8" s="4"/>
      <c r="P8" s="4"/>
      <c r="Q8" s="4"/>
      <c r="R8" s="4"/>
      <c r="S8" s="4"/>
      <c r="T8" s="4"/>
      <c r="U8" s="4"/>
      <c r="V8" s="4"/>
      <c r="W8" s="4"/>
      <c r="X8" s="4"/>
      <c r="Y8" s="4"/>
      <c r="Z8" s="3"/>
    </row>
    <row r="9" spans="2:26" ht="18" customHeight="1" thickBot="1" x14ac:dyDescent="0.35">
      <c r="C9" s="188" t="s">
        <v>269</v>
      </c>
      <c r="D9" s="189"/>
      <c r="E9" s="192"/>
      <c r="F9" s="193"/>
      <c r="G9" s="97"/>
      <c r="H9" s="206" t="s">
        <v>273</v>
      </c>
      <c r="I9" s="206"/>
      <c r="J9" s="206"/>
      <c r="K9" s="206"/>
      <c r="L9" s="5"/>
      <c r="M9" s="87"/>
      <c r="N9" s="87"/>
      <c r="O9" s="87"/>
      <c r="P9" s="87"/>
      <c r="Q9" s="87"/>
      <c r="R9" s="87"/>
      <c r="S9" s="87"/>
      <c r="T9" s="87"/>
      <c r="U9" s="87"/>
      <c r="V9" s="87"/>
      <c r="W9" s="87"/>
      <c r="X9" s="87"/>
      <c r="Y9" s="87"/>
      <c r="Z9" s="3"/>
    </row>
    <row r="10" spans="2:26" ht="5.25" customHeight="1" thickBot="1" x14ac:dyDescent="0.35">
      <c r="G10" s="96"/>
      <c r="H10" s="207"/>
      <c r="I10" s="207"/>
      <c r="J10" s="207"/>
      <c r="K10" s="207"/>
      <c r="L10" s="4"/>
      <c r="M10" s="4"/>
      <c r="N10" s="4"/>
      <c r="O10" s="4"/>
      <c r="P10" s="4"/>
      <c r="Q10" s="4"/>
      <c r="R10" s="4"/>
      <c r="S10" s="6"/>
      <c r="T10" s="4"/>
      <c r="U10" s="4"/>
      <c r="V10" s="4"/>
      <c r="W10" s="4"/>
      <c r="X10" s="4"/>
      <c r="Y10" s="4"/>
      <c r="Z10" s="3"/>
    </row>
    <row r="11" spans="2:26" ht="18" customHeight="1" thickBot="1" x14ac:dyDescent="0.35">
      <c r="C11" s="210" t="s">
        <v>8</v>
      </c>
      <c r="D11" s="210"/>
      <c r="E11" s="210"/>
      <c r="F11" s="210"/>
      <c r="G11" s="4"/>
      <c r="H11" s="93" t="s">
        <v>10</v>
      </c>
      <c r="I11" s="208" t="s">
        <v>545</v>
      </c>
      <c r="J11" s="208"/>
      <c r="K11" s="209"/>
      <c r="L11" s="4"/>
      <c r="M11" s="4"/>
      <c r="N11" s="4"/>
      <c r="O11" s="4"/>
      <c r="P11" s="4"/>
      <c r="Q11" s="4"/>
      <c r="R11" s="4"/>
      <c r="S11" s="6"/>
      <c r="T11" s="4"/>
      <c r="U11" s="4"/>
      <c r="V11" s="4"/>
      <c r="W11" s="4"/>
      <c r="X11" s="4"/>
      <c r="Y11" s="4"/>
      <c r="Z11" s="3"/>
    </row>
    <row r="12" spans="2:26" ht="18" customHeight="1" x14ac:dyDescent="0.3">
      <c r="C12" s="198" t="s">
        <v>3</v>
      </c>
      <c r="D12" s="199"/>
      <c r="E12" s="200"/>
      <c r="F12" s="201"/>
      <c r="H12" s="171" t="s">
        <v>268</v>
      </c>
      <c r="I12" s="169" t="s">
        <v>546</v>
      </c>
      <c r="J12" s="169"/>
      <c r="K12" s="170"/>
      <c r="L12" s="4"/>
      <c r="M12" s="4"/>
      <c r="N12" s="4"/>
      <c r="O12" s="4"/>
      <c r="P12" s="4"/>
      <c r="Q12" s="4"/>
      <c r="R12" s="4"/>
      <c r="S12" s="6"/>
      <c r="T12" s="4"/>
      <c r="U12" s="4"/>
      <c r="V12" s="4"/>
      <c r="W12" s="4"/>
      <c r="X12" s="4"/>
      <c r="Y12" s="4"/>
      <c r="Z12" s="3"/>
    </row>
    <row r="13" spans="2:26" ht="18" customHeight="1" x14ac:dyDescent="0.3">
      <c r="C13" s="184" t="s">
        <v>9</v>
      </c>
      <c r="D13" s="185"/>
      <c r="E13" s="182"/>
      <c r="F13" s="183"/>
      <c r="H13" s="172"/>
      <c r="I13" s="182" t="s">
        <v>547</v>
      </c>
      <c r="J13" s="182"/>
      <c r="K13" s="183"/>
      <c r="L13" s="4"/>
      <c r="M13" s="4"/>
      <c r="N13" s="4"/>
      <c r="O13" s="4"/>
      <c r="P13" s="4"/>
      <c r="Q13" s="4"/>
      <c r="R13" s="4"/>
      <c r="S13" s="6"/>
      <c r="T13" s="4"/>
      <c r="U13" s="4"/>
      <c r="V13" s="4"/>
      <c r="W13" s="213"/>
      <c r="X13" s="213"/>
      <c r="Y13" s="213"/>
      <c r="Z13" s="3"/>
    </row>
    <row r="14" spans="2:26" ht="18" customHeight="1" thickBot="1" x14ac:dyDescent="0.35">
      <c r="C14" s="178" t="s">
        <v>1</v>
      </c>
      <c r="D14" s="179"/>
      <c r="E14" s="180"/>
      <c r="F14" s="181"/>
      <c r="H14" s="99" t="s">
        <v>269</v>
      </c>
      <c r="I14" s="173" t="s">
        <v>548</v>
      </c>
      <c r="J14" s="174"/>
      <c r="K14" s="175"/>
      <c r="L14" s="4"/>
      <c r="M14" s="4"/>
      <c r="N14" s="4"/>
      <c r="O14" s="4"/>
      <c r="P14" s="4"/>
      <c r="Q14" s="4"/>
      <c r="R14" s="4"/>
      <c r="S14" s="6"/>
      <c r="T14" s="4"/>
      <c r="U14" s="4"/>
      <c r="V14" s="4"/>
      <c r="W14" s="4"/>
      <c r="X14" s="4"/>
      <c r="Y14" s="4"/>
      <c r="Z14" s="3"/>
    </row>
    <row r="15" spans="2:26" ht="6.95" customHeight="1" thickBot="1" x14ac:dyDescent="0.35">
      <c r="C15" s="39"/>
      <c r="D15" s="39"/>
      <c r="E15" s="39"/>
      <c r="F15" s="39"/>
      <c r="G15" s="39"/>
      <c r="H15" s="39"/>
      <c r="I15" s="39"/>
      <c r="J15" s="39"/>
      <c r="K15" s="39"/>
      <c r="M15" s="4"/>
      <c r="N15" s="4"/>
      <c r="O15" s="4"/>
      <c r="P15" s="4"/>
      <c r="Q15" s="4"/>
      <c r="R15" s="4"/>
      <c r="S15" s="6"/>
      <c r="T15" s="4"/>
      <c r="U15" s="4"/>
      <c r="V15" s="4"/>
      <c r="W15" s="4"/>
      <c r="X15" s="4"/>
      <c r="Y15" s="4"/>
      <c r="Z15" s="3"/>
    </row>
    <row r="16" spans="2:26" ht="26.25" customHeight="1" thickBot="1" x14ac:dyDescent="0.35">
      <c r="C16" s="216" t="s">
        <v>275</v>
      </c>
      <c r="D16" s="217"/>
      <c r="E16" s="164" t="str">
        <f>"一金" &amp; NUMBERSTRING($I$16,1) &amp; "원정"</f>
        <v>一金영원정</v>
      </c>
      <c r="F16" s="165"/>
      <c r="G16" s="165"/>
      <c r="H16" s="165"/>
      <c r="I16" s="218">
        <f>SUM(H18:J32)</f>
        <v>0</v>
      </c>
      <c r="J16" s="218"/>
      <c r="K16" s="219"/>
      <c r="M16" s="4"/>
      <c r="N16" s="4"/>
      <c r="O16" s="4"/>
      <c r="P16" s="4"/>
      <c r="Q16" s="4"/>
      <c r="R16" s="4"/>
      <c r="S16" s="4"/>
      <c r="T16" s="4"/>
      <c r="U16" s="4"/>
      <c r="V16" s="4"/>
      <c r="W16" s="4"/>
      <c r="X16" s="4"/>
      <c r="Y16" s="4"/>
      <c r="Z16" s="3"/>
    </row>
    <row r="17" spans="1:26" ht="21" customHeight="1" x14ac:dyDescent="0.3">
      <c r="A17" s="7"/>
      <c r="B17" s="122" t="s">
        <v>263</v>
      </c>
      <c r="C17" s="106" t="s">
        <v>28</v>
      </c>
      <c r="D17" s="222" t="s">
        <v>262</v>
      </c>
      <c r="E17" s="221"/>
      <c r="F17" s="107" t="s">
        <v>11</v>
      </c>
      <c r="G17" s="107" t="s">
        <v>12</v>
      </c>
      <c r="H17" s="107" t="s">
        <v>4</v>
      </c>
      <c r="I17" s="220" t="s">
        <v>5</v>
      </c>
      <c r="J17" s="221"/>
      <c r="K17" s="95" t="s">
        <v>13</v>
      </c>
      <c r="L17" s="4"/>
      <c r="M17" s="4"/>
      <c r="N17" s="4"/>
      <c r="O17" s="4"/>
      <c r="P17" s="4"/>
      <c r="Q17" s="4"/>
      <c r="R17" s="4"/>
      <c r="S17" s="4"/>
      <c r="T17" s="4"/>
      <c r="U17" s="4"/>
      <c r="V17" s="4"/>
      <c r="W17" s="4"/>
      <c r="X17" s="4"/>
      <c r="Y17" s="4"/>
      <c r="Z17" s="3"/>
    </row>
    <row r="18" spans="1:26" ht="18" customHeight="1" x14ac:dyDescent="0.3">
      <c r="B18" s="123"/>
      <c r="C18" s="103" t="str">
        <f>IF(D18="","",COUNTA($D$18:E18))</f>
        <v/>
      </c>
      <c r="D18" s="159" t="str">
        <f>IFERROR(INDEX(tbl제품[품목],MATCH(Main!B18,tbl제품[품목코드],0)),"")</f>
        <v/>
      </c>
      <c r="E18" s="160"/>
      <c r="F18" s="101"/>
      <c r="G18" s="104" t="str">
        <f>IFERROR(INDEX(tbl제품[단가],MATCH(Main!B18,tbl제품[품목코드],0)),"")</f>
        <v/>
      </c>
      <c r="H18" s="104" t="str">
        <f t="shared" ref="H18:H32" si="0">IFERROR(IF(F18="","",F18*G18),"")</f>
        <v/>
      </c>
      <c r="I18" s="161" t="str">
        <f t="shared" ref="I18:I32" si="1">IF(F18="","",H18*10%)</f>
        <v/>
      </c>
      <c r="J18" s="162"/>
      <c r="K18" s="102"/>
      <c r="L18" s="4"/>
      <c r="M18" s="4"/>
      <c r="N18" s="4"/>
      <c r="O18" s="4"/>
      <c r="P18" s="4"/>
      <c r="Q18" s="4"/>
      <c r="R18" s="4"/>
      <c r="S18" s="4"/>
      <c r="T18" s="4"/>
      <c r="U18" s="4"/>
      <c r="V18" s="4"/>
      <c r="W18" s="4"/>
      <c r="X18" s="4"/>
      <c r="Y18" s="4"/>
      <c r="Z18" s="3"/>
    </row>
    <row r="19" spans="1:26" ht="18" customHeight="1" x14ac:dyDescent="0.3">
      <c r="B19" s="123"/>
      <c r="C19" s="103" t="str">
        <f>IF(D19="","",COUNTA($D$18:E19))</f>
        <v/>
      </c>
      <c r="D19" s="159" t="str">
        <f>IFERROR(INDEX(tbl제품[품목],MATCH(Main!B19,tbl제품[품목코드],0)),"")</f>
        <v/>
      </c>
      <c r="E19" s="160"/>
      <c r="F19" s="101"/>
      <c r="G19" s="104" t="str">
        <f>IFERROR(INDEX(tbl제품[단가],MATCH(Main!B19,tbl제품[품목코드],0)),"")</f>
        <v/>
      </c>
      <c r="H19" s="104" t="str">
        <f t="shared" ref="H19:H23" si="2">IFERROR(IF(F19="","",F19*G19),"")</f>
        <v/>
      </c>
      <c r="I19" s="161" t="str">
        <f t="shared" ref="I19:I23" si="3">IF(F19="","",H19*10%)</f>
        <v/>
      </c>
      <c r="J19" s="162"/>
      <c r="K19" s="102"/>
      <c r="L19" s="108"/>
      <c r="M19" s="108"/>
      <c r="N19" s="108"/>
      <c r="O19" s="108"/>
      <c r="P19" s="108"/>
      <c r="Q19" s="108"/>
      <c r="R19" s="108"/>
      <c r="S19" s="108"/>
      <c r="T19" s="108"/>
      <c r="U19" s="108"/>
      <c r="V19" s="108"/>
      <c r="W19" s="108"/>
      <c r="X19" s="108"/>
      <c r="Y19" s="108"/>
      <c r="Z19" s="3"/>
    </row>
    <row r="20" spans="1:26" ht="18" customHeight="1" x14ac:dyDescent="0.3">
      <c r="B20" s="123"/>
      <c r="C20" s="103" t="str">
        <f>IF(D20="","",COUNTA($D$18:E20))</f>
        <v/>
      </c>
      <c r="D20" s="159" t="str">
        <f>IFERROR(INDEX(tbl제품[품목],MATCH(Main!B20,tbl제품[품목코드],0)),"")</f>
        <v/>
      </c>
      <c r="E20" s="160"/>
      <c r="F20" s="101"/>
      <c r="G20" s="104" t="str">
        <f>IFERROR(INDEX(tbl제품[단가],MATCH(Main!B20,tbl제품[품목코드],0)),"")</f>
        <v/>
      </c>
      <c r="H20" s="104" t="str">
        <f t="shared" si="2"/>
        <v/>
      </c>
      <c r="I20" s="161" t="str">
        <f t="shared" si="3"/>
        <v/>
      </c>
      <c r="J20" s="162"/>
      <c r="K20" s="102"/>
      <c r="L20" s="108"/>
      <c r="M20" s="108"/>
      <c r="N20" s="108"/>
      <c r="O20" s="108"/>
      <c r="P20" s="108"/>
      <c r="Q20" s="108"/>
      <c r="R20" s="108"/>
      <c r="S20" s="108"/>
      <c r="T20" s="108"/>
      <c r="U20" s="108"/>
      <c r="V20" s="108"/>
      <c r="W20" s="108"/>
      <c r="X20" s="108"/>
      <c r="Y20" s="108"/>
      <c r="Z20" s="3"/>
    </row>
    <row r="21" spans="1:26" ht="18" customHeight="1" x14ac:dyDescent="0.3">
      <c r="B21" s="123"/>
      <c r="C21" s="103" t="str">
        <f>IF(D21="","",COUNTA($D$18:E21))</f>
        <v/>
      </c>
      <c r="D21" s="159" t="str">
        <f>IFERROR(INDEX(tbl제품[품목],MATCH(Main!B21,tbl제품[품목코드],0)),"")</f>
        <v/>
      </c>
      <c r="E21" s="160"/>
      <c r="F21" s="101"/>
      <c r="G21" s="104" t="str">
        <f>IFERROR(INDEX(tbl제품[단가],MATCH(Main!B21,tbl제품[품목코드],0)),"")</f>
        <v/>
      </c>
      <c r="H21" s="104" t="str">
        <f t="shared" si="2"/>
        <v/>
      </c>
      <c r="I21" s="161" t="str">
        <f t="shared" si="3"/>
        <v/>
      </c>
      <c r="J21" s="162"/>
      <c r="K21" s="102"/>
      <c r="L21" s="108"/>
      <c r="M21" s="108"/>
      <c r="N21" s="108"/>
      <c r="O21" s="108"/>
      <c r="P21" s="108"/>
      <c r="Q21" s="108"/>
      <c r="R21" s="108"/>
      <c r="S21" s="108"/>
      <c r="T21" s="108"/>
      <c r="U21" s="108"/>
      <c r="V21" s="108"/>
      <c r="W21" s="108"/>
      <c r="X21" s="108"/>
      <c r="Y21" s="108"/>
      <c r="Z21" s="3"/>
    </row>
    <row r="22" spans="1:26" ht="18" customHeight="1" x14ac:dyDescent="0.3">
      <c r="B22" s="123"/>
      <c r="C22" s="103" t="str">
        <f>IF(D22="","",COUNTA($D$18:E22))</f>
        <v/>
      </c>
      <c r="D22" s="159" t="str">
        <f>IFERROR(INDEX(tbl제품[품목],MATCH(Main!B22,tbl제품[품목코드],0)),"")</f>
        <v/>
      </c>
      <c r="E22" s="160"/>
      <c r="F22" s="101"/>
      <c r="G22" s="104" t="str">
        <f>IFERROR(INDEX(tbl제품[단가],MATCH(Main!B22,tbl제품[품목코드],0)),"")</f>
        <v/>
      </c>
      <c r="H22" s="104" t="str">
        <f t="shared" si="2"/>
        <v/>
      </c>
      <c r="I22" s="161" t="str">
        <f t="shared" si="3"/>
        <v/>
      </c>
      <c r="J22" s="162"/>
      <c r="K22" s="102"/>
      <c r="L22" s="108"/>
      <c r="M22" s="108"/>
      <c r="N22" s="108"/>
      <c r="O22" s="108"/>
      <c r="P22" s="108"/>
      <c r="Q22" s="108"/>
      <c r="R22" s="108"/>
      <c r="S22" s="108"/>
      <c r="T22" s="108"/>
      <c r="U22" s="108"/>
      <c r="V22" s="108"/>
      <c r="W22" s="108"/>
      <c r="X22" s="108"/>
      <c r="Y22" s="108"/>
      <c r="Z22" s="3"/>
    </row>
    <row r="23" spans="1:26" ht="18" customHeight="1" x14ac:dyDescent="0.3">
      <c r="B23" s="123"/>
      <c r="C23" s="103" t="str">
        <f>IF(D23="","",COUNTA($D$18:E23))</f>
        <v/>
      </c>
      <c r="D23" s="159" t="str">
        <f>IFERROR(INDEX(tbl제품[품목],MATCH(Main!B23,tbl제품[품목코드],0)),"")</f>
        <v/>
      </c>
      <c r="E23" s="160"/>
      <c r="F23" s="101"/>
      <c r="G23" s="104" t="str">
        <f>IFERROR(INDEX(tbl제품[단가],MATCH(Main!B23,tbl제품[품목코드],0)),"")</f>
        <v/>
      </c>
      <c r="H23" s="104" t="str">
        <f t="shared" si="2"/>
        <v/>
      </c>
      <c r="I23" s="161" t="str">
        <f t="shared" si="3"/>
        <v/>
      </c>
      <c r="J23" s="162"/>
      <c r="K23" s="102"/>
      <c r="L23" s="108"/>
      <c r="M23" s="108"/>
      <c r="N23" s="108"/>
      <c r="O23" s="108"/>
      <c r="P23" s="108"/>
      <c r="Q23" s="108"/>
      <c r="R23" s="108"/>
      <c r="S23" s="108"/>
      <c r="T23" s="108"/>
      <c r="U23" s="108"/>
      <c r="V23" s="108"/>
      <c r="W23" s="108"/>
      <c r="X23" s="108"/>
      <c r="Y23" s="108"/>
      <c r="Z23" s="3"/>
    </row>
    <row r="24" spans="1:26" ht="18" customHeight="1" x14ac:dyDescent="0.3">
      <c r="B24" s="123"/>
      <c r="C24" s="103" t="str">
        <f>IF(D24="","",COUNTA($D$18:E24))</f>
        <v/>
      </c>
      <c r="D24" s="159" t="str">
        <f>IFERROR(INDEX(tbl제품[품목],MATCH(Main!B24,tbl제품[품목코드],0)),"")</f>
        <v/>
      </c>
      <c r="E24" s="160"/>
      <c r="F24" s="101"/>
      <c r="G24" s="104" t="str">
        <f>IFERROR(INDEX(tbl제품[단가],MATCH(Main!B24,tbl제품[품목코드],0)),"")</f>
        <v/>
      </c>
      <c r="H24" s="104" t="str">
        <f t="shared" ref="H24:H31" si="4">IFERROR(IF(F24="","",F24*G24),"")</f>
        <v/>
      </c>
      <c r="I24" s="161" t="str">
        <f t="shared" ref="I24:I31" si="5">IF(F24="","",H24*10%)</f>
        <v/>
      </c>
      <c r="J24" s="162"/>
      <c r="K24" s="102"/>
      <c r="L24" s="108"/>
      <c r="M24" s="108"/>
      <c r="N24" s="108"/>
      <c r="O24" s="108"/>
      <c r="P24" s="108"/>
      <c r="Q24" s="108"/>
      <c r="R24" s="108"/>
      <c r="S24" s="108"/>
      <c r="T24" s="108"/>
      <c r="U24" s="108"/>
      <c r="V24" s="108"/>
      <c r="W24" s="108"/>
      <c r="X24" s="108"/>
      <c r="Y24" s="108"/>
      <c r="Z24" s="3"/>
    </row>
    <row r="25" spans="1:26" ht="18" customHeight="1" x14ac:dyDescent="0.3">
      <c r="B25" s="123"/>
      <c r="C25" s="103" t="str">
        <f>IF(D25="","",COUNTA($D$18:E25))</f>
        <v/>
      </c>
      <c r="D25" s="159" t="str">
        <f>IFERROR(INDEX(tbl제품[품목],MATCH(Main!B25,tbl제품[품목코드],0)),"")</f>
        <v/>
      </c>
      <c r="E25" s="160"/>
      <c r="F25" s="101"/>
      <c r="G25" s="104" t="str">
        <f>IFERROR(INDEX(tbl제품[단가],MATCH(Main!B25,tbl제품[품목코드],0)),"")</f>
        <v/>
      </c>
      <c r="H25" s="104" t="str">
        <f t="shared" si="4"/>
        <v/>
      </c>
      <c r="I25" s="161" t="str">
        <f t="shared" si="5"/>
        <v/>
      </c>
      <c r="J25" s="162"/>
      <c r="K25" s="102"/>
      <c r="L25" s="108"/>
      <c r="M25" s="108"/>
      <c r="N25" s="108"/>
      <c r="O25" s="108"/>
      <c r="P25" s="108"/>
      <c r="Q25" s="108"/>
      <c r="R25" s="108"/>
      <c r="S25" s="108"/>
      <c r="T25" s="108"/>
      <c r="U25" s="108"/>
      <c r="V25" s="108"/>
      <c r="W25" s="108"/>
      <c r="X25" s="108"/>
      <c r="Y25" s="108"/>
      <c r="Z25" s="3"/>
    </row>
    <row r="26" spans="1:26" ht="18" customHeight="1" x14ac:dyDescent="0.3">
      <c r="B26" s="123"/>
      <c r="C26" s="103" t="str">
        <f>IF(D26="","",COUNTA($D$18:E26))</f>
        <v/>
      </c>
      <c r="D26" s="159" t="str">
        <f>IFERROR(INDEX(tbl제품[품목],MATCH(Main!B26,tbl제품[품목코드],0)),"")</f>
        <v/>
      </c>
      <c r="E26" s="160"/>
      <c r="F26" s="101"/>
      <c r="G26" s="104" t="str">
        <f>IFERROR(INDEX(tbl제품[단가],MATCH(Main!B26,tbl제품[품목코드],0)),"")</f>
        <v/>
      </c>
      <c r="H26" s="104" t="str">
        <f t="shared" si="4"/>
        <v/>
      </c>
      <c r="I26" s="161" t="str">
        <f t="shared" si="5"/>
        <v/>
      </c>
      <c r="J26" s="162"/>
      <c r="K26" s="102"/>
      <c r="L26" s="108"/>
      <c r="M26" s="108"/>
      <c r="N26" s="108"/>
      <c r="O26" s="108"/>
      <c r="P26" s="108"/>
      <c r="Q26" s="108"/>
      <c r="R26" s="108"/>
      <c r="S26" s="108"/>
      <c r="T26" s="108"/>
      <c r="U26" s="108"/>
      <c r="V26" s="108"/>
      <c r="W26" s="108"/>
      <c r="X26" s="108"/>
      <c r="Y26" s="108"/>
      <c r="Z26" s="3"/>
    </row>
    <row r="27" spans="1:26" ht="18" customHeight="1" x14ac:dyDescent="0.3">
      <c r="B27" s="123"/>
      <c r="C27" s="103" t="str">
        <f>IF(D27="","",COUNTA($D$18:E27))</f>
        <v/>
      </c>
      <c r="D27" s="159" t="str">
        <f>IFERROR(INDEX(tbl제품[품목],MATCH(Main!B27,tbl제품[품목코드],0)),"")</f>
        <v/>
      </c>
      <c r="E27" s="160"/>
      <c r="F27" s="101"/>
      <c r="G27" s="104" t="str">
        <f>IFERROR(INDEX(tbl제품[단가],MATCH(Main!B27,tbl제품[품목코드],0)),"")</f>
        <v/>
      </c>
      <c r="H27" s="104" t="str">
        <f t="shared" si="4"/>
        <v/>
      </c>
      <c r="I27" s="161" t="str">
        <f t="shared" si="5"/>
        <v/>
      </c>
      <c r="J27" s="162"/>
      <c r="K27" s="102"/>
      <c r="L27" s="108"/>
      <c r="M27" s="108"/>
      <c r="N27" s="108"/>
      <c r="O27" s="108"/>
      <c r="P27" s="108"/>
      <c r="Q27" s="108"/>
      <c r="R27" s="108"/>
      <c r="S27" s="108"/>
      <c r="T27" s="108"/>
      <c r="U27" s="108"/>
      <c r="V27" s="108"/>
      <c r="W27" s="108"/>
      <c r="X27" s="108"/>
      <c r="Y27" s="108"/>
      <c r="Z27" s="3"/>
    </row>
    <row r="28" spans="1:26" ht="18" customHeight="1" x14ac:dyDescent="0.3">
      <c r="B28" s="123"/>
      <c r="C28" s="103" t="str">
        <f>IF(D28="","",COUNTA($D$18:E28))</f>
        <v/>
      </c>
      <c r="D28" s="159" t="str">
        <f>IFERROR(INDEX(tbl제품[품목],MATCH(Main!B28,tbl제품[품목코드],0)),"")</f>
        <v/>
      </c>
      <c r="E28" s="160"/>
      <c r="F28" s="101"/>
      <c r="G28" s="104" t="str">
        <f>IFERROR(INDEX(tbl제품[단가],MATCH(Main!B28,tbl제품[품목코드],0)),"")</f>
        <v/>
      </c>
      <c r="H28" s="104" t="str">
        <f t="shared" si="4"/>
        <v/>
      </c>
      <c r="I28" s="161" t="str">
        <f t="shared" si="5"/>
        <v/>
      </c>
      <c r="J28" s="162"/>
      <c r="K28" s="102"/>
      <c r="L28" s="108"/>
      <c r="M28" s="108"/>
      <c r="N28" s="108"/>
      <c r="O28" s="108"/>
      <c r="P28" s="108"/>
      <c r="Q28" s="108"/>
      <c r="R28" s="108"/>
      <c r="S28" s="108"/>
      <c r="T28" s="108"/>
      <c r="U28" s="108"/>
      <c r="V28" s="108"/>
      <c r="W28" s="108"/>
      <c r="X28" s="108"/>
      <c r="Y28" s="108"/>
      <c r="Z28" s="3"/>
    </row>
    <row r="29" spans="1:26" ht="18" customHeight="1" x14ac:dyDescent="0.3">
      <c r="B29" s="123"/>
      <c r="C29" s="103" t="str">
        <f>IF(D29="","",COUNTA($D$18:E29))</f>
        <v/>
      </c>
      <c r="D29" s="159" t="str">
        <f>IFERROR(INDEX(tbl제품[품목],MATCH(Main!B29,tbl제품[품목코드],0)),"")</f>
        <v/>
      </c>
      <c r="E29" s="160"/>
      <c r="F29" s="101"/>
      <c r="G29" s="104" t="str">
        <f>IFERROR(INDEX(tbl제품[단가],MATCH(Main!B29,tbl제품[품목코드],0)),"")</f>
        <v/>
      </c>
      <c r="H29" s="104" t="str">
        <f t="shared" si="4"/>
        <v/>
      </c>
      <c r="I29" s="161" t="str">
        <f t="shared" si="5"/>
        <v/>
      </c>
      <c r="J29" s="162"/>
      <c r="K29" s="102"/>
      <c r="L29" s="108"/>
      <c r="M29" s="108"/>
      <c r="N29" s="108"/>
      <c r="O29" s="108"/>
      <c r="P29" s="108"/>
      <c r="Q29" s="108"/>
      <c r="R29" s="108"/>
      <c r="S29" s="108"/>
      <c r="T29" s="108"/>
      <c r="U29" s="108"/>
      <c r="V29" s="108"/>
      <c r="W29" s="108"/>
      <c r="X29" s="108"/>
      <c r="Y29" s="108"/>
      <c r="Z29" s="3"/>
    </row>
    <row r="30" spans="1:26" ht="18" customHeight="1" x14ac:dyDescent="0.3">
      <c r="B30" s="123"/>
      <c r="C30" s="103" t="str">
        <f>IF(D30="","",COUNTA($D$18:E30))</f>
        <v/>
      </c>
      <c r="D30" s="159" t="str">
        <f>IFERROR(INDEX(tbl제품[품목],MATCH(Main!B30,tbl제품[품목코드],0)),"")</f>
        <v/>
      </c>
      <c r="E30" s="160"/>
      <c r="F30" s="101"/>
      <c r="G30" s="104" t="str">
        <f>IFERROR(INDEX(tbl제품[단가],MATCH(Main!B30,tbl제품[품목코드],0)),"")</f>
        <v/>
      </c>
      <c r="H30" s="104" t="str">
        <f t="shared" si="4"/>
        <v/>
      </c>
      <c r="I30" s="161" t="str">
        <f t="shared" si="5"/>
        <v/>
      </c>
      <c r="J30" s="162"/>
      <c r="K30" s="102"/>
      <c r="L30" s="108"/>
      <c r="M30" s="108"/>
      <c r="N30" s="108"/>
      <c r="O30" s="108"/>
      <c r="P30" s="108"/>
      <c r="Q30" s="108"/>
      <c r="R30" s="108"/>
      <c r="S30" s="108"/>
      <c r="T30" s="108"/>
      <c r="U30" s="108"/>
      <c r="V30" s="108"/>
      <c r="W30" s="108"/>
      <c r="X30" s="108"/>
      <c r="Y30" s="108"/>
      <c r="Z30" s="3"/>
    </row>
    <row r="31" spans="1:26" ht="18" customHeight="1" x14ac:dyDescent="0.3">
      <c r="B31" s="123"/>
      <c r="C31" s="103" t="str">
        <f>IF(D31="","",COUNTA($D$18:E31))</f>
        <v/>
      </c>
      <c r="D31" s="159" t="str">
        <f>IFERROR(INDEX(tbl제품[품목],MATCH(Main!B31,tbl제품[품목코드],0)),"")</f>
        <v/>
      </c>
      <c r="E31" s="160"/>
      <c r="F31" s="101"/>
      <c r="G31" s="104" t="str">
        <f>IFERROR(INDEX(tbl제품[단가],MATCH(Main!B31,tbl제품[품목코드],0)),"")</f>
        <v/>
      </c>
      <c r="H31" s="104" t="str">
        <f t="shared" si="4"/>
        <v/>
      </c>
      <c r="I31" s="161" t="str">
        <f t="shared" si="5"/>
        <v/>
      </c>
      <c r="J31" s="162"/>
      <c r="K31" s="102"/>
      <c r="L31" s="108"/>
      <c r="M31" s="108"/>
      <c r="N31" s="108"/>
      <c r="O31" s="108"/>
      <c r="P31" s="108"/>
      <c r="Q31" s="108"/>
      <c r="R31" s="108"/>
      <c r="S31" s="108"/>
      <c r="T31" s="108"/>
      <c r="U31" s="108"/>
      <c r="V31" s="108"/>
      <c r="W31" s="108"/>
      <c r="X31" s="108"/>
      <c r="Y31" s="108"/>
      <c r="Z31" s="3"/>
    </row>
    <row r="32" spans="1:26" ht="18" customHeight="1" thickBot="1" x14ac:dyDescent="0.35">
      <c r="B32" s="124"/>
      <c r="C32" s="118" t="str">
        <f>IF(D32="","",COUNTA($D$18:E32))</f>
        <v/>
      </c>
      <c r="D32" s="176" t="str">
        <f>IFERROR(INDEX(tbl제품[품목],MATCH(Main!B32,tbl제품[품목코드],0)),"")</f>
        <v/>
      </c>
      <c r="E32" s="177"/>
      <c r="F32" s="119"/>
      <c r="G32" s="120" t="str">
        <f>IFERROR(INDEX(tbl제품[단가],MATCH(Main!B32,tbl제품[품목코드],0)),"")</f>
        <v/>
      </c>
      <c r="H32" s="120" t="str">
        <f t="shared" si="0"/>
        <v/>
      </c>
      <c r="I32" s="214" t="str">
        <f t="shared" si="1"/>
        <v/>
      </c>
      <c r="J32" s="215"/>
      <c r="K32" s="121"/>
      <c r="L32" s="40"/>
      <c r="M32" s="40"/>
      <c r="N32" s="40"/>
      <c r="O32" s="40"/>
      <c r="P32" s="40"/>
      <c r="Q32" s="40"/>
      <c r="R32" s="40"/>
      <c r="S32" s="40"/>
      <c r="T32" s="40"/>
      <c r="U32" s="40"/>
      <c r="V32" s="40"/>
      <c r="W32" s="40"/>
      <c r="X32" s="40"/>
      <c r="Y32" s="40"/>
      <c r="Z32" s="3"/>
    </row>
    <row r="33" spans="3:11" customFormat="1" ht="18" customHeight="1" x14ac:dyDescent="0.3"/>
    <row r="34" spans="3:11" ht="12" customHeight="1" thickBot="1" x14ac:dyDescent="0.35">
      <c r="C34" s="8" t="s">
        <v>274</v>
      </c>
      <c r="D34" s="3"/>
      <c r="E34" s="3"/>
      <c r="F34" s="3"/>
      <c r="G34" s="3"/>
      <c r="H34" s="3"/>
      <c r="I34" s="3"/>
      <c r="J34" s="3"/>
      <c r="K34" s="3"/>
    </row>
    <row r="35" spans="3:11" ht="57" customHeight="1" thickBot="1" x14ac:dyDescent="0.35">
      <c r="C35" s="166"/>
      <c r="D35" s="167"/>
      <c r="E35" s="167"/>
      <c r="F35" s="167"/>
      <c r="G35" s="167"/>
      <c r="H35" s="167"/>
      <c r="I35" s="167"/>
      <c r="J35" s="167"/>
      <c r="K35" s="168"/>
    </row>
    <row r="36" spans="3:11" x14ac:dyDescent="0.3">
      <c r="C36" s="3"/>
      <c r="D36" s="9"/>
      <c r="E36" s="3"/>
      <c r="F36" s="3"/>
      <c r="G36" s="3"/>
      <c r="H36" s="3"/>
      <c r="I36" s="3"/>
      <c r="J36" s="3"/>
      <c r="K36" s="3"/>
    </row>
    <row r="37" spans="3:11" x14ac:dyDescent="0.3">
      <c r="C37" s="3"/>
      <c r="D37" s="3"/>
      <c r="E37" s="3"/>
      <c r="F37" s="3"/>
      <c r="G37" s="3"/>
      <c r="H37" s="3"/>
      <c r="I37" s="3"/>
      <c r="J37" s="3"/>
      <c r="K37" s="3"/>
    </row>
    <row r="38" spans="3:11" x14ac:dyDescent="0.3">
      <c r="C38" s="3"/>
      <c r="D38" s="3"/>
      <c r="E38" s="3"/>
      <c r="F38" s="3"/>
      <c r="G38" s="3"/>
      <c r="H38" s="3"/>
      <c r="I38" s="3"/>
      <c r="J38" s="3"/>
      <c r="K38" s="3"/>
    </row>
  </sheetData>
  <sheetProtection formatCells="0" selectLockedCells="1"/>
  <mergeCells count="66">
    <mergeCell ref="W13:Y13"/>
    <mergeCell ref="I18:J18"/>
    <mergeCell ref="I32:J32"/>
    <mergeCell ref="C16:D16"/>
    <mergeCell ref="I16:K16"/>
    <mergeCell ref="I17:J17"/>
    <mergeCell ref="D17:E17"/>
    <mergeCell ref="D18:E18"/>
    <mergeCell ref="I2:J2"/>
    <mergeCell ref="C3:K3"/>
    <mergeCell ref="C4:K4"/>
    <mergeCell ref="H5:K5"/>
    <mergeCell ref="D29:E29"/>
    <mergeCell ref="I29:J29"/>
    <mergeCell ref="C12:D12"/>
    <mergeCell ref="E12:F12"/>
    <mergeCell ref="C7:D7"/>
    <mergeCell ref="E7:F7"/>
    <mergeCell ref="H8:K8"/>
    <mergeCell ref="H9:K9"/>
    <mergeCell ref="H10:K10"/>
    <mergeCell ref="I11:K11"/>
    <mergeCell ref="C11:F11"/>
    <mergeCell ref="C8:D8"/>
    <mergeCell ref="J6:K6"/>
    <mergeCell ref="H7:K7"/>
    <mergeCell ref="I25:J25"/>
    <mergeCell ref="D19:E19"/>
    <mergeCell ref="C9:D9"/>
    <mergeCell ref="E8:F8"/>
    <mergeCell ref="E9:F9"/>
    <mergeCell ref="I19:J19"/>
    <mergeCell ref="D23:E23"/>
    <mergeCell ref="I23:J23"/>
    <mergeCell ref="C35:K35"/>
    <mergeCell ref="I12:K12"/>
    <mergeCell ref="H12:H13"/>
    <mergeCell ref="I14:K14"/>
    <mergeCell ref="D32:E32"/>
    <mergeCell ref="C14:D14"/>
    <mergeCell ref="E14:F14"/>
    <mergeCell ref="I13:K13"/>
    <mergeCell ref="C13:D13"/>
    <mergeCell ref="E13:F13"/>
    <mergeCell ref="D27:E27"/>
    <mergeCell ref="I27:J27"/>
    <mergeCell ref="D26:E26"/>
    <mergeCell ref="I26:J26"/>
    <mergeCell ref="D30:E30"/>
    <mergeCell ref="I30:J30"/>
    <mergeCell ref="C1:K1"/>
    <mergeCell ref="D31:E31"/>
    <mergeCell ref="I31:J31"/>
    <mergeCell ref="D20:E20"/>
    <mergeCell ref="I20:J20"/>
    <mergeCell ref="D21:E21"/>
    <mergeCell ref="I21:J21"/>
    <mergeCell ref="D22:E22"/>
    <mergeCell ref="I22:J22"/>
    <mergeCell ref="D28:E28"/>
    <mergeCell ref="I28:J28"/>
    <mergeCell ref="D24:E24"/>
    <mergeCell ref="I24:J24"/>
    <mergeCell ref="D25:E25"/>
    <mergeCell ref="C5:E5"/>
    <mergeCell ref="E16:H16"/>
  </mergeCells>
  <phoneticPr fontId="1" type="noConversion"/>
  <conditionalFormatting sqref="C1:K1">
    <cfRule type="cellIs" dxfId="53" priority="1" operator="equal">
      <formula>"신규등록"</formula>
    </cfRule>
  </conditionalFormatting>
  <dataValidations count="1">
    <dataValidation type="list" allowBlank="1" showInputMessage="1" showErrorMessage="1" sqref="B18:B33">
      <formula1>INDIRECT("tbl제품[품목코드]")</formula1>
    </dataValidation>
  </dataValidations>
  <hyperlinks>
    <hyperlink ref="I14" r:id="rId1" display="ddd@gilbut.co.kr"/>
  </hyperlinks>
  <printOptions horizontalCentered="1"/>
  <pageMargins left="0.19685039370078741" right="0.19685039370078741" top="0.9055118110236221" bottom="0.51181102362204722" header="0.51181102362204722" footer="0.23622047244094491"/>
  <pageSetup paperSize="9" orientation="portrait" horizontalDpi="300" verticalDpi="300" r:id="rId2"/>
  <headerFooter alignWithMargins="0"/>
  <drawing r:id="rId3"/>
  <legacyDrawing r:id="rId4"/>
  <controls>
    <mc:AlternateContent xmlns:mc="http://schemas.openxmlformats.org/markup-compatibility/2006">
      <mc:Choice Requires="x14">
        <control shapeId="2053" r:id="rId5" name="cmd삭제">
          <controlPr defaultSize="0" autoLine="0" r:id="rId6">
            <anchor moveWithCells="1">
              <from>
                <xdr:col>12</xdr:col>
                <xdr:colOff>0</xdr:colOff>
                <xdr:row>3</xdr:row>
                <xdr:rowOff>95250</xdr:rowOff>
              </from>
              <to>
                <xdr:col>14</xdr:col>
                <xdr:colOff>19050</xdr:colOff>
                <xdr:row>4</xdr:row>
                <xdr:rowOff>266700</xdr:rowOff>
              </to>
            </anchor>
          </controlPr>
        </control>
      </mc:Choice>
      <mc:Fallback>
        <control shapeId="2053" r:id="rId5" name="cmd삭제"/>
      </mc:Fallback>
    </mc:AlternateContent>
    <mc:AlternateContent xmlns:mc="http://schemas.openxmlformats.org/markup-compatibility/2006">
      <mc:Choice Requires="x14">
        <control shapeId="2054" r:id="rId7" name="cmd저장">
          <controlPr defaultSize="0" autoLine="0" r:id="rId8">
            <anchor moveWithCells="1">
              <from>
                <xdr:col>12</xdr:col>
                <xdr:colOff>0</xdr:colOff>
                <xdr:row>4</xdr:row>
                <xdr:rowOff>276225</xdr:rowOff>
              </from>
              <to>
                <xdr:col>14</xdr:col>
                <xdr:colOff>19050</xdr:colOff>
                <xdr:row>6</xdr:row>
                <xdr:rowOff>219075</xdr:rowOff>
              </to>
            </anchor>
          </controlPr>
        </control>
      </mc:Choice>
      <mc:Fallback>
        <control shapeId="2054" r:id="rId7" name="cmd저장"/>
      </mc:Fallback>
    </mc:AlternateContent>
    <mc:AlternateContent xmlns:mc="http://schemas.openxmlformats.org/markup-compatibility/2006">
      <mc:Choice Requires="x14">
        <control shapeId="2055" r:id="rId9" name="cmd신규">
          <controlPr defaultSize="0" autoLine="0" r:id="rId10">
            <anchor moveWithCells="1">
              <from>
                <xdr:col>12</xdr:col>
                <xdr:colOff>0</xdr:colOff>
                <xdr:row>7</xdr:row>
                <xdr:rowOff>0</xdr:rowOff>
              </from>
              <to>
                <xdr:col>14</xdr:col>
                <xdr:colOff>19050</xdr:colOff>
                <xdr:row>8</xdr:row>
                <xdr:rowOff>76200</xdr:rowOff>
              </to>
            </anchor>
          </controlPr>
        </control>
      </mc:Choice>
      <mc:Fallback>
        <control shapeId="2055" r:id="rId9" name="cmd신규"/>
      </mc:Fallback>
    </mc:AlternateContent>
    <mc:AlternateContent xmlns:mc="http://schemas.openxmlformats.org/markup-compatibility/2006">
      <mc:Choice Requires="x14">
        <control shapeId="2056" r:id="rId11" name="cmd시트보호">
          <controlPr defaultSize="0" autoLine="0" r:id="rId12">
            <anchor moveWithCells="1">
              <from>
                <xdr:col>12</xdr:col>
                <xdr:colOff>9525</xdr:colOff>
                <xdr:row>2</xdr:row>
                <xdr:rowOff>171450</xdr:rowOff>
              </from>
              <to>
                <xdr:col>14</xdr:col>
                <xdr:colOff>276225</xdr:colOff>
                <xdr:row>3</xdr:row>
                <xdr:rowOff>0</xdr:rowOff>
              </to>
            </anchor>
          </controlPr>
        </control>
      </mc:Choice>
      <mc:Fallback>
        <control shapeId="2056" r:id="rId11" name="cmd시트보호"/>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sheetPr>
  <dimension ref="A1:R11"/>
  <sheetViews>
    <sheetView showGridLines="0" workbookViewId="0">
      <selection activeCell="L27" sqref="L27"/>
    </sheetView>
  </sheetViews>
  <sheetFormatPr defaultRowHeight="16.5" x14ac:dyDescent="0.3"/>
  <cols>
    <col min="1" max="1" width="1.375" style="14" customWidth="1"/>
    <col min="2" max="2" width="8.125" style="14" customWidth="1"/>
    <col min="3" max="3" width="11.125" style="14" customWidth="1"/>
    <col min="4" max="4" width="13.125" style="14" customWidth="1"/>
    <col min="5" max="5" width="8.75" style="14" bestFit="1" customWidth="1"/>
    <col min="6" max="6" width="9.25" style="14" customWidth="1"/>
    <col min="7" max="7" width="14.125" style="23" customWidth="1"/>
    <col min="8" max="8" width="9.875" style="23" customWidth="1"/>
    <col min="9" max="9" width="11.5" style="23" customWidth="1"/>
    <col min="10" max="10" width="9.875" style="14" customWidth="1"/>
    <col min="12" max="12" width="10.25" bestFit="1" customWidth="1"/>
    <col min="13" max="14" width="11.375" bestFit="1" customWidth="1"/>
    <col min="15" max="15" width="18.125" bestFit="1" customWidth="1"/>
    <col min="16" max="16" width="14.375" customWidth="1"/>
    <col min="18" max="18" width="10.5" style="24" customWidth="1"/>
    <col min="19" max="19" width="14.625" style="14" bestFit="1" customWidth="1"/>
    <col min="20" max="260" width="9" style="14"/>
    <col min="261" max="261" width="1.375" style="14" customWidth="1"/>
    <col min="262" max="262" width="8.75" style="14" customWidth="1"/>
    <col min="263" max="263" width="9.875" style="14" customWidth="1"/>
    <col min="264" max="264" width="13.125" style="14" customWidth="1"/>
    <col min="265" max="265" width="6" style="14" customWidth="1"/>
    <col min="266" max="266" width="8" style="14" customWidth="1"/>
    <col min="267" max="267" width="10.625" style="14" customWidth="1"/>
    <col min="268" max="268" width="8.75" style="14" customWidth="1"/>
    <col min="269" max="269" width="6.375" style="14" customWidth="1"/>
    <col min="270" max="270" width="8.75" style="14" customWidth="1"/>
    <col min="271" max="271" width="13.125" style="14" customWidth="1"/>
    <col min="272" max="272" width="8" style="14" customWidth="1"/>
    <col min="273" max="273" width="9.875" style="14" customWidth="1"/>
    <col min="274" max="275" width="9.125" style="14" customWidth="1"/>
    <col min="276" max="516" width="9" style="14"/>
    <col min="517" max="517" width="1.375" style="14" customWidth="1"/>
    <col min="518" max="518" width="8.75" style="14" customWidth="1"/>
    <col min="519" max="519" width="9.875" style="14" customWidth="1"/>
    <col min="520" max="520" width="13.125" style="14" customWidth="1"/>
    <col min="521" max="521" width="6" style="14" customWidth="1"/>
    <col min="522" max="522" width="8" style="14" customWidth="1"/>
    <col min="523" max="523" width="10.625" style="14" customWidth="1"/>
    <col min="524" max="524" width="8.75" style="14" customWidth="1"/>
    <col min="525" max="525" width="6.375" style="14" customWidth="1"/>
    <col min="526" max="526" width="8.75" style="14" customWidth="1"/>
    <col min="527" max="527" width="13.125" style="14" customWidth="1"/>
    <col min="528" max="528" width="8" style="14" customWidth="1"/>
    <col min="529" max="529" width="9.875" style="14" customWidth="1"/>
    <col min="530" max="531" width="9.125" style="14" customWidth="1"/>
    <col min="532" max="772" width="9" style="14"/>
    <col min="773" max="773" width="1.375" style="14" customWidth="1"/>
    <col min="774" max="774" width="8.75" style="14" customWidth="1"/>
    <col min="775" max="775" width="9.875" style="14" customWidth="1"/>
    <col min="776" max="776" width="13.125" style="14" customWidth="1"/>
    <col min="777" max="777" width="6" style="14" customWidth="1"/>
    <col min="778" max="778" width="8" style="14" customWidth="1"/>
    <col min="779" max="779" width="10.625" style="14" customWidth="1"/>
    <col min="780" max="780" width="8.75" style="14" customWidth="1"/>
    <col min="781" max="781" width="6.375" style="14" customWidth="1"/>
    <col min="782" max="782" width="8.75" style="14" customWidth="1"/>
    <col min="783" max="783" width="13.125" style="14" customWidth="1"/>
    <col min="784" max="784" width="8" style="14" customWidth="1"/>
    <col min="785" max="785" width="9.875" style="14" customWidth="1"/>
    <col min="786" max="787" width="9.125" style="14" customWidth="1"/>
    <col min="788" max="1028" width="9" style="14"/>
    <col min="1029" max="1029" width="1.375" style="14" customWidth="1"/>
    <col min="1030" max="1030" width="8.75" style="14" customWidth="1"/>
    <col min="1031" max="1031" width="9.875" style="14" customWidth="1"/>
    <col min="1032" max="1032" width="13.125" style="14" customWidth="1"/>
    <col min="1033" max="1033" width="6" style="14" customWidth="1"/>
    <col min="1034" max="1034" width="8" style="14" customWidth="1"/>
    <col min="1035" max="1035" width="10.625" style="14" customWidth="1"/>
    <col min="1036" max="1036" width="8.75" style="14" customWidth="1"/>
    <col min="1037" max="1037" width="6.375" style="14" customWidth="1"/>
    <col min="1038" max="1038" width="8.75" style="14" customWidth="1"/>
    <col min="1039" max="1039" width="13.125" style="14" customWidth="1"/>
    <col min="1040" max="1040" width="8" style="14" customWidth="1"/>
    <col min="1041" max="1041" width="9.875" style="14" customWidth="1"/>
    <col min="1042" max="1043" width="9.125" style="14" customWidth="1"/>
    <col min="1044" max="1284" width="9" style="14"/>
    <col min="1285" max="1285" width="1.375" style="14" customWidth="1"/>
    <col min="1286" max="1286" width="8.75" style="14" customWidth="1"/>
    <col min="1287" max="1287" width="9.875" style="14" customWidth="1"/>
    <col min="1288" max="1288" width="13.125" style="14" customWidth="1"/>
    <col min="1289" max="1289" width="6" style="14" customWidth="1"/>
    <col min="1290" max="1290" width="8" style="14" customWidth="1"/>
    <col min="1291" max="1291" width="10.625" style="14" customWidth="1"/>
    <col min="1292" max="1292" width="8.75" style="14" customWidth="1"/>
    <col min="1293" max="1293" width="6.375" style="14" customWidth="1"/>
    <col min="1294" max="1294" width="8.75" style="14" customWidth="1"/>
    <col min="1295" max="1295" width="13.125" style="14" customWidth="1"/>
    <col min="1296" max="1296" width="8" style="14" customWidth="1"/>
    <col min="1297" max="1297" width="9.875" style="14" customWidth="1"/>
    <col min="1298" max="1299" width="9.125" style="14" customWidth="1"/>
    <col min="1300" max="1540" width="9" style="14"/>
    <col min="1541" max="1541" width="1.375" style="14" customWidth="1"/>
    <col min="1542" max="1542" width="8.75" style="14" customWidth="1"/>
    <col min="1543" max="1543" width="9.875" style="14" customWidth="1"/>
    <col min="1544" max="1544" width="13.125" style="14" customWidth="1"/>
    <col min="1545" max="1545" width="6" style="14" customWidth="1"/>
    <col min="1546" max="1546" width="8" style="14" customWidth="1"/>
    <col min="1547" max="1547" width="10.625" style="14" customWidth="1"/>
    <col min="1548" max="1548" width="8.75" style="14" customWidth="1"/>
    <col min="1549" max="1549" width="6.375" style="14" customWidth="1"/>
    <col min="1550" max="1550" width="8.75" style="14" customWidth="1"/>
    <col min="1551" max="1551" width="13.125" style="14" customWidth="1"/>
    <col min="1552" max="1552" width="8" style="14" customWidth="1"/>
    <col min="1553" max="1553" width="9.875" style="14" customWidth="1"/>
    <col min="1554" max="1555" width="9.125" style="14" customWidth="1"/>
    <col min="1556" max="1796" width="9" style="14"/>
    <col min="1797" max="1797" width="1.375" style="14" customWidth="1"/>
    <col min="1798" max="1798" width="8.75" style="14" customWidth="1"/>
    <col min="1799" max="1799" width="9.875" style="14" customWidth="1"/>
    <col min="1800" max="1800" width="13.125" style="14" customWidth="1"/>
    <col min="1801" max="1801" width="6" style="14" customWidth="1"/>
    <col min="1802" max="1802" width="8" style="14" customWidth="1"/>
    <col min="1803" max="1803" width="10.625" style="14" customWidth="1"/>
    <col min="1804" max="1804" width="8.75" style="14" customWidth="1"/>
    <col min="1805" max="1805" width="6.375" style="14" customWidth="1"/>
    <col min="1806" max="1806" width="8.75" style="14" customWidth="1"/>
    <col min="1807" max="1807" width="13.125" style="14" customWidth="1"/>
    <col min="1808" max="1808" width="8" style="14" customWidth="1"/>
    <col min="1809" max="1809" width="9.875" style="14" customWidth="1"/>
    <col min="1810" max="1811" width="9.125" style="14" customWidth="1"/>
    <col min="1812" max="2052" width="9" style="14"/>
    <col min="2053" max="2053" width="1.375" style="14" customWidth="1"/>
    <col min="2054" max="2054" width="8.75" style="14" customWidth="1"/>
    <col min="2055" max="2055" width="9.875" style="14" customWidth="1"/>
    <col min="2056" max="2056" width="13.125" style="14" customWidth="1"/>
    <col min="2057" max="2057" width="6" style="14" customWidth="1"/>
    <col min="2058" max="2058" width="8" style="14" customWidth="1"/>
    <col min="2059" max="2059" width="10.625" style="14" customWidth="1"/>
    <col min="2060" max="2060" width="8.75" style="14" customWidth="1"/>
    <col min="2061" max="2061" width="6.375" style="14" customWidth="1"/>
    <col min="2062" max="2062" width="8.75" style="14" customWidth="1"/>
    <col min="2063" max="2063" width="13.125" style="14" customWidth="1"/>
    <col min="2064" max="2064" width="8" style="14" customWidth="1"/>
    <col min="2065" max="2065" width="9.875" style="14" customWidth="1"/>
    <col min="2066" max="2067" width="9.125" style="14" customWidth="1"/>
    <col min="2068" max="2308" width="9" style="14"/>
    <col min="2309" max="2309" width="1.375" style="14" customWidth="1"/>
    <col min="2310" max="2310" width="8.75" style="14" customWidth="1"/>
    <col min="2311" max="2311" width="9.875" style="14" customWidth="1"/>
    <col min="2312" max="2312" width="13.125" style="14" customWidth="1"/>
    <col min="2313" max="2313" width="6" style="14" customWidth="1"/>
    <col min="2314" max="2314" width="8" style="14" customWidth="1"/>
    <col min="2315" max="2315" width="10.625" style="14" customWidth="1"/>
    <col min="2316" max="2316" width="8.75" style="14" customWidth="1"/>
    <col min="2317" max="2317" width="6.375" style="14" customWidth="1"/>
    <col min="2318" max="2318" width="8.75" style="14" customWidth="1"/>
    <col min="2319" max="2319" width="13.125" style="14" customWidth="1"/>
    <col min="2320" max="2320" width="8" style="14" customWidth="1"/>
    <col min="2321" max="2321" width="9.875" style="14" customWidth="1"/>
    <col min="2322" max="2323" width="9.125" style="14" customWidth="1"/>
    <col min="2324" max="2564" width="9" style="14"/>
    <col min="2565" max="2565" width="1.375" style="14" customWidth="1"/>
    <col min="2566" max="2566" width="8.75" style="14" customWidth="1"/>
    <col min="2567" max="2567" width="9.875" style="14" customWidth="1"/>
    <col min="2568" max="2568" width="13.125" style="14" customWidth="1"/>
    <col min="2569" max="2569" width="6" style="14" customWidth="1"/>
    <col min="2570" max="2570" width="8" style="14" customWidth="1"/>
    <col min="2571" max="2571" width="10.625" style="14" customWidth="1"/>
    <col min="2572" max="2572" width="8.75" style="14" customWidth="1"/>
    <col min="2573" max="2573" width="6.375" style="14" customWidth="1"/>
    <col min="2574" max="2574" width="8.75" style="14" customWidth="1"/>
    <col min="2575" max="2575" width="13.125" style="14" customWidth="1"/>
    <col min="2576" max="2576" width="8" style="14" customWidth="1"/>
    <col min="2577" max="2577" width="9.875" style="14" customWidth="1"/>
    <col min="2578" max="2579" width="9.125" style="14" customWidth="1"/>
    <col min="2580" max="2820" width="9" style="14"/>
    <col min="2821" max="2821" width="1.375" style="14" customWidth="1"/>
    <col min="2822" max="2822" width="8.75" style="14" customWidth="1"/>
    <col min="2823" max="2823" width="9.875" style="14" customWidth="1"/>
    <col min="2824" max="2824" width="13.125" style="14" customWidth="1"/>
    <col min="2825" max="2825" width="6" style="14" customWidth="1"/>
    <col min="2826" max="2826" width="8" style="14" customWidth="1"/>
    <col min="2827" max="2827" width="10.625" style="14" customWidth="1"/>
    <col min="2828" max="2828" width="8.75" style="14" customWidth="1"/>
    <col min="2829" max="2829" width="6.375" style="14" customWidth="1"/>
    <col min="2830" max="2830" width="8.75" style="14" customWidth="1"/>
    <col min="2831" max="2831" width="13.125" style="14" customWidth="1"/>
    <col min="2832" max="2832" width="8" style="14" customWidth="1"/>
    <col min="2833" max="2833" width="9.875" style="14" customWidth="1"/>
    <col min="2834" max="2835" width="9.125" style="14" customWidth="1"/>
    <col min="2836" max="3076" width="9" style="14"/>
    <col min="3077" max="3077" width="1.375" style="14" customWidth="1"/>
    <col min="3078" max="3078" width="8.75" style="14" customWidth="1"/>
    <col min="3079" max="3079" width="9.875" style="14" customWidth="1"/>
    <col min="3080" max="3080" width="13.125" style="14" customWidth="1"/>
    <col min="3081" max="3081" width="6" style="14" customWidth="1"/>
    <col min="3082" max="3082" width="8" style="14" customWidth="1"/>
    <col min="3083" max="3083" width="10.625" style="14" customWidth="1"/>
    <col min="3084" max="3084" width="8.75" style="14" customWidth="1"/>
    <col min="3085" max="3085" width="6.375" style="14" customWidth="1"/>
    <col min="3086" max="3086" width="8.75" style="14" customWidth="1"/>
    <col min="3087" max="3087" width="13.125" style="14" customWidth="1"/>
    <col min="3088" max="3088" width="8" style="14" customWidth="1"/>
    <col min="3089" max="3089" width="9.875" style="14" customWidth="1"/>
    <col min="3090" max="3091" width="9.125" style="14" customWidth="1"/>
    <col min="3092" max="3332" width="9" style="14"/>
    <col min="3333" max="3333" width="1.375" style="14" customWidth="1"/>
    <col min="3334" max="3334" width="8.75" style="14" customWidth="1"/>
    <col min="3335" max="3335" width="9.875" style="14" customWidth="1"/>
    <col min="3336" max="3336" width="13.125" style="14" customWidth="1"/>
    <col min="3337" max="3337" width="6" style="14" customWidth="1"/>
    <col min="3338" max="3338" width="8" style="14" customWidth="1"/>
    <col min="3339" max="3339" width="10.625" style="14" customWidth="1"/>
    <col min="3340" max="3340" width="8.75" style="14" customWidth="1"/>
    <col min="3341" max="3341" width="6.375" style="14" customWidth="1"/>
    <col min="3342" max="3342" width="8.75" style="14" customWidth="1"/>
    <col min="3343" max="3343" width="13.125" style="14" customWidth="1"/>
    <col min="3344" max="3344" width="8" style="14" customWidth="1"/>
    <col min="3345" max="3345" width="9.875" style="14" customWidth="1"/>
    <col min="3346" max="3347" width="9.125" style="14" customWidth="1"/>
    <col min="3348" max="3588" width="9" style="14"/>
    <col min="3589" max="3589" width="1.375" style="14" customWidth="1"/>
    <col min="3590" max="3590" width="8.75" style="14" customWidth="1"/>
    <col min="3591" max="3591" width="9.875" style="14" customWidth="1"/>
    <col min="3592" max="3592" width="13.125" style="14" customWidth="1"/>
    <col min="3593" max="3593" width="6" style="14" customWidth="1"/>
    <col min="3594" max="3594" width="8" style="14" customWidth="1"/>
    <col min="3595" max="3595" width="10.625" style="14" customWidth="1"/>
    <col min="3596" max="3596" width="8.75" style="14" customWidth="1"/>
    <col min="3597" max="3597" width="6.375" style="14" customWidth="1"/>
    <col min="3598" max="3598" width="8.75" style="14" customWidth="1"/>
    <col min="3599" max="3599" width="13.125" style="14" customWidth="1"/>
    <col min="3600" max="3600" width="8" style="14" customWidth="1"/>
    <col min="3601" max="3601" width="9.875" style="14" customWidth="1"/>
    <col min="3602" max="3603" width="9.125" style="14" customWidth="1"/>
    <col min="3604" max="3844" width="9" style="14"/>
    <col min="3845" max="3845" width="1.375" style="14" customWidth="1"/>
    <col min="3846" max="3846" width="8.75" style="14" customWidth="1"/>
    <col min="3847" max="3847" width="9.875" style="14" customWidth="1"/>
    <col min="3848" max="3848" width="13.125" style="14" customWidth="1"/>
    <col min="3849" max="3849" width="6" style="14" customWidth="1"/>
    <col min="3850" max="3850" width="8" style="14" customWidth="1"/>
    <col min="3851" max="3851" width="10.625" style="14" customWidth="1"/>
    <col min="3852" max="3852" width="8.75" style="14" customWidth="1"/>
    <col min="3853" max="3853" width="6.375" style="14" customWidth="1"/>
    <col min="3854" max="3854" width="8.75" style="14" customWidth="1"/>
    <col min="3855" max="3855" width="13.125" style="14" customWidth="1"/>
    <col min="3856" max="3856" width="8" style="14" customWidth="1"/>
    <col min="3857" max="3857" width="9.875" style="14" customWidth="1"/>
    <col min="3858" max="3859" width="9.125" style="14" customWidth="1"/>
    <col min="3860" max="4100" width="9" style="14"/>
    <col min="4101" max="4101" width="1.375" style="14" customWidth="1"/>
    <col min="4102" max="4102" width="8.75" style="14" customWidth="1"/>
    <col min="4103" max="4103" width="9.875" style="14" customWidth="1"/>
    <col min="4104" max="4104" width="13.125" style="14" customWidth="1"/>
    <col min="4105" max="4105" width="6" style="14" customWidth="1"/>
    <col min="4106" max="4106" width="8" style="14" customWidth="1"/>
    <col min="4107" max="4107" width="10.625" style="14" customWidth="1"/>
    <col min="4108" max="4108" width="8.75" style="14" customWidth="1"/>
    <col min="4109" max="4109" width="6.375" style="14" customWidth="1"/>
    <col min="4110" max="4110" width="8.75" style="14" customWidth="1"/>
    <col min="4111" max="4111" width="13.125" style="14" customWidth="1"/>
    <col min="4112" max="4112" width="8" style="14" customWidth="1"/>
    <col min="4113" max="4113" width="9.875" style="14" customWidth="1"/>
    <col min="4114" max="4115" width="9.125" style="14" customWidth="1"/>
    <col min="4116" max="4356" width="9" style="14"/>
    <col min="4357" max="4357" width="1.375" style="14" customWidth="1"/>
    <col min="4358" max="4358" width="8.75" style="14" customWidth="1"/>
    <col min="4359" max="4359" width="9.875" style="14" customWidth="1"/>
    <col min="4360" max="4360" width="13.125" style="14" customWidth="1"/>
    <col min="4361" max="4361" width="6" style="14" customWidth="1"/>
    <col min="4362" max="4362" width="8" style="14" customWidth="1"/>
    <col min="4363" max="4363" width="10.625" style="14" customWidth="1"/>
    <col min="4364" max="4364" width="8.75" style="14" customWidth="1"/>
    <col min="4365" max="4365" width="6.375" style="14" customWidth="1"/>
    <col min="4366" max="4366" width="8.75" style="14" customWidth="1"/>
    <col min="4367" max="4367" width="13.125" style="14" customWidth="1"/>
    <col min="4368" max="4368" width="8" style="14" customWidth="1"/>
    <col min="4369" max="4369" width="9.875" style="14" customWidth="1"/>
    <col min="4370" max="4371" width="9.125" style="14" customWidth="1"/>
    <col min="4372" max="4612" width="9" style="14"/>
    <col min="4613" max="4613" width="1.375" style="14" customWidth="1"/>
    <col min="4614" max="4614" width="8.75" style="14" customWidth="1"/>
    <col min="4615" max="4615" width="9.875" style="14" customWidth="1"/>
    <col min="4616" max="4616" width="13.125" style="14" customWidth="1"/>
    <col min="4617" max="4617" width="6" style="14" customWidth="1"/>
    <col min="4618" max="4618" width="8" style="14" customWidth="1"/>
    <col min="4619" max="4619" width="10.625" style="14" customWidth="1"/>
    <col min="4620" max="4620" width="8.75" style="14" customWidth="1"/>
    <col min="4621" max="4621" width="6.375" style="14" customWidth="1"/>
    <col min="4622" max="4622" width="8.75" style="14" customWidth="1"/>
    <col min="4623" max="4623" width="13.125" style="14" customWidth="1"/>
    <col min="4624" max="4624" width="8" style="14" customWidth="1"/>
    <col min="4625" max="4625" width="9.875" style="14" customWidth="1"/>
    <col min="4626" max="4627" width="9.125" style="14" customWidth="1"/>
    <col min="4628" max="4868" width="9" style="14"/>
    <col min="4869" max="4869" width="1.375" style="14" customWidth="1"/>
    <col min="4870" max="4870" width="8.75" style="14" customWidth="1"/>
    <col min="4871" max="4871" width="9.875" style="14" customWidth="1"/>
    <col min="4872" max="4872" width="13.125" style="14" customWidth="1"/>
    <col min="4873" max="4873" width="6" style="14" customWidth="1"/>
    <col min="4874" max="4874" width="8" style="14" customWidth="1"/>
    <col min="4875" max="4875" width="10.625" style="14" customWidth="1"/>
    <col min="4876" max="4876" width="8.75" style="14" customWidth="1"/>
    <col min="4877" max="4877" width="6.375" style="14" customWidth="1"/>
    <col min="4878" max="4878" width="8.75" style="14" customWidth="1"/>
    <col min="4879" max="4879" width="13.125" style="14" customWidth="1"/>
    <col min="4880" max="4880" width="8" style="14" customWidth="1"/>
    <col min="4881" max="4881" width="9.875" style="14" customWidth="1"/>
    <col min="4882" max="4883" width="9.125" style="14" customWidth="1"/>
    <col min="4884" max="5124" width="9" style="14"/>
    <col min="5125" max="5125" width="1.375" style="14" customWidth="1"/>
    <col min="5126" max="5126" width="8.75" style="14" customWidth="1"/>
    <col min="5127" max="5127" width="9.875" style="14" customWidth="1"/>
    <col min="5128" max="5128" width="13.125" style="14" customWidth="1"/>
    <col min="5129" max="5129" width="6" style="14" customWidth="1"/>
    <col min="5130" max="5130" width="8" style="14" customWidth="1"/>
    <col min="5131" max="5131" width="10.625" style="14" customWidth="1"/>
    <col min="5132" max="5132" width="8.75" style="14" customWidth="1"/>
    <col min="5133" max="5133" width="6.375" style="14" customWidth="1"/>
    <col min="5134" max="5134" width="8.75" style="14" customWidth="1"/>
    <col min="5135" max="5135" width="13.125" style="14" customWidth="1"/>
    <col min="5136" max="5136" width="8" style="14" customWidth="1"/>
    <col min="5137" max="5137" width="9.875" style="14" customWidth="1"/>
    <col min="5138" max="5139" width="9.125" style="14" customWidth="1"/>
    <col min="5140" max="5380" width="9" style="14"/>
    <col min="5381" max="5381" width="1.375" style="14" customWidth="1"/>
    <col min="5382" max="5382" width="8.75" style="14" customWidth="1"/>
    <col min="5383" max="5383" width="9.875" style="14" customWidth="1"/>
    <col min="5384" max="5384" width="13.125" style="14" customWidth="1"/>
    <col min="5385" max="5385" width="6" style="14" customWidth="1"/>
    <col min="5386" max="5386" width="8" style="14" customWidth="1"/>
    <col min="5387" max="5387" width="10.625" style="14" customWidth="1"/>
    <col min="5388" max="5388" width="8.75" style="14" customWidth="1"/>
    <col min="5389" max="5389" width="6.375" style="14" customWidth="1"/>
    <col min="5390" max="5390" width="8.75" style="14" customWidth="1"/>
    <col min="5391" max="5391" width="13.125" style="14" customWidth="1"/>
    <col min="5392" max="5392" width="8" style="14" customWidth="1"/>
    <col min="5393" max="5393" width="9.875" style="14" customWidth="1"/>
    <col min="5394" max="5395" width="9.125" style="14" customWidth="1"/>
    <col min="5396" max="5636" width="9" style="14"/>
    <col min="5637" max="5637" width="1.375" style="14" customWidth="1"/>
    <col min="5638" max="5638" width="8.75" style="14" customWidth="1"/>
    <col min="5639" max="5639" width="9.875" style="14" customWidth="1"/>
    <col min="5640" max="5640" width="13.125" style="14" customWidth="1"/>
    <col min="5641" max="5641" width="6" style="14" customWidth="1"/>
    <col min="5642" max="5642" width="8" style="14" customWidth="1"/>
    <col min="5643" max="5643" width="10.625" style="14" customWidth="1"/>
    <col min="5644" max="5644" width="8.75" style="14" customWidth="1"/>
    <col min="5645" max="5645" width="6.375" style="14" customWidth="1"/>
    <col min="5646" max="5646" width="8.75" style="14" customWidth="1"/>
    <col min="5647" max="5647" width="13.125" style="14" customWidth="1"/>
    <col min="5648" max="5648" width="8" style="14" customWidth="1"/>
    <col min="5649" max="5649" width="9.875" style="14" customWidth="1"/>
    <col min="5650" max="5651" width="9.125" style="14" customWidth="1"/>
    <col min="5652" max="5892" width="9" style="14"/>
    <col min="5893" max="5893" width="1.375" style="14" customWidth="1"/>
    <col min="5894" max="5894" width="8.75" style="14" customWidth="1"/>
    <col min="5895" max="5895" width="9.875" style="14" customWidth="1"/>
    <col min="5896" max="5896" width="13.125" style="14" customWidth="1"/>
    <col min="5897" max="5897" width="6" style="14" customWidth="1"/>
    <col min="5898" max="5898" width="8" style="14" customWidth="1"/>
    <col min="5899" max="5899" width="10.625" style="14" customWidth="1"/>
    <col min="5900" max="5900" width="8.75" style="14" customWidth="1"/>
    <col min="5901" max="5901" width="6.375" style="14" customWidth="1"/>
    <col min="5902" max="5902" width="8.75" style="14" customWidth="1"/>
    <col min="5903" max="5903" width="13.125" style="14" customWidth="1"/>
    <col min="5904" max="5904" width="8" style="14" customWidth="1"/>
    <col min="5905" max="5905" width="9.875" style="14" customWidth="1"/>
    <col min="5906" max="5907" width="9.125" style="14" customWidth="1"/>
    <col min="5908" max="6148" width="9" style="14"/>
    <col min="6149" max="6149" width="1.375" style="14" customWidth="1"/>
    <col min="6150" max="6150" width="8.75" style="14" customWidth="1"/>
    <col min="6151" max="6151" width="9.875" style="14" customWidth="1"/>
    <col min="6152" max="6152" width="13.125" style="14" customWidth="1"/>
    <col min="6153" max="6153" width="6" style="14" customWidth="1"/>
    <col min="6154" max="6154" width="8" style="14" customWidth="1"/>
    <col min="6155" max="6155" width="10.625" style="14" customWidth="1"/>
    <col min="6156" max="6156" width="8.75" style="14" customWidth="1"/>
    <col min="6157" max="6157" width="6.375" style="14" customWidth="1"/>
    <col min="6158" max="6158" width="8.75" style="14" customWidth="1"/>
    <col min="6159" max="6159" width="13.125" style="14" customWidth="1"/>
    <col min="6160" max="6160" width="8" style="14" customWidth="1"/>
    <col min="6161" max="6161" width="9.875" style="14" customWidth="1"/>
    <col min="6162" max="6163" width="9.125" style="14" customWidth="1"/>
    <col min="6164" max="6404" width="9" style="14"/>
    <col min="6405" max="6405" width="1.375" style="14" customWidth="1"/>
    <col min="6406" max="6406" width="8.75" style="14" customWidth="1"/>
    <col min="6407" max="6407" width="9.875" style="14" customWidth="1"/>
    <col min="6408" max="6408" width="13.125" style="14" customWidth="1"/>
    <col min="6409" max="6409" width="6" style="14" customWidth="1"/>
    <col min="6410" max="6410" width="8" style="14" customWidth="1"/>
    <col min="6411" max="6411" width="10.625" style="14" customWidth="1"/>
    <col min="6412" max="6412" width="8.75" style="14" customWidth="1"/>
    <col min="6413" max="6413" width="6.375" style="14" customWidth="1"/>
    <col min="6414" max="6414" width="8.75" style="14" customWidth="1"/>
    <col min="6415" max="6415" width="13.125" style="14" customWidth="1"/>
    <col min="6416" max="6416" width="8" style="14" customWidth="1"/>
    <col min="6417" max="6417" width="9.875" style="14" customWidth="1"/>
    <col min="6418" max="6419" width="9.125" style="14" customWidth="1"/>
    <col min="6420" max="6660" width="9" style="14"/>
    <col min="6661" max="6661" width="1.375" style="14" customWidth="1"/>
    <col min="6662" max="6662" width="8.75" style="14" customWidth="1"/>
    <col min="6663" max="6663" width="9.875" style="14" customWidth="1"/>
    <col min="6664" max="6664" width="13.125" style="14" customWidth="1"/>
    <col min="6665" max="6665" width="6" style="14" customWidth="1"/>
    <col min="6666" max="6666" width="8" style="14" customWidth="1"/>
    <col min="6667" max="6667" width="10.625" style="14" customWidth="1"/>
    <col min="6668" max="6668" width="8.75" style="14" customWidth="1"/>
    <col min="6669" max="6669" width="6.375" style="14" customWidth="1"/>
    <col min="6670" max="6670" width="8.75" style="14" customWidth="1"/>
    <col min="6671" max="6671" width="13.125" style="14" customWidth="1"/>
    <col min="6672" max="6672" width="8" style="14" customWidth="1"/>
    <col min="6673" max="6673" width="9.875" style="14" customWidth="1"/>
    <col min="6674" max="6675" width="9.125" style="14" customWidth="1"/>
    <col min="6676" max="6916" width="9" style="14"/>
    <col min="6917" max="6917" width="1.375" style="14" customWidth="1"/>
    <col min="6918" max="6918" width="8.75" style="14" customWidth="1"/>
    <col min="6919" max="6919" width="9.875" style="14" customWidth="1"/>
    <col min="6920" max="6920" width="13.125" style="14" customWidth="1"/>
    <col min="6921" max="6921" width="6" style="14" customWidth="1"/>
    <col min="6922" max="6922" width="8" style="14" customWidth="1"/>
    <col min="6923" max="6923" width="10.625" style="14" customWidth="1"/>
    <col min="6924" max="6924" width="8.75" style="14" customWidth="1"/>
    <col min="6925" max="6925" width="6.375" style="14" customWidth="1"/>
    <col min="6926" max="6926" width="8.75" style="14" customWidth="1"/>
    <col min="6927" max="6927" width="13.125" style="14" customWidth="1"/>
    <col min="6928" max="6928" width="8" style="14" customWidth="1"/>
    <col min="6929" max="6929" width="9.875" style="14" customWidth="1"/>
    <col min="6930" max="6931" width="9.125" style="14" customWidth="1"/>
    <col min="6932" max="7172" width="9" style="14"/>
    <col min="7173" max="7173" width="1.375" style="14" customWidth="1"/>
    <col min="7174" max="7174" width="8.75" style="14" customWidth="1"/>
    <col min="7175" max="7175" width="9.875" style="14" customWidth="1"/>
    <col min="7176" max="7176" width="13.125" style="14" customWidth="1"/>
    <col min="7177" max="7177" width="6" style="14" customWidth="1"/>
    <col min="7178" max="7178" width="8" style="14" customWidth="1"/>
    <col min="7179" max="7179" width="10.625" style="14" customWidth="1"/>
    <col min="7180" max="7180" width="8.75" style="14" customWidth="1"/>
    <col min="7181" max="7181" width="6.375" style="14" customWidth="1"/>
    <col min="7182" max="7182" width="8.75" style="14" customWidth="1"/>
    <col min="7183" max="7183" width="13.125" style="14" customWidth="1"/>
    <col min="7184" max="7184" width="8" style="14" customWidth="1"/>
    <col min="7185" max="7185" width="9.875" style="14" customWidth="1"/>
    <col min="7186" max="7187" width="9.125" style="14" customWidth="1"/>
    <col min="7188" max="7428" width="9" style="14"/>
    <col min="7429" max="7429" width="1.375" style="14" customWidth="1"/>
    <col min="7430" max="7430" width="8.75" style="14" customWidth="1"/>
    <col min="7431" max="7431" width="9.875" style="14" customWidth="1"/>
    <col min="7432" max="7432" width="13.125" style="14" customWidth="1"/>
    <col min="7433" max="7433" width="6" style="14" customWidth="1"/>
    <col min="7434" max="7434" width="8" style="14" customWidth="1"/>
    <col min="7435" max="7435" width="10.625" style="14" customWidth="1"/>
    <col min="7436" max="7436" width="8.75" style="14" customWidth="1"/>
    <col min="7437" max="7437" width="6.375" style="14" customWidth="1"/>
    <col min="7438" max="7438" width="8.75" style="14" customWidth="1"/>
    <col min="7439" max="7439" width="13.125" style="14" customWidth="1"/>
    <col min="7440" max="7440" width="8" style="14" customWidth="1"/>
    <col min="7441" max="7441" width="9.875" style="14" customWidth="1"/>
    <col min="7442" max="7443" width="9.125" style="14" customWidth="1"/>
    <col min="7444" max="7684" width="9" style="14"/>
    <col min="7685" max="7685" width="1.375" style="14" customWidth="1"/>
    <col min="7686" max="7686" width="8.75" style="14" customWidth="1"/>
    <col min="7687" max="7687" width="9.875" style="14" customWidth="1"/>
    <col min="7688" max="7688" width="13.125" style="14" customWidth="1"/>
    <col min="7689" max="7689" width="6" style="14" customWidth="1"/>
    <col min="7690" max="7690" width="8" style="14" customWidth="1"/>
    <col min="7691" max="7691" width="10.625" style="14" customWidth="1"/>
    <col min="7692" max="7692" width="8.75" style="14" customWidth="1"/>
    <col min="7693" max="7693" width="6.375" style="14" customWidth="1"/>
    <col min="7694" max="7694" width="8.75" style="14" customWidth="1"/>
    <col min="7695" max="7695" width="13.125" style="14" customWidth="1"/>
    <col min="7696" max="7696" width="8" style="14" customWidth="1"/>
    <col min="7697" max="7697" width="9.875" style="14" customWidth="1"/>
    <col min="7698" max="7699" width="9.125" style="14" customWidth="1"/>
    <col min="7700" max="7940" width="9" style="14"/>
    <col min="7941" max="7941" width="1.375" style="14" customWidth="1"/>
    <col min="7942" max="7942" width="8.75" style="14" customWidth="1"/>
    <col min="7943" max="7943" width="9.875" style="14" customWidth="1"/>
    <col min="7944" max="7944" width="13.125" style="14" customWidth="1"/>
    <col min="7945" max="7945" width="6" style="14" customWidth="1"/>
    <col min="7946" max="7946" width="8" style="14" customWidth="1"/>
    <col min="7947" max="7947" width="10.625" style="14" customWidth="1"/>
    <col min="7948" max="7948" width="8.75" style="14" customWidth="1"/>
    <col min="7949" max="7949" width="6.375" style="14" customWidth="1"/>
    <col min="7950" max="7950" width="8.75" style="14" customWidth="1"/>
    <col min="7951" max="7951" width="13.125" style="14" customWidth="1"/>
    <col min="7952" max="7952" width="8" style="14" customWidth="1"/>
    <col min="7953" max="7953" width="9.875" style="14" customWidth="1"/>
    <col min="7954" max="7955" width="9.125" style="14" customWidth="1"/>
    <col min="7956" max="8196" width="9" style="14"/>
    <col min="8197" max="8197" width="1.375" style="14" customWidth="1"/>
    <col min="8198" max="8198" width="8.75" style="14" customWidth="1"/>
    <col min="8199" max="8199" width="9.875" style="14" customWidth="1"/>
    <col min="8200" max="8200" width="13.125" style="14" customWidth="1"/>
    <col min="8201" max="8201" width="6" style="14" customWidth="1"/>
    <col min="8202" max="8202" width="8" style="14" customWidth="1"/>
    <col min="8203" max="8203" width="10.625" style="14" customWidth="1"/>
    <col min="8204" max="8204" width="8.75" style="14" customWidth="1"/>
    <col min="8205" max="8205" width="6.375" style="14" customWidth="1"/>
    <col min="8206" max="8206" width="8.75" style="14" customWidth="1"/>
    <col min="8207" max="8207" width="13.125" style="14" customWidth="1"/>
    <col min="8208" max="8208" width="8" style="14" customWidth="1"/>
    <col min="8209" max="8209" width="9.875" style="14" customWidth="1"/>
    <col min="8210" max="8211" width="9.125" style="14" customWidth="1"/>
    <col min="8212" max="8452" width="9" style="14"/>
    <col min="8453" max="8453" width="1.375" style="14" customWidth="1"/>
    <col min="8454" max="8454" width="8.75" style="14" customWidth="1"/>
    <col min="8455" max="8455" width="9.875" style="14" customWidth="1"/>
    <col min="8456" max="8456" width="13.125" style="14" customWidth="1"/>
    <col min="8457" max="8457" width="6" style="14" customWidth="1"/>
    <col min="8458" max="8458" width="8" style="14" customWidth="1"/>
    <col min="8459" max="8459" width="10.625" style="14" customWidth="1"/>
    <col min="8460" max="8460" width="8.75" style="14" customWidth="1"/>
    <col min="8461" max="8461" width="6.375" style="14" customWidth="1"/>
    <col min="8462" max="8462" width="8.75" style="14" customWidth="1"/>
    <col min="8463" max="8463" width="13.125" style="14" customWidth="1"/>
    <col min="8464" max="8464" width="8" style="14" customWidth="1"/>
    <col min="8465" max="8465" width="9.875" style="14" customWidth="1"/>
    <col min="8466" max="8467" width="9.125" style="14" customWidth="1"/>
    <col min="8468" max="8708" width="9" style="14"/>
    <col min="8709" max="8709" width="1.375" style="14" customWidth="1"/>
    <col min="8710" max="8710" width="8.75" style="14" customWidth="1"/>
    <col min="8711" max="8711" width="9.875" style="14" customWidth="1"/>
    <col min="8712" max="8712" width="13.125" style="14" customWidth="1"/>
    <col min="8713" max="8713" width="6" style="14" customWidth="1"/>
    <col min="8714" max="8714" width="8" style="14" customWidth="1"/>
    <col min="8715" max="8715" width="10.625" style="14" customWidth="1"/>
    <col min="8716" max="8716" width="8.75" style="14" customWidth="1"/>
    <col min="8717" max="8717" width="6.375" style="14" customWidth="1"/>
    <col min="8718" max="8718" width="8.75" style="14" customWidth="1"/>
    <col min="8719" max="8719" width="13.125" style="14" customWidth="1"/>
    <col min="8720" max="8720" width="8" style="14" customWidth="1"/>
    <col min="8721" max="8721" width="9.875" style="14" customWidth="1"/>
    <col min="8722" max="8723" width="9.125" style="14" customWidth="1"/>
    <col min="8724" max="8964" width="9" style="14"/>
    <col min="8965" max="8965" width="1.375" style="14" customWidth="1"/>
    <col min="8966" max="8966" width="8.75" style="14" customWidth="1"/>
    <col min="8967" max="8967" width="9.875" style="14" customWidth="1"/>
    <col min="8968" max="8968" width="13.125" style="14" customWidth="1"/>
    <col min="8969" max="8969" width="6" style="14" customWidth="1"/>
    <col min="8970" max="8970" width="8" style="14" customWidth="1"/>
    <col min="8971" max="8971" width="10.625" style="14" customWidth="1"/>
    <col min="8972" max="8972" width="8.75" style="14" customWidth="1"/>
    <col min="8973" max="8973" width="6.375" style="14" customWidth="1"/>
    <col min="8974" max="8974" width="8.75" style="14" customWidth="1"/>
    <col min="8975" max="8975" width="13.125" style="14" customWidth="1"/>
    <col min="8976" max="8976" width="8" style="14" customWidth="1"/>
    <col min="8977" max="8977" width="9.875" style="14" customWidth="1"/>
    <col min="8978" max="8979" width="9.125" style="14" customWidth="1"/>
    <col min="8980" max="9220" width="9" style="14"/>
    <col min="9221" max="9221" width="1.375" style="14" customWidth="1"/>
    <col min="9222" max="9222" width="8.75" style="14" customWidth="1"/>
    <col min="9223" max="9223" width="9.875" style="14" customWidth="1"/>
    <col min="9224" max="9224" width="13.125" style="14" customWidth="1"/>
    <col min="9225" max="9225" width="6" style="14" customWidth="1"/>
    <col min="9226" max="9226" width="8" style="14" customWidth="1"/>
    <col min="9227" max="9227" width="10.625" style="14" customWidth="1"/>
    <col min="9228" max="9228" width="8.75" style="14" customWidth="1"/>
    <col min="9229" max="9229" width="6.375" style="14" customWidth="1"/>
    <col min="9230" max="9230" width="8.75" style="14" customWidth="1"/>
    <col min="9231" max="9231" width="13.125" style="14" customWidth="1"/>
    <col min="9232" max="9232" width="8" style="14" customWidth="1"/>
    <col min="9233" max="9233" width="9.875" style="14" customWidth="1"/>
    <col min="9234" max="9235" width="9.125" style="14" customWidth="1"/>
    <col min="9236" max="9476" width="9" style="14"/>
    <col min="9477" max="9477" width="1.375" style="14" customWidth="1"/>
    <col min="9478" max="9478" width="8.75" style="14" customWidth="1"/>
    <col min="9479" max="9479" width="9.875" style="14" customWidth="1"/>
    <col min="9480" max="9480" width="13.125" style="14" customWidth="1"/>
    <col min="9481" max="9481" width="6" style="14" customWidth="1"/>
    <col min="9482" max="9482" width="8" style="14" customWidth="1"/>
    <col min="9483" max="9483" width="10.625" style="14" customWidth="1"/>
    <col min="9484" max="9484" width="8.75" style="14" customWidth="1"/>
    <col min="9485" max="9485" width="6.375" style="14" customWidth="1"/>
    <col min="9486" max="9486" width="8.75" style="14" customWidth="1"/>
    <col min="9487" max="9487" width="13.125" style="14" customWidth="1"/>
    <col min="9488" max="9488" width="8" style="14" customWidth="1"/>
    <col min="9489" max="9489" width="9.875" style="14" customWidth="1"/>
    <col min="9490" max="9491" width="9.125" style="14" customWidth="1"/>
    <col min="9492" max="9732" width="9" style="14"/>
    <col min="9733" max="9733" width="1.375" style="14" customWidth="1"/>
    <col min="9734" max="9734" width="8.75" style="14" customWidth="1"/>
    <col min="9735" max="9735" width="9.875" style="14" customWidth="1"/>
    <col min="9736" max="9736" width="13.125" style="14" customWidth="1"/>
    <col min="9737" max="9737" width="6" style="14" customWidth="1"/>
    <col min="9738" max="9738" width="8" style="14" customWidth="1"/>
    <col min="9739" max="9739" width="10.625" style="14" customWidth="1"/>
    <col min="9740" max="9740" width="8.75" style="14" customWidth="1"/>
    <col min="9741" max="9741" width="6.375" style="14" customWidth="1"/>
    <col min="9742" max="9742" width="8.75" style="14" customWidth="1"/>
    <col min="9743" max="9743" width="13.125" style="14" customWidth="1"/>
    <col min="9744" max="9744" width="8" style="14" customWidth="1"/>
    <col min="9745" max="9745" width="9.875" style="14" customWidth="1"/>
    <col min="9746" max="9747" width="9.125" style="14" customWidth="1"/>
    <col min="9748" max="9988" width="9" style="14"/>
    <col min="9989" max="9989" width="1.375" style="14" customWidth="1"/>
    <col min="9990" max="9990" width="8.75" style="14" customWidth="1"/>
    <col min="9991" max="9991" width="9.875" style="14" customWidth="1"/>
    <col min="9992" max="9992" width="13.125" style="14" customWidth="1"/>
    <col min="9993" max="9993" width="6" style="14" customWidth="1"/>
    <col min="9994" max="9994" width="8" style="14" customWidth="1"/>
    <col min="9995" max="9995" width="10.625" style="14" customWidth="1"/>
    <col min="9996" max="9996" width="8.75" style="14" customWidth="1"/>
    <col min="9997" max="9997" width="6.375" style="14" customWidth="1"/>
    <col min="9998" max="9998" width="8.75" style="14" customWidth="1"/>
    <col min="9999" max="9999" width="13.125" style="14" customWidth="1"/>
    <col min="10000" max="10000" width="8" style="14" customWidth="1"/>
    <col min="10001" max="10001" width="9.875" style="14" customWidth="1"/>
    <col min="10002" max="10003" width="9.125" style="14" customWidth="1"/>
    <col min="10004" max="10244" width="9" style="14"/>
    <col min="10245" max="10245" width="1.375" style="14" customWidth="1"/>
    <col min="10246" max="10246" width="8.75" style="14" customWidth="1"/>
    <col min="10247" max="10247" width="9.875" style="14" customWidth="1"/>
    <col min="10248" max="10248" width="13.125" style="14" customWidth="1"/>
    <col min="10249" max="10249" width="6" style="14" customWidth="1"/>
    <col min="10250" max="10250" width="8" style="14" customWidth="1"/>
    <col min="10251" max="10251" width="10.625" style="14" customWidth="1"/>
    <col min="10252" max="10252" width="8.75" style="14" customWidth="1"/>
    <col min="10253" max="10253" width="6.375" style="14" customWidth="1"/>
    <col min="10254" max="10254" width="8.75" style="14" customWidth="1"/>
    <col min="10255" max="10255" width="13.125" style="14" customWidth="1"/>
    <col min="10256" max="10256" width="8" style="14" customWidth="1"/>
    <col min="10257" max="10257" width="9.875" style="14" customWidth="1"/>
    <col min="10258" max="10259" width="9.125" style="14" customWidth="1"/>
    <col min="10260" max="10500" width="9" style="14"/>
    <col min="10501" max="10501" width="1.375" style="14" customWidth="1"/>
    <col min="10502" max="10502" width="8.75" style="14" customWidth="1"/>
    <col min="10503" max="10503" width="9.875" style="14" customWidth="1"/>
    <col min="10504" max="10504" width="13.125" style="14" customWidth="1"/>
    <col min="10505" max="10505" width="6" style="14" customWidth="1"/>
    <col min="10506" max="10506" width="8" style="14" customWidth="1"/>
    <col min="10507" max="10507" width="10.625" style="14" customWidth="1"/>
    <col min="10508" max="10508" width="8.75" style="14" customWidth="1"/>
    <col min="10509" max="10509" width="6.375" style="14" customWidth="1"/>
    <col min="10510" max="10510" width="8.75" style="14" customWidth="1"/>
    <col min="10511" max="10511" width="13.125" style="14" customWidth="1"/>
    <col min="10512" max="10512" width="8" style="14" customWidth="1"/>
    <col min="10513" max="10513" width="9.875" style="14" customWidth="1"/>
    <col min="10514" max="10515" width="9.125" style="14" customWidth="1"/>
    <col min="10516" max="10756" width="9" style="14"/>
    <col min="10757" max="10757" width="1.375" style="14" customWidth="1"/>
    <col min="10758" max="10758" width="8.75" style="14" customWidth="1"/>
    <col min="10759" max="10759" width="9.875" style="14" customWidth="1"/>
    <col min="10760" max="10760" width="13.125" style="14" customWidth="1"/>
    <col min="10761" max="10761" width="6" style="14" customWidth="1"/>
    <col min="10762" max="10762" width="8" style="14" customWidth="1"/>
    <col min="10763" max="10763" width="10.625" style="14" customWidth="1"/>
    <col min="10764" max="10764" width="8.75" style="14" customWidth="1"/>
    <col min="10765" max="10765" width="6.375" style="14" customWidth="1"/>
    <col min="10766" max="10766" width="8.75" style="14" customWidth="1"/>
    <col min="10767" max="10767" width="13.125" style="14" customWidth="1"/>
    <col min="10768" max="10768" width="8" style="14" customWidth="1"/>
    <col min="10769" max="10769" width="9.875" style="14" customWidth="1"/>
    <col min="10770" max="10771" width="9.125" style="14" customWidth="1"/>
    <col min="10772" max="11012" width="9" style="14"/>
    <col min="11013" max="11013" width="1.375" style="14" customWidth="1"/>
    <col min="11014" max="11014" width="8.75" style="14" customWidth="1"/>
    <col min="11015" max="11015" width="9.875" style="14" customWidth="1"/>
    <col min="11016" max="11016" width="13.125" style="14" customWidth="1"/>
    <col min="11017" max="11017" width="6" style="14" customWidth="1"/>
    <col min="11018" max="11018" width="8" style="14" customWidth="1"/>
    <col min="11019" max="11019" width="10.625" style="14" customWidth="1"/>
    <col min="11020" max="11020" width="8.75" style="14" customWidth="1"/>
    <col min="11021" max="11021" width="6.375" style="14" customWidth="1"/>
    <col min="11022" max="11022" width="8.75" style="14" customWidth="1"/>
    <col min="11023" max="11023" width="13.125" style="14" customWidth="1"/>
    <col min="11024" max="11024" width="8" style="14" customWidth="1"/>
    <col min="11025" max="11025" width="9.875" style="14" customWidth="1"/>
    <col min="11026" max="11027" width="9.125" style="14" customWidth="1"/>
    <col min="11028" max="11268" width="9" style="14"/>
    <col min="11269" max="11269" width="1.375" style="14" customWidth="1"/>
    <col min="11270" max="11270" width="8.75" style="14" customWidth="1"/>
    <col min="11271" max="11271" width="9.875" style="14" customWidth="1"/>
    <col min="11272" max="11272" width="13.125" style="14" customWidth="1"/>
    <col min="11273" max="11273" width="6" style="14" customWidth="1"/>
    <col min="11274" max="11274" width="8" style="14" customWidth="1"/>
    <col min="11275" max="11275" width="10.625" style="14" customWidth="1"/>
    <col min="11276" max="11276" width="8.75" style="14" customWidth="1"/>
    <col min="11277" max="11277" width="6.375" style="14" customWidth="1"/>
    <col min="11278" max="11278" width="8.75" style="14" customWidth="1"/>
    <col min="11279" max="11279" width="13.125" style="14" customWidth="1"/>
    <col min="11280" max="11280" width="8" style="14" customWidth="1"/>
    <col min="11281" max="11281" width="9.875" style="14" customWidth="1"/>
    <col min="11282" max="11283" width="9.125" style="14" customWidth="1"/>
    <col min="11284" max="11524" width="9" style="14"/>
    <col min="11525" max="11525" width="1.375" style="14" customWidth="1"/>
    <col min="11526" max="11526" width="8.75" style="14" customWidth="1"/>
    <col min="11527" max="11527" width="9.875" style="14" customWidth="1"/>
    <col min="11528" max="11528" width="13.125" style="14" customWidth="1"/>
    <col min="11529" max="11529" width="6" style="14" customWidth="1"/>
    <col min="11530" max="11530" width="8" style="14" customWidth="1"/>
    <col min="11531" max="11531" width="10.625" style="14" customWidth="1"/>
    <col min="11532" max="11532" width="8.75" style="14" customWidth="1"/>
    <col min="11533" max="11533" width="6.375" style="14" customWidth="1"/>
    <col min="11534" max="11534" width="8.75" style="14" customWidth="1"/>
    <col min="11535" max="11535" width="13.125" style="14" customWidth="1"/>
    <col min="11536" max="11536" width="8" style="14" customWidth="1"/>
    <col min="11537" max="11537" width="9.875" style="14" customWidth="1"/>
    <col min="11538" max="11539" width="9.125" style="14" customWidth="1"/>
    <col min="11540" max="11780" width="9" style="14"/>
    <col min="11781" max="11781" width="1.375" style="14" customWidth="1"/>
    <col min="11782" max="11782" width="8.75" style="14" customWidth="1"/>
    <col min="11783" max="11783" width="9.875" style="14" customWidth="1"/>
    <col min="11784" max="11784" width="13.125" style="14" customWidth="1"/>
    <col min="11785" max="11785" width="6" style="14" customWidth="1"/>
    <col min="11786" max="11786" width="8" style="14" customWidth="1"/>
    <col min="11787" max="11787" width="10.625" style="14" customWidth="1"/>
    <col min="11788" max="11788" width="8.75" style="14" customWidth="1"/>
    <col min="11789" max="11789" width="6.375" style="14" customWidth="1"/>
    <col min="11790" max="11790" width="8.75" style="14" customWidth="1"/>
    <col min="11791" max="11791" width="13.125" style="14" customWidth="1"/>
    <col min="11792" max="11792" width="8" style="14" customWidth="1"/>
    <col min="11793" max="11793" width="9.875" style="14" customWidth="1"/>
    <col min="11794" max="11795" width="9.125" style="14" customWidth="1"/>
    <col min="11796" max="12036" width="9" style="14"/>
    <col min="12037" max="12037" width="1.375" style="14" customWidth="1"/>
    <col min="12038" max="12038" width="8.75" style="14" customWidth="1"/>
    <col min="12039" max="12039" width="9.875" style="14" customWidth="1"/>
    <col min="12040" max="12040" width="13.125" style="14" customWidth="1"/>
    <col min="12041" max="12041" width="6" style="14" customWidth="1"/>
    <col min="12042" max="12042" width="8" style="14" customWidth="1"/>
    <col min="12043" max="12043" width="10.625" style="14" customWidth="1"/>
    <col min="12044" max="12044" width="8.75" style="14" customWidth="1"/>
    <col min="12045" max="12045" width="6.375" style="14" customWidth="1"/>
    <col min="12046" max="12046" width="8.75" style="14" customWidth="1"/>
    <col min="12047" max="12047" width="13.125" style="14" customWidth="1"/>
    <col min="12048" max="12048" width="8" style="14" customWidth="1"/>
    <col min="12049" max="12049" width="9.875" style="14" customWidth="1"/>
    <col min="12050" max="12051" width="9.125" style="14" customWidth="1"/>
    <col min="12052" max="12292" width="9" style="14"/>
    <col min="12293" max="12293" width="1.375" style="14" customWidth="1"/>
    <col min="12294" max="12294" width="8.75" style="14" customWidth="1"/>
    <col min="12295" max="12295" width="9.875" style="14" customWidth="1"/>
    <col min="12296" max="12296" width="13.125" style="14" customWidth="1"/>
    <col min="12297" max="12297" width="6" style="14" customWidth="1"/>
    <col min="12298" max="12298" width="8" style="14" customWidth="1"/>
    <col min="12299" max="12299" width="10.625" style="14" customWidth="1"/>
    <col min="12300" max="12300" width="8.75" style="14" customWidth="1"/>
    <col min="12301" max="12301" width="6.375" style="14" customWidth="1"/>
    <col min="12302" max="12302" width="8.75" style="14" customWidth="1"/>
    <col min="12303" max="12303" width="13.125" style="14" customWidth="1"/>
    <col min="12304" max="12304" width="8" style="14" customWidth="1"/>
    <col min="12305" max="12305" width="9.875" style="14" customWidth="1"/>
    <col min="12306" max="12307" width="9.125" style="14" customWidth="1"/>
    <col min="12308" max="12548" width="9" style="14"/>
    <col min="12549" max="12549" width="1.375" style="14" customWidth="1"/>
    <col min="12550" max="12550" width="8.75" style="14" customWidth="1"/>
    <col min="12551" max="12551" width="9.875" style="14" customWidth="1"/>
    <col min="12552" max="12552" width="13.125" style="14" customWidth="1"/>
    <col min="12553" max="12553" width="6" style="14" customWidth="1"/>
    <col min="12554" max="12554" width="8" style="14" customWidth="1"/>
    <col min="12555" max="12555" width="10.625" style="14" customWidth="1"/>
    <col min="12556" max="12556" width="8.75" style="14" customWidth="1"/>
    <col min="12557" max="12557" width="6.375" style="14" customWidth="1"/>
    <col min="12558" max="12558" width="8.75" style="14" customWidth="1"/>
    <col min="12559" max="12559" width="13.125" style="14" customWidth="1"/>
    <col min="12560" max="12560" width="8" style="14" customWidth="1"/>
    <col min="12561" max="12561" width="9.875" style="14" customWidth="1"/>
    <col min="12562" max="12563" width="9.125" style="14" customWidth="1"/>
    <col min="12564" max="12804" width="9" style="14"/>
    <col min="12805" max="12805" width="1.375" style="14" customWidth="1"/>
    <col min="12806" max="12806" width="8.75" style="14" customWidth="1"/>
    <col min="12807" max="12807" width="9.875" style="14" customWidth="1"/>
    <col min="12808" max="12808" width="13.125" style="14" customWidth="1"/>
    <col min="12809" max="12809" width="6" style="14" customWidth="1"/>
    <col min="12810" max="12810" width="8" style="14" customWidth="1"/>
    <col min="12811" max="12811" width="10.625" style="14" customWidth="1"/>
    <col min="12812" max="12812" width="8.75" style="14" customWidth="1"/>
    <col min="12813" max="12813" width="6.375" style="14" customWidth="1"/>
    <col min="12814" max="12814" width="8.75" style="14" customWidth="1"/>
    <col min="12815" max="12815" width="13.125" style="14" customWidth="1"/>
    <col min="12816" max="12816" width="8" style="14" customWidth="1"/>
    <col min="12817" max="12817" width="9.875" style="14" customWidth="1"/>
    <col min="12818" max="12819" width="9.125" style="14" customWidth="1"/>
    <col min="12820" max="13060" width="9" style="14"/>
    <col min="13061" max="13061" width="1.375" style="14" customWidth="1"/>
    <col min="13062" max="13062" width="8.75" style="14" customWidth="1"/>
    <col min="13063" max="13063" width="9.875" style="14" customWidth="1"/>
    <col min="13064" max="13064" width="13.125" style="14" customWidth="1"/>
    <col min="13065" max="13065" width="6" style="14" customWidth="1"/>
    <col min="13066" max="13066" width="8" style="14" customWidth="1"/>
    <col min="13067" max="13067" width="10.625" style="14" customWidth="1"/>
    <col min="13068" max="13068" width="8.75" style="14" customWidth="1"/>
    <col min="13069" max="13069" width="6.375" style="14" customWidth="1"/>
    <col min="13070" max="13070" width="8.75" style="14" customWidth="1"/>
    <col min="13071" max="13071" width="13.125" style="14" customWidth="1"/>
    <col min="13072" max="13072" width="8" style="14" customWidth="1"/>
    <col min="13073" max="13073" width="9.875" style="14" customWidth="1"/>
    <col min="13074" max="13075" width="9.125" style="14" customWidth="1"/>
    <col min="13076" max="13316" width="9" style="14"/>
    <col min="13317" max="13317" width="1.375" style="14" customWidth="1"/>
    <col min="13318" max="13318" width="8.75" style="14" customWidth="1"/>
    <col min="13319" max="13319" width="9.875" style="14" customWidth="1"/>
    <col min="13320" max="13320" width="13.125" style="14" customWidth="1"/>
    <col min="13321" max="13321" width="6" style="14" customWidth="1"/>
    <col min="13322" max="13322" width="8" style="14" customWidth="1"/>
    <col min="13323" max="13323" width="10.625" style="14" customWidth="1"/>
    <col min="13324" max="13324" width="8.75" style="14" customWidth="1"/>
    <col min="13325" max="13325" width="6.375" style="14" customWidth="1"/>
    <col min="13326" max="13326" width="8.75" style="14" customWidth="1"/>
    <col min="13327" max="13327" width="13.125" style="14" customWidth="1"/>
    <col min="13328" max="13328" width="8" style="14" customWidth="1"/>
    <col min="13329" max="13329" width="9.875" style="14" customWidth="1"/>
    <col min="13330" max="13331" width="9.125" style="14" customWidth="1"/>
    <col min="13332" max="13572" width="9" style="14"/>
    <col min="13573" max="13573" width="1.375" style="14" customWidth="1"/>
    <col min="13574" max="13574" width="8.75" style="14" customWidth="1"/>
    <col min="13575" max="13575" width="9.875" style="14" customWidth="1"/>
    <col min="13576" max="13576" width="13.125" style="14" customWidth="1"/>
    <col min="13577" max="13577" width="6" style="14" customWidth="1"/>
    <col min="13578" max="13578" width="8" style="14" customWidth="1"/>
    <col min="13579" max="13579" width="10.625" style="14" customWidth="1"/>
    <col min="13580" max="13580" width="8.75" style="14" customWidth="1"/>
    <col min="13581" max="13581" width="6.375" style="14" customWidth="1"/>
    <col min="13582" max="13582" width="8.75" style="14" customWidth="1"/>
    <col min="13583" max="13583" width="13.125" style="14" customWidth="1"/>
    <col min="13584" max="13584" width="8" style="14" customWidth="1"/>
    <col min="13585" max="13585" width="9.875" style="14" customWidth="1"/>
    <col min="13586" max="13587" width="9.125" style="14" customWidth="1"/>
    <col min="13588" max="13828" width="9" style="14"/>
    <col min="13829" max="13829" width="1.375" style="14" customWidth="1"/>
    <col min="13830" max="13830" width="8.75" style="14" customWidth="1"/>
    <col min="13831" max="13831" width="9.875" style="14" customWidth="1"/>
    <col min="13832" max="13832" width="13.125" style="14" customWidth="1"/>
    <col min="13833" max="13833" width="6" style="14" customWidth="1"/>
    <col min="13834" max="13834" width="8" style="14" customWidth="1"/>
    <col min="13835" max="13835" width="10.625" style="14" customWidth="1"/>
    <col min="13836" max="13836" width="8.75" style="14" customWidth="1"/>
    <col min="13837" max="13837" width="6.375" style="14" customWidth="1"/>
    <col min="13838" max="13838" width="8.75" style="14" customWidth="1"/>
    <col min="13839" max="13839" width="13.125" style="14" customWidth="1"/>
    <col min="13840" max="13840" width="8" style="14" customWidth="1"/>
    <col min="13841" max="13841" width="9.875" style="14" customWidth="1"/>
    <col min="13842" max="13843" width="9.125" style="14" customWidth="1"/>
    <col min="13844" max="14084" width="9" style="14"/>
    <col min="14085" max="14085" width="1.375" style="14" customWidth="1"/>
    <col min="14086" max="14086" width="8.75" style="14" customWidth="1"/>
    <col min="14087" max="14087" width="9.875" style="14" customWidth="1"/>
    <col min="14088" max="14088" width="13.125" style="14" customWidth="1"/>
    <col min="14089" max="14089" width="6" style="14" customWidth="1"/>
    <col min="14090" max="14090" width="8" style="14" customWidth="1"/>
    <col min="14091" max="14091" width="10.625" style="14" customWidth="1"/>
    <col min="14092" max="14092" width="8.75" style="14" customWidth="1"/>
    <col min="14093" max="14093" width="6.375" style="14" customWidth="1"/>
    <col min="14094" max="14094" width="8.75" style="14" customWidth="1"/>
    <col min="14095" max="14095" width="13.125" style="14" customWidth="1"/>
    <col min="14096" max="14096" width="8" style="14" customWidth="1"/>
    <col min="14097" max="14097" width="9.875" style="14" customWidth="1"/>
    <col min="14098" max="14099" width="9.125" style="14" customWidth="1"/>
    <col min="14100" max="14340" width="9" style="14"/>
    <col min="14341" max="14341" width="1.375" style="14" customWidth="1"/>
    <col min="14342" max="14342" width="8.75" style="14" customWidth="1"/>
    <col min="14343" max="14343" width="9.875" style="14" customWidth="1"/>
    <col min="14344" max="14344" width="13.125" style="14" customWidth="1"/>
    <col min="14345" max="14345" width="6" style="14" customWidth="1"/>
    <col min="14346" max="14346" width="8" style="14" customWidth="1"/>
    <col min="14347" max="14347" width="10.625" style="14" customWidth="1"/>
    <col min="14348" max="14348" width="8.75" style="14" customWidth="1"/>
    <col min="14349" max="14349" width="6.375" style="14" customWidth="1"/>
    <col min="14350" max="14350" width="8.75" style="14" customWidth="1"/>
    <col min="14351" max="14351" width="13.125" style="14" customWidth="1"/>
    <col min="14352" max="14352" width="8" style="14" customWidth="1"/>
    <col min="14353" max="14353" width="9.875" style="14" customWidth="1"/>
    <col min="14354" max="14355" width="9.125" style="14" customWidth="1"/>
    <col min="14356" max="14596" width="9" style="14"/>
    <col min="14597" max="14597" width="1.375" style="14" customWidth="1"/>
    <col min="14598" max="14598" width="8.75" style="14" customWidth="1"/>
    <col min="14599" max="14599" width="9.875" style="14" customWidth="1"/>
    <col min="14600" max="14600" width="13.125" style="14" customWidth="1"/>
    <col min="14601" max="14601" width="6" style="14" customWidth="1"/>
    <col min="14602" max="14602" width="8" style="14" customWidth="1"/>
    <col min="14603" max="14603" width="10.625" style="14" customWidth="1"/>
    <col min="14604" max="14604" width="8.75" style="14" customWidth="1"/>
    <col min="14605" max="14605" width="6.375" style="14" customWidth="1"/>
    <col min="14606" max="14606" width="8.75" style="14" customWidth="1"/>
    <col min="14607" max="14607" width="13.125" style="14" customWidth="1"/>
    <col min="14608" max="14608" width="8" style="14" customWidth="1"/>
    <col min="14609" max="14609" width="9.875" style="14" customWidth="1"/>
    <col min="14610" max="14611" width="9.125" style="14" customWidth="1"/>
    <col min="14612" max="14852" width="9" style="14"/>
    <col min="14853" max="14853" width="1.375" style="14" customWidth="1"/>
    <col min="14854" max="14854" width="8.75" style="14" customWidth="1"/>
    <col min="14855" max="14855" width="9.875" style="14" customWidth="1"/>
    <col min="14856" max="14856" width="13.125" style="14" customWidth="1"/>
    <col min="14857" max="14857" width="6" style="14" customWidth="1"/>
    <col min="14858" max="14858" width="8" style="14" customWidth="1"/>
    <col min="14859" max="14859" width="10.625" style="14" customWidth="1"/>
    <col min="14860" max="14860" width="8.75" style="14" customWidth="1"/>
    <col min="14861" max="14861" width="6.375" style="14" customWidth="1"/>
    <col min="14862" max="14862" width="8.75" style="14" customWidth="1"/>
    <col min="14863" max="14863" width="13.125" style="14" customWidth="1"/>
    <col min="14864" max="14864" width="8" style="14" customWidth="1"/>
    <col min="14865" max="14865" width="9.875" style="14" customWidth="1"/>
    <col min="14866" max="14867" width="9.125" style="14" customWidth="1"/>
    <col min="14868" max="15108" width="9" style="14"/>
    <col min="15109" max="15109" width="1.375" style="14" customWidth="1"/>
    <col min="15110" max="15110" width="8.75" style="14" customWidth="1"/>
    <col min="15111" max="15111" width="9.875" style="14" customWidth="1"/>
    <col min="15112" max="15112" width="13.125" style="14" customWidth="1"/>
    <col min="15113" max="15113" width="6" style="14" customWidth="1"/>
    <col min="15114" max="15114" width="8" style="14" customWidth="1"/>
    <col min="15115" max="15115" width="10.625" style="14" customWidth="1"/>
    <col min="15116" max="15116" width="8.75" style="14" customWidth="1"/>
    <col min="15117" max="15117" width="6.375" style="14" customWidth="1"/>
    <col min="15118" max="15118" width="8.75" style="14" customWidth="1"/>
    <col min="15119" max="15119" width="13.125" style="14" customWidth="1"/>
    <col min="15120" max="15120" width="8" style="14" customWidth="1"/>
    <col min="15121" max="15121" width="9.875" style="14" customWidth="1"/>
    <col min="15122" max="15123" width="9.125" style="14" customWidth="1"/>
    <col min="15124" max="15364" width="9" style="14"/>
    <col min="15365" max="15365" width="1.375" style="14" customWidth="1"/>
    <col min="15366" max="15366" width="8.75" style="14" customWidth="1"/>
    <col min="15367" max="15367" width="9.875" style="14" customWidth="1"/>
    <col min="15368" max="15368" width="13.125" style="14" customWidth="1"/>
    <col min="15369" max="15369" width="6" style="14" customWidth="1"/>
    <col min="15370" max="15370" width="8" style="14" customWidth="1"/>
    <col min="15371" max="15371" width="10.625" style="14" customWidth="1"/>
    <col min="15372" max="15372" width="8.75" style="14" customWidth="1"/>
    <col min="15373" max="15373" width="6.375" style="14" customWidth="1"/>
    <col min="15374" max="15374" width="8.75" style="14" customWidth="1"/>
    <col min="15375" max="15375" width="13.125" style="14" customWidth="1"/>
    <col min="15376" max="15376" width="8" style="14" customWidth="1"/>
    <col min="15377" max="15377" width="9.875" style="14" customWidth="1"/>
    <col min="15378" max="15379" width="9.125" style="14" customWidth="1"/>
    <col min="15380" max="15620" width="9" style="14"/>
    <col min="15621" max="15621" width="1.375" style="14" customWidth="1"/>
    <col min="15622" max="15622" width="8.75" style="14" customWidth="1"/>
    <col min="15623" max="15623" width="9.875" style="14" customWidth="1"/>
    <col min="15624" max="15624" width="13.125" style="14" customWidth="1"/>
    <col min="15625" max="15625" width="6" style="14" customWidth="1"/>
    <col min="15626" max="15626" width="8" style="14" customWidth="1"/>
    <col min="15627" max="15627" width="10.625" style="14" customWidth="1"/>
    <col min="15628" max="15628" width="8.75" style="14" customWidth="1"/>
    <col min="15629" max="15629" width="6.375" style="14" customWidth="1"/>
    <col min="15630" max="15630" width="8.75" style="14" customWidth="1"/>
    <col min="15631" max="15631" width="13.125" style="14" customWidth="1"/>
    <col min="15632" max="15632" width="8" style="14" customWidth="1"/>
    <col min="15633" max="15633" width="9.875" style="14" customWidth="1"/>
    <col min="15634" max="15635" width="9.125" style="14" customWidth="1"/>
    <col min="15636" max="15876" width="9" style="14"/>
    <col min="15877" max="15877" width="1.375" style="14" customWidth="1"/>
    <col min="15878" max="15878" width="8.75" style="14" customWidth="1"/>
    <col min="15879" max="15879" width="9.875" style="14" customWidth="1"/>
    <col min="15880" max="15880" width="13.125" style="14" customWidth="1"/>
    <col min="15881" max="15881" width="6" style="14" customWidth="1"/>
    <col min="15882" max="15882" width="8" style="14" customWidth="1"/>
    <col min="15883" max="15883" width="10.625" style="14" customWidth="1"/>
    <col min="15884" max="15884" width="8.75" style="14" customWidth="1"/>
    <col min="15885" max="15885" width="6.375" style="14" customWidth="1"/>
    <col min="15886" max="15886" width="8.75" style="14" customWidth="1"/>
    <col min="15887" max="15887" width="13.125" style="14" customWidth="1"/>
    <col min="15888" max="15888" width="8" style="14" customWidth="1"/>
    <col min="15889" max="15889" width="9.875" style="14" customWidth="1"/>
    <col min="15890" max="15891" width="9.125" style="14" customWidth="1"/>
    <col min="15892" max="16132" width="9" style="14"/>
    <col min="16133" max="16133" width="1.375" style="14" customWidth="1"/>
    <col min="16134" max="16134" width="8.75" style="14" customWidth="1"/>
    <col min="16135" max="16135" width="9.875" style="14" customWidth="1"/>
    <col min="16136" max="16136" width="13.125" style="14" customWidth="1"/>
    <col min="16137" max="16137" width="6" style="14" customWidth="1"/>
    <col min="16138" max="16138" width="8" style="14" customWidth="1"/>
    <col min="16139" max="16139" width="10.625" style="14" customWidth="1"/>
    <col min="16140" max="16140" width="8.75" style="14" customWidth="1"/>
    <col min="16141" max="16141" width="6.375" style="14" customWidth="1"/>
    <col min="16142" max="16142" width="8.75" style="14" customWidth="1"/>
    <col min="16143" max="16143" width="13.125" style="14" customWidth="1"/>
    <col min="16144" max="16144" width="8" style="14" customWidth="1"/>
    <col min="16145" max="16145" width="9.875" style="14" customWidth="1"/>
    <col min="16146" max="16147" width="9.125" style="14" customWidth="1"/>
    <col min="16148" max="16384" width="9" style="14"/>
  </cols>
  <sheetData>
    <row r="1" spans="1:18" ht="13.5" x14ac:dyDescent="0.3">
      <c r="A1" s="25" t="s">
        <v>41</v>
      </c>
      <c r="B1" s="25"/>
      <c r="D1" s="11" t="s">
        <v>14</v>
      </c>
      <c r="E1" s="10"/>
      <c r="F1" s="10"/>
      <c r="G1" s="12"/>
      <c r="H1" s="12"/>
      <c r="I1" s="12"/>
      <c r="J1" s="10"/>
      <c r="K1" s="13"/>
      <c r="L1" s="13"/>
      <c r="M1" s="13"/>
      <c r="N1" s="13"/>
      <c r="O1" s="13"/>
      <c r="P1" s="10"/>
      <c r="Q1" s="14"/>
      <c r="R1" s="14"/>
    </row>
    <row r="2" spans="1:18" ht="13.5" x14ac:dyDescent="0.3">
      <c r="A2" s="25" t="s">
        <v>241</v>
      </c>
      <c r="B2" s="25"/>
      <c r="D2" s="15" t="s">
        <v>15</v>
      </c>
      <c r="E2" s="10"/>
      <c r="F2" s="10"/>
      <c r="G2" s="12"/>
      <c r="H2" s="12"/>
      <c r="I2" s="12"/>
      <c r="J2" s="10"/>
      <c r="K2" s="13"/>
      <c r="L2" s="13"/>
      <c r="M2" s="13"/>
      <c r="N2" s="13"/>
      <c r="O2" s="13"/>
      <c r="P2" s="10"/>
      <c r="Q2" s="14"/>
      <c r="R2" s="14"/>
    </row>
    <row r="3" spans="1:18" ht="13.5" x14ac:dyDescent="0.3">
      <c r="A3" s="25" t="s">
        <v>242</v>
      </c>
      <c r="B3" s="25"/>
      <c r="D3" s="27" t="s">
        <v>248</v>
      </c>
      <c r="E3" s="27"/>
      <c r="F3" s="27"/>
      <c r="G3" s="27"/>
      <c r="H3" s="27"/>
      <c r="I3" s="27"/>
      <c r="J3" s="27"/>
      <c r="K3" s="27"/>
      <c r="L3" s="27"/>
      <c r="M3" s="27"/>
      <c r="N3" s="27"/>
      <c r="O3" s="27"/>
      <c r="P3" s="27"/>
      <c r="Q3" s="14"/>
      <c r="R3" s="14"/>
    </row>
    <row r="4" spans="1:18" ht="13.5" x14ac:dyDescent="0.3">
      <c r="A4" s="16"/>
      <c r="B4" s="17"/>
      <c r="C4" s="18"/>
      <c r="D4" s="19"/>
      <c r="E4" s="19"/>
      <c r="F4" s="16"/>
      <c r="G4" s="20"/>
      <c r="H4" s="20"/>
      <c r="I4" s="20"/>
      <c r="J4" s="21"/>
      <c r="K4" s="22"/>
      <c r="L4" s="22"/>
      <c r="M4" s="22"/>
      <c r="N4" s="22"/>
      <c r="O4" s="22"/>
      <c r="P4" s="10"/>
      <c r="Q4" s="14"/>
      <c r="R4" s="14"/>
    </row>
    <row r="5" spans="1:18" ht="20.100000000000001" customHeight="1" x14ac:dyDescent="0.3">
      <c r="A5" s="16"/>
      <c r="B5" s="64" t="s">
        <v>266</v>
      </c>
      <c r="C5" s="65" t="s">
        <v>16</v>
      </c>
      <c r="D5" s="65" t="s">
        <v>17</v>
      </c>
      <c r="E5" s="65" t="s">
        <v>10</v>
      </c>
      <c r="F5" s="66" t="s">
        <v>268</v>
      </c>
      <c r="G5" s="67" t="s">
        <v>384</v>
      </c>
      <c r="H5" s="67" t="s">
        <v>260</v>
      </c>
      <c r="I5" s="67" t="s">
        <v>280</v>
      </c>
      <c r="J5" s="66" t="s">
        <v>259</v>
      </c>
      <c r="K5" s="68" t="s">
        <v>18</v>
      </c>
      <c r="L5" s="68" t="s">
        <v>282</v>
      </c>
      <c r="M5" s="68" t="s">
        <v>284</v>
      </c>
      <c r="N5" s="68" t="s">
        <v>283</v>
      </c>
      <c r="O5" s="68" t="s">
        <v>285</v>
      </c>
      <c r="P5" s="66" t="s">
        <v>13</v>
      </c>
      <c r="Q5" s="14"/>
      <c r="R5" s="14"/>
    </row>
    <row r="6" spans="1:18" x14ac:dyDescent="0.3">
      <c r="B6" s="43" t="s">
        <v>276</v>
      </c>
      <c r="C6" s="43">
        <v>11</v>
      </c>
      <c r="D6" s="42" t="str">
        <f>IFERROR(INDEX(tbl거래처[거래처명],MATCH(견적서발급!C6,tbl거래처[거래처코드],0)),"")</f>
        <v>동서석유화학㈜</v>
      </c>
      <c r="E6" s="27" t="s">
        <v>19</v>
      </c>
      <c r="F6" s="27" t="s">
        <v>20</v>
      </c>
      <c r="G6" s="100" t="s">
        <v>278</v>
      </c>
      <c r="H6" s="49">
        <v>41960</v>
      </c>
      <c r="I6" s="49">
        <v>41963</v>
      </c>
      <c r="J6" s="43" t="s">
        <v>21</v>
      </c>
      <c r="K6" s="28">
        <v>1416000</v>
      </c>
      <c r="L6" s="28" t="s">
        <v>286</v>
      </c>
      <c r="M6" s="28" t="s">
        <v>287</v>
      </c>
      <c r="N6" s="28" t="s">
        <v>289</v>
      </c>
      <c r="O6" t="s">
        <v>291</v>
      </c>
      <c r="P6" s="27"/>
      <c r="Q6" s="14"/>
      <c r="R6" s="14"/>
    </row>
    <row r="7" spans="1:18" x14ac:dyDescent="0.3">
      <c r="B7" s="43" t="s">
        <v>277</v>
      </c>
      <c r="C7" s="43">
        <v>17</v>
      </c>
      <c r="D7" s="42" t="str">
        <f>IFERROR(INDEX(tbl거래처[거래처명],MATCH(견적서발급!C7,tbl거래처[거래처코드],0)),"")</f>
        <v>현대약품공업㈜</v>
      </c>
      <c r="E7" s="27" t="s">
        <v>23</v>
      </c>
      <c r="F7" s="27" t="s">
        <v>24</v>
      </c>
      <c r="G7" s="100" t="s">
        <v>279</v>
      </c>
      <c r="H7" s="49">
        <v>41961</v>
      </c>
      <c r="I7" s="49">
        <v>41968</v>
      </c>
      <c r="J7" s="43" t="s">
        <v>25</v>
      </c>
      <c r="K7" s="28">
        <v>1720000</v>
      </c>
      <c r="L7" s="28" t="s">
        <v>281</v>
      </c>
      <c r="M7" s="28" t="s">
        <v>288</v>
      </c>
      <c r="N7" s="28" t="s">
        <v>290</v>
      </c>
      <c r="O7" t="s">
        <v>292</v>
      </c>
      <c r="P7" s="27" t="s">
        <v>389</v>
      </c>
      <c r="Q7" s="14"/>
      <c r="R7" s="14"/>
    </row>
    <row r="8" spans="1:18" x14ac:dyDescent="0.3">
      <c r="B8" s="43" t="s">
        <v>526</v>
      </c>
      <c r="C8" s="43">
        <v>15</v>
      </c>
      <c r="D8" s="42" t="s">
        <v>527</v>
      </c>
      <c r="E8" s="27" t="s">
        <v>528</v>
      </c>
      <c r="F8" s="27" t="s">
        <v>529</v>
      </c>
      <c r="G8" s="100" t="s">
        <v>530</v>
      </c>
      <c r="H8" s="49">
        <v>41961</v>
      </c>
      <c r="I8" s="49">
        <v>41969</v>
      </c>
      <c r="J8" s="43" t="s">
        <v>531</v>
      </c>
      <c r="K8" s="28">
        <v>2765400</v>
      </c>
      <c r="L8" s="28" t="s">
        <v>522</v>
      </c>
      <c r="M8" s="28" t="s">
        <v>524</v>
      </c>
      <c r="N8" s="28" t="s">
        <v>523</v>
      </c>
      <c r="O8" t="s">
        <v>525</v>
      </c>
      <c r="P8" s="27"/>
      <c r="Q8" s="14"/>
      <c r="R8" s="14"/>
    </row>
    <row r="9" spans="1:18" x14ac:dyDescent="0.3">
      <c r="B9" s="43" t="s">
        <v>392</v>
      </c>
      <c r="C9" s="43">
        <v>17</v>
      </c>
      <c r="D9" s="42" t="s">
        <v>22</v>
      </c>
      <c r="E9" s="27" t="s">
        <v>23</v>
      </c>
      <c r="F9" s="27" t="s">
        <v>501</v>
      </c>
      <c r="G9" s="100" t="s">
        <v>362</v>
      </c>
      <c r="H9" s="49">
        <v>41771</v>
      </c>
      <c r="I9" s="49">
        <v>41722</v>
      </c>
      <c r="J9" s="43" t="s">
        <v>502</v>
      </c>
      <c r="K9" s="28">
        <v>1233100</v>
      </c>
      <c r="L9" s="28" t="s">
        <v>503</v>
      </c>
      <c r="M9" s="28" t="s">
        <v>504</v>
      </c>
      <c r="N9" s="28" t="s">
        <v>505</v>
      </c>
      <c r="O9" s="28" t="s">
        <v>506</v>
      </c>
      <c r="P9" s="28"/>
    </row>
    <row r="10" spans="1:18" x14ac:dyDescent="0.3">
      <c r="B10" s="43" t="s">
        <v>512</v>
      </c>
      <c r="C10" s="43">
        <v>24</v>
      </c>
      <c r="D10" s="42" t="s">
        <v>513</v>
      </c>
      <c r="E10" s="27" t="s">
        <v>514</v>
      </c>
      <c r="F10" s="27" t="s">
        <v>515</v>
      </c>
      <c r="G10" s="100" t="s">
        <v>516</v>
      </c>
      <c r="H10" s="49">
        <v>41772</v>
      </c>
      <c r="I10" s="49">
        <v>41787</v>
      </c>
      <c r="J10" s="43" t="s">
        <v>517</v>
      </c>
      <c r="K10" s="28">
        <v>2789622</v>
      </c>
      <c r="L10" s="28" t="s">
        <v>518</v>
      </c>
      <c r="M10" s="28" t="s">
        <v>519</v>
      </c>
      <c r="N10" s="28" t="s">
        <v>520</v>
      </c>
      <c r="O10" s="28" t="s">
        <v>521</v>
      </c>
      <c r="P10" s="28"/>
    </row>
    <row r="11" spans="1:18" x14ac:dyDescent="0.3">
      <c r="B11" s="43" t="s">
        <v>535</v>
      </c>
      <c r="C11" s="43">
        <v>19</v>
      </c>
      <c r="D11" s="42" t="s">
        <v>536</v>
      </c>
      <c r="E11" s="27" t="s">
        <v>537</v>
      </c>
      <c r="F11" s="27" t="s">
        <v>333</v>
      </c>
      <c r="G11" s="100" t="s">
        <v>364</v>
      </c>
      <c r="H11" s="49">
        <v>41687</v>
      </c>
      <c r="I11" s="49">
        <v>41691</v>
      </c>
      <c r="J11" s="43" t="s">
        <v>538</v>
      </c>
      <c r="K11" s="28">
        <v>871200</v>
      </c>
      <c r="L11" s="28" t="s">
        <v>539</v>
      </c>
      <c r="M11" s="28" t="s">
        <v>540</v>
      </c>
      <c r="N11" s="28" t="s">
        <v>541</v>
      </c>
      <c r="O11" s="28" t="s">
        <v>542</v>
      </c>
      <c r="P11" s="28"/>
    </row>
  </sheetData>
  <phoneticPr fontId="1" type="noConversion"/>
  <pageMargins left="0.75" right="0.75" top="1" bottom="1" header="0.5" footer="0.5"/>
  <pageSetup paperSize="9"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A1:H32"/>
  <sheetViews>
    <sheetView showGridLines="0" workbookViewId="0">
      <pane ySplit="5" topLeftCell="A6" activePane="bottomLeft" state="frozen"/>
      <selection activeCell="B15" sqref="B15:D15"/>
      <selection pane="bottomLeft" activeCell="K33" sqref="K33"/>
    </sheetView>
  </sheetViews>
  <sheetFormatPr defaultRowHeight="13.5" x14ac:dyDescent="0.3"/>
  <cols>
    <col min="1" max="1" width="1.375" style="14" customWidth="1"/>
    <col min="2" max="2" width="11.125" style="14" customWidth="1"/>
    <col min="3" max="3" width="11.25" style="14" customWidth="1"/>
    <col min="4" max="4" width="9.375" style="14" customWidth="1"/>
    <col min="5" max="5" width="31" style="14" customWidth="1"/>
    <col min="6" max="6" width="7.875" style="14" customWidth="1"/>
    <col min="7" max="7" width="7.875" style="24" customWidth="1"/>
    <col min="8" max="255" width="9" style="14"/>
    <col min="256" max="256" width="1.375" style="14" customWidth="1"/>
    <col min="257" max="257" width="13.125" style="14" customWidth="1"/>
    <col min="258" max="258" width="8.75" style="14" customWidth="1"/>
    <col min="259" max="259" width="13.125" style="14" customWidth="1"/>
    <col min="260" max="260" width="31" style="14" customWidth="1"/>
    <col min="261" max="261" width="7.125" style="14" bestFit="1" customWidth="1"/>
    <col min="262" max="262" width="7.25" style="14" bestFit="1" customWidth="1"/>
    <col min="263" max="511" width="9" style="14"/>
    <col min="512" max="512" width="1.375" style="14" customWidth="1"/>
    <col min="513" max="513" width="13.125" style="14" customWidth="1"/>
    <col min="514" max="514" width="8.75" style="14" customWidth="1"/>
    <col min="515" max="515" width="13.125" style="14" customWidth="1"/>
    <col min="516" max="516" width="31" style="14" customWidth="1"/>
    <col min="517" max="517" width="7.125" style="14" bestFit="1" customWidth="1"/>
    <col min="518" max="518" width="7.25" style="14" bestFit="1" customWidth="1"/>
    <col min="519" max="767" width="9" style="14"/>
    <col min="768" max="768" width="1.375" style="14" customWidth="1"/>
    <col min="769" max="769" width="13.125" style="14" customWidth="1"/>
    <col min="770" max="770" width="8.75" style="14" customWidth="1"/>
    <col min="771" max="771" width="13.125" style="14" customWidth="1"/>
    <col min="772" max="772" width="31" style="14" customWidth="1"/>
    <col min="773" max="773" width="7.125" style="14" bestFit="1" customWidth="1"/>
    <col min="774" max="774" width="7.25" style="14" bestFit="1" customWidth="1"/>
    <col min="775" max="1023" width="9" style="14"/>
    <col min="1024" max="1024" width="1.375" style="14" customWidth="1"/>
    <col min="1025" max="1025" width="13.125" style="14" customWidth="1"/>
    <col min="1026" max="1026" width="8.75" style="14" customWidth="1"/>
    <col min="1027" max="1027" width="13.125" style="14" customWidth="1"/>
    <col min="1028" max="1028" width="31" style="14" customWidth="1"/>
    <col min="1029" max="1029" width="7.125" style="14" bestFit="1" customWidth="1"/>
    <col min="1030" max="1030" width="7.25" style="14" bestFit="1" customWidth="1"/>
    <col min="1031" max="1279" width="9" style="14"/>
    <col min="1280" max="1280" width="1.375" style="14" customWidth="1"/>
    <col min="1281" max="1281" width="13.125" style="14" customWidth="1"/>
    <col min="1282" max="1282" width="8.75" style="14" customWidth="1"/>
    <col min="1283" max="1283" width="13.125" style="14" customWidth="1"/>
    <col min="1284" max="1284" width="31" style="14" customWidth="1"/>
    <col min="1285" max="1285" width="7.125" style="14" bestFit="1" customWidth="1"/>
    <col min="1286" max="1286" width="7.25" style="14" bestFit="1" customWidth="1"/>
    <col min="1287" max="1535" width="9" style="14"/>
    <col min="1536" max="1536" width="1.375" style="14" customWidth="1"/>
    <col min="1537" max="1537" width="13.125" style="14" customWidth="1"/>
    <col min="1538" max="1538" width="8.75" style="14" customWidth="1"/>
    <col min="1539" max="1539" width="13.125" style="14" customWidth="1"/>
    <col min="1540" max="1540" width="31" style="14" customWidth="1"/>
    <col min="1541" max="1541" width="7.125" style="14" bestFit="1" customWidth="1"/>
    <col min="1542" max="1542" width="7.25" style="14" bestFit="1" customWidth="1"/>
    <col min="1543" max="1791" width="9" style="14"/>
    <col min="1792" max="1792" width="1.375" style="14" customWidth="1"/>
    <col min="1793" max="1793" width="13.125" style="14" customWidth="1"/>
    <col min="1794" max="1794" width="8.75" style="14" customWidth="1"/>
    <col min="1795" max="1795" width="13.125" style="14" customWidth="1"/>
    <col min="1796" max="1796" width="31" style="14" customWidth="1"/>
    <col min="1797" max="1797" width="7.125" style="14" bestFit="1" customWidth="1"/>
    <col min="1798" max="1798" width="7.25" style="14" bestFit="1" customWidth="1"/>
    <col min="1799" max="2047" width="9" style="14"/>
    <col min="2048" max="2048" width="1.375" style="14" customWidth="1"/>
    <col min="2049" max="2049" width="13.125" style="14" customWidth="1"/>
    <col min="2050" max="2050" width="8.75" style="14" customWidth="1"/>
    <col min="2051" max="2051" width="13.125" style="14" customWidth="1"/>
    <col min="2052" max="2052" width="31" style="14" customWidth="1"/>
    <col min="2053" max="2053" width="7.125" style="14" bestFit="1" customWidth="1"/>
    <col min="2054" max="2054" width="7.25" style="14" bestFit="1" customWidth="1"/>
    <col min="2055" max="2303" width="9" style="14"/>
    <col min="2304" max="2304" width="1.375" style="14" customWidth="1"/>
    <col min="2305" max="2305" width="13.125" style="14" customWidth="1"/>
    <col min="2306" max="2306" width="8.75" style="14" customWidth="1"/>
    <col min="2307" max="2307" width="13.125" style="14" customWidth="1"/>
    <col min="2308" max="2308" width="31" style="14" customWidth="1"/>
    <col min="2309" max="2309" width="7.125" style="14" bestFit="1" customWidth="1"/>
    <col min="2310" max="2310" width="7.25" style="14" bestFit="1" customWidth="1"/>
    <col min="2311" max="2559" width="9" style="14"/>
    <col min="2560" max="2560" width="1.375" style="14" customWidth="1"/>
    <col min="2561" max="2561" width="13.125" style="14" customWidth="1"/>
    <col min="2562" max="2562" width="8.75" style="14" customWidth="1"/>
    <col min="2563" max="2563" width="13.125" style="14" customWidth="1"/>
    <col min="2564" max="2564" width="31" style="14" customWidth="1"/>
    <col min="2565" max="2565" width="7.125" style="14" bestFit="1" customWidth="1"/>
    <col min="2566" max="2566" width="7.25" style="14" bestFit="1" customWidth="1"/>
    <col min="2567" max="2815" width="9" style="14"/>
    <col min="2816" max="2816" width="1.375" style="14" customWidth="1"/>
    <col min="2817" max="2817" width="13.125" style="14" customWidth="1"/>
    <col min="2818" max="2818" width="8.75" style="14" customWidth="1"/>
    <col min="2819" max="2819" width="13.125" style="14" customWidth="1"/>
    <col min="2820" max="2820" width="31" style="14" customWidth="1"/>
    <col min="2821" max="2821" width="7.125" style="14" bestFit="1" customWidth="1"/>
    <col min="2822" max="2822" width="7.25" style="14" bestFit="1" customWidth="1"/>
    <col min="2823" max="3071" width="9" style="14"/>
    <col min="3072" max="3072" width="1.375" style="14" customWidth="1"/>
    <col min="3073" max="3073" width="13.125" style="14" customWidth="1"/>
    <col min="3074" max="3074" width="8.75" style="14" customWidth="1"/>
    <col min="3075" max="3075" width="13.125" style="14" customWidth="1"/>
    <col min="3076" max="3076" width="31" style="14" customWidth="1"/>
    <col min="3077" max="3077" width="7.125" style="14" bestFit="1" customWidth="1"/>
    <col min="3078" max="3078" width="7.25" style="14" bestFit="1" customWidth="1"/>
    <col min="3079" max="3327" width="9" style="14"/>
    <col min="3328" max="3328" width="1.375" style="14" customWidth="1"/>
    <col min="3329" max="3329" width="13.125" style="14" customWidth="1"/>
    <col min="3330" max="3330" width="8.75" style="14" customWidth="1"/>
    <col min="3331" max="3331" width="13.125" style="14" customWidth="1"/>
    <col min="3332" max="3332" width="31" style="14" customWidth="1"/>
    <col min="3333" max="3333" width="7.125" style="14" bestFit="1" customWidth="1"/>
    <col min="3334" max="3334" width="7.25" style="14" bestFit="1" customWidth="1"/>
    <col min="3335" max="3583" width="9" style="14"/>
    <col min="3584" max="3584" width="1.375" style="14" customWidth="1"/>
    <col min="3585" max="3585" width="13.125" style="14" customWidth="1"/>
    <col min="3586" max="3586" width="8.75" style="14" customWidth="1"/>
    <col min="3587" max="3587" width="13.125" style="14" customWidth="1"/>
    <col min="3588" max="3588" width="31" style="14" customWidth="1"/>
    <col min="3589" max="3589" width="7.125" style="14" bestFit="1" customWidth="1"/>
    <col min="3590" max="3590" width="7.25" style="14" bestFit="1" customWidth="1"/>
    <col min="3591" max="3839" width="9" style="14"/>
    <col min="3840" max="3840" width="1.375" style="14" customWidth="1"/>
    <col min="3841" max="3841" width="13.125" style="14" customWidth="1"/>
    <col min="3842" max="3842" width="8.75" style="14" customWidth="1"/>
    <col min="3843" max="3843" width="13.125" style="14" customWidth="1"/>
    <col min="3844" max="3844" width="31" style="14" customWidth="1"/>
    <col min="3845" max="3845" width="7.125" style="14" bestFit="1" customWidth="1"/>
    <col min="3846" max="3846" width="7.25" style="14" bestFit="1" customWidth="1"/>
    <col min="3847" max="4095" width="9" style="14"/>
    <col min="4096" max="4096" width="1.375" style="14" customWidth="1"/>
    <col min="4097" max="4097" width="13.125" style="14" customWidth="1"/>
    <col min="4098" max="4098" width="8.75" style="14" customWidth="1"/>
    <col min="4099" max="4099" width="13.125" style="14" customWidth="1"/>
    <col min="4100" max="4100" width="31" style="14" customWidth="1"/>
    <col min="4101" max="4101" width="7.125" style="14" bestFit="1" customWidth="1"/>
    <col min="4102" max="4102" width="7.25" style="14" bestFit="1" customWidth="1"/>
    <col min="4103" max="4351" width="9" style="14"/>
    <col min="4352" max="4352" width="1.375" style="14" customWidth="1"/>
    <col min="4353" max="4353" width="13.125" style="14" customWidth="1"/>
    <col min="4354" max="4354" width="8.75" style="14" customWidth="1"/>
    <col min="4355" max="4355" width="13.125" style="14" customWidth="1"/>
    <col min="4356" max="4356" width="31" style="14" customWidth="1"/>
    <col min="4357" max="4357" width="7.125" style="14" bestFit="1" customWidth="1"/>
    <col min="4358" max="4358" width="7.25" style="14" bestFit="1" customWidth="1"/>
    <col min="4359" max="4607" width="9" style="14"/>
    <col min="4608" max="4608" width="1.375" style="14" customWidth="1"/>
    <col min="4609" max="4609" width="13.125" style="14" customWidth="1"/>
    <col min="4610" max="4610" width="8.75" style="14" customWidth="1"/>
    <col min="4611" max="4611" width="13.125" style="14" customWidth="1"/>
    <col min="4612" max="4612" width="31" style="14" customWidth="1"/>
    <col min="4613" max="4613" width="7.125" style="14" bestFit="1" customWidth="1"/>
    <col min="4614" max="4614" width="7.25" style="14" bestFit="1" customWidth="1"/>
    <col min="4615" max="4863" width="9" style="14"/>
    <col min="4864" max="4864" width="1.375" style="14" customWidth="1"/>
    <col min="4865" max="4865" width="13.125" style="14" customWidth="1"/>
    <col min="4866" max="4866" width="8.75" style="14" customWidth="1"/>
    <col min="4867" max="4867" width="13.125" style="14" customWidth="1"/>
    <col min="4868" max="4868" width="31" style="14" customWidth="1"/>
    <col min="4869" max="4869" width="7.125" style="14" bestFit="1" customWidth="1"/>
    <col min="4870" max="4870" width="7.25" style="14" bestFit="1" customWidth="1"/>
    <col min="4871" max="5119" width="9" style="14"/>
    <col min="5120" max="5120" width="1.375" style="14" customWidth="1"/>
    <col min="5121" max="5121" width="13.125" style="14" customWidth="1"/>
    <col min="5122" max="5122" width="8.75" style="14" customWidth="1"/>
    <col min="5123" max="5123" width="13.125" style="14" customWidth="1"/>
    <col min="5124" max="5124" width="31" style="14" customWidth="1"/>
    <col min="5125" max="5125" width="7.125" style="14" bestFit="1" customWidth="1"/>
    <col min="5126" max="5126" width="7.25" style="14" bestFit="1" customWidth="1"/>
    <col min="5127" max="5375" width="9" style="14"/>
    <col min="5376" max="5376" width="1.375" style="14" customWidth="1"/>
    <col min="5377" max="5377" width="13.125" style="14" customWidth="1"/>
    <col min="5378" max="5378" width="8.75" style="14" customWidth="1"/>
    <col min="5379" max="5379" width="13.125" style="14" customWidth="1"/>
    <col min="5380" max="5380" width="31" style="14" customWidth="1"/>
    <col min="5381" max="5381" width="7.125" style="14" bestFit="1" customWidth="1"/>
    <col min="5382" max="5382" width="7.25" style="14" bestFit="1" customWidth="1"/>
    <col min="5383" max="5631" width="9" style="14"/>
    <col min="5632" max="5632" width="1.375" style="14" customWidth="1"/>
    <col min="5633" max="5633" width="13.125" style="14" customWidth="1"/>
    <col min="5634" max="5634" width="8.75" style="14" customWidth="1"/>
    <col min="5635" max="5635" width="13.125" style="14" customWidth="1"/>
    <col min="5636" max="5636" width="31" style="14" customWidth="1"/>
    <col min="5637" max="5637" width="7.125" style="14" bestFit="1" customWidth="1"/>
    <col min="5638" max="5638" width="7.25" style="14" bestFit="1" customWidth="1"/>
    <col min="5639" max="5887" width="9" style="14"/>
    <col min="5888" max="5888" width="1.375" style="14" customWidth="1"/>
    <col min="5889" max="5889" width="13.125" style="14" customWidth="1"/>
    <col min="5890" max="5890" width="8.75" style="14" customWidth="1"/>
    <col min="5891" max="5891" width="13.125" style="14" customWidth="1"/>
    <col min="5892" max="5892" width="31" style="14" customWidth="1"/>
    <col min="5893" max="5893" width="7.125" style="14" bestFit="1" customWidth="1"/>
    <col min="5894" max="5894" width="7.25" style="14" bestFit="1" customWidth="1"/>
    <col min="5895" max="6143" width="9" style="14"/>
    <col min="6144" max="6144" width="1.375" style="14" customWidth="1"/>
    <col min="6145" max="6145" width="13.125" style="14" customWidth="1"/>
    <col min="6146" max="6146" width="8.75" style="14" customWidth="1"/>
    <col min="6147" max="6147" width="13.125" style="14" customWidth="1"/>
    <col min="6148" max="6148" width="31" style="14" customWidth="1"/>
    <col min="6149" max="6149" width="7.125" style="14" bestFit="1" customWidth="1"/>
    <col min="6150" max="6150" width="7.25" style="14" bestFit="1" customWidth="1"/>
    <col min="6151" max="6399" width="9" style="14"/>
    <col min="6400" max="6400" width="1.375" style="14" customWidth="1"/>
    <col min="6401" max="6401" width="13.125" style="14" customWidth="1"/>
    <col min="6402" max="6402" width="8.75" style="14" customWidth="1"/>
    <col min="6403" max="6403" width="13.125" style="14" customWidth="1"/>
    <col min="6404" max="6404" width="31" style="14" customWidth="1"/>
    <col min="6405" max="6405" width="7.125" style="14" bestFit="1" customWidth="1"/>
    <col min="6406" max="6406" width="7.25" style="14" bestFit="1" customWidth="1"/>
    <col min="6407" max="6655" width="9" style="14"/>
    <col min="6656" max="6656" width="1.375" style="14" customWidth="1"/>
    <col min="6657" max="6657" width="13.125" style="14" customWidth="1"/>
    <col min="6658" max="6658" width="8.75" style="14" customWidth="1"/>
    <col min="6659" max="6659" width="13.125" style="14" customWidth="1"/>
    <col min="6660" max="6660" width="31" style="14" customWidth="1"/>
    <col min="6661" max="6661" width="7.125" style="14" bestFit="1" customWidth="1"/>
    <col min="6662" max="6662" width="7.25" style="14" bestFit="1" customWidth="1"/>
    <col min="6663" max="6911" width="9" style="14"/>
    <col min="6912" max="6912" width="1.375" style="14" customWidth="1"/>
    <col min="6913" max="6913" width="13.125" style="14" customWidth="1"/>
    <col min="6914" max="6914" width="8.75" style="14" customWidth="1"/>
    <col min="6915" max="6915" width="13.125" style="14" customWidth="1"/>
    <col min="6916" max="6916" width="31" style="14" customWidth="1"/>
    <col min="6917" max="6917" width="7.125" style="14" bestFit="1" customWidth="1"/>
    <col min="6918" max="6918" width="7.25" style="14" bestFit="1" customWidth="1"/>
    <col min="6919" max="7167" width="9" style="14"/>
    <col min="7168" max="7168" width="1.375" style="14" customWidth="1"/>
    <col min="7169" max="7169" width="13.125" style="14" customWidth="1"/>
    <col min="7170" max="7170" width="8.75" style="14" customWidth="1"/>
    <col min="7171" max="7171" width="13.125" style="14" customWidth="1"/>
    <col min="7172" max="7172" width="31" style="14" customWidth="1"/>
    <col min="7173" max="7173" width="7.125" style="14" bestFit="1" customWidth="1"/>
    <col min="7174" max="7174" width="7.25" style="14" bestFit="1" customWidth="1"/>
    <col min="7175" max="7423" width="9" style="14"/>
    <col min="7424" max="7424" width="1.375" style="14" customWidth="1"/>
    <col min="7425" max="7425" width="13.125" style="14" customWidth="1"/>
    <col min="7426" max="7426" width="8.75" style="14" customWidth="1"/>
    <col min="7427" max="7427" width="13.125" style="14" customWidth="1"/>
    <col min="7428" max="7428" width="31" style="14" customWidth="1"/>
    <col min="7429" max="7429" width="7.125" style="14" bestFit="1" customWidth="1"/>
    <col min="7430" max="7430" width="7.25" style="14" bestFit="1" customWidth="1"/>
    <col min="7431" max="7679" width="9" style="14"/>
    <col min="7680" max="7680" width="1.375" style="14" customWidth="1"/>
    <col min="7681" max="7681" width="13.125" style="14" customWidth="1"/>
    <col min="7682" max="7682" width="8.75" style="14" customWidth="1"/>
    <col min="7683" max="7683" width="13.125" style="14" customWidth="1"/>
    <col min="7684" max="7684" width="31" style="14" customWidth="1"/>
    <col min="7685" max="7685" width="7.125" style="14" bestFit="1" customWidth="1"/>
    <col min="7686" max="7686" width="7.25" style="14" bestFit="1" customWidth="1"/>
    <col min="7687" max="7935" width="9" style="14"/>
    <col min="7936" max="7936" width="1.375" style="14" customWidth="1"/>
    <col min="7937" max="7937" width="13.125" style="14" customWidth="1"/>
    <col min="7938" max="7938" width="8.75" style="14" customWidth="1"/>
    <col min="7939" max="7939" width="13.125" style="14" customWidth="1"/>
    <col min="7940" max="7940" width="31" style="14" customWidth="1"/>
    <col min="7941" max="7941" width="7.125" style="14" bestFit="1" customWidth="1"/>
    <col min="7942" max="7942" width="7.25" style="14" bestFit="1" customWidth="1"/>
    <col min="7943" max="8191" width="9" style="14"/>
    <col min="8192" max="8192" width="1.375" style="14" customWidth="1"/>
    <col min="8193" max="8193" width="13.125" style="14" customWidth="1"/>
    <col min="8194" max="8194" width="8.75" style="14" customWidth="1"/>
    <col min="8195" max="8195" width="13.125" style="14" customWidth="1"/>
    <col min="8196" max="8196" width="31" style="14" customWidth="1"/>
    <col min="8197" max="8197" width="7.125" style="14" bestFit="1" customWidth="1"/>
    <col min="8198" max="8198" width="7.25" style="14" bestFit="1" customWidth="1"/>
    <col min="8199" max="8447" width="9" style="14"/>
    <col min="8448" max="8448" width="1.375" style="14" customWidth="1"/>
    <col min="8449" max="8449" width="13.125" style="14" customWidth="1"/>
    <col min="8450" max="8450" width="8.75" style="14" customWidth="1"/>
    <col min="8451" max="8451" width="13.125" style="14" customWidth="1"/>
    <col min="8452" max="8452" width="31" style="14" customWidth="1"/>
    <col min="8453" max="8453" width="7.125" style="14" bestFit="1" customWidth="1"/>
    <col min="8454" max="8454" width="7.25" style="14" bestFit="1" customWidth="1"/>
    <col min="8455" max="8703" width="9" style="14"/>
    <col min="8704" max="8704" width="1.375" style="14" customWidth="1"/>
    <col min="8705" max="8705" width="13.125" style="14" customWidth="1"/>
    <col min="8706" max="8706" width="8.75" style="14" customWidth="1"/>
    <col min="8707" max="8707" width="13.125" style="14" customWidth="1"/>
    <col min="8708" max="8708" width="31" style="14" customWidth="1"/>
    <col min="8709" max="8709" width="7.125" style="14" bestFit="1" customWidth="1"/>
    <col min="8710" max="8710" width="7.25" style="14" bestFit="1" customWidth="1"/>
    <col min="8711" max="8959" width="9" style="14"/>
    <col min="8960" max="8960" width="1.375" style="14" customWidth="1"/>
    <col min="8961" max="8961" width="13.125" style="14" customWidth="1"/>
    <col min="8962" max="8962" width="8.75" style="14" customWidth="1"/>
    <col min="8963" max="8963" width="13.125" style="14" customWidth="1"/>
    <col min="8964" max="8964" width="31" style="14" customWidth="1"/>
    <col min="8965" max="8965" width="7.125" style="14" bestFit="1" customWidth="1"/>
    <col min="8966" max="8966" width="7.25" style="14" bestFit="1" customWidth="1"/>
    <col min="8967" max="9215" width="9" style="14"/>
    <col min="9216" max="9216" width="1.375" style="14" customWidth="1"/>
    <col min="9217" max="9217" width="13.125" style="14" customWidth="1"/>
    <col min="9218" max="9218" width="8.75" style="14" customWidth="1"/>
    <col min="9219" max="9219" width="13.125" style="14" customWidth="1"/>
    <col min="9220" max="9220" width="31" style="14" customWidth="1"/>
    <col min="9221" max="9221" width="7.125" style="14" bestFit="1" customWidth="1"/>
    <col min="9222" max="9222" width="7.25" style="14" bestFit="1" customWidth="1"/>
    <col min="9223" max="9471" width="9" style="14"/>
    <col min="9472" max="9472" width="1.375" style="14" customWidth="1"/>
    <col min="9473" max="9473" width="13.125" style="14" customWidth="1"/>
    <col min="9474" max="9474" width="8.75" style="14" customWidth="1"/>
    <col min="9475" max="9475" width="13.125" style="14" customWidth="1"/>
    <col min="9476" max="9476" width="31" style="14" customWidth="1"/>
    <col min="9477" max="9477" width="7.125" style="14" bestFit="1" customWidth="1"/>
    <col min="9478" max="9478" width="7.25" style="14" bestFit="1" customWidth="1"/>
    <col min="9479" max="9727" width="9" style="14"/>
    <col min="9728" max="9728" width="1.375" style="14" customWidth="1"/>
    <col min="9729" max="9729" width="13.125" style="14" customWidth="1"/>
    <col min="9730" max="9730" width="8.75" style="14" customWidth="1"/>
    <col min="9731" max="9731" width="13.125" style="14" customWidth="1"/>
    <col min="9732" max="9732" width="31" style="14" customWidth="1"/>
    <col min="9733" max="9733" width="7.125" style="14" bestFit="1" customWidth="1"/>
    <col min="9734" max="9734" width="7.25" style="14" bestFit="1" customWidth="1"/>
    <col min="9735" max="9983" width="9" style="14"/>
    <col min="9984" max="9984" width="1.375" style="14" customWidth="1"/>
    <col min="9985" max="9985" width="13.125" style="14" customWidth="1"/>
    <col min="9986" max="9986" width="8.75" style="14" customWidth="1"/>
    <col min="9987" max="9987" width="13.125" style="14" customWidth="1"/>
    <col min="9988" max="9988" width="31" style="14" customWidth="1"/>
    <col min="9989" max="9989" width="7.125" style="14" bestFit="1" customWidth="1"/>
    <col min="9990" max="9990" width="7.25" style="14" bestFit="1" customWidth="1"/>
    <col min="9991" max="10239" width="9" style="14"/>
    <col min="10240" max="10240" width="1.375" style="14" customWidth="1"/>
    <col min="10241" max="10241" width="13.125" style="14" customWidth="1"/>
    <col min="10242" max="10242" width="8.75" style="14" customWidth="1"/>
    <col min="10243" max="10243" width="13.125" style="14" customWidth="1"/>
    <col min="10244" max="10244" width="31" style="14" customWidth="1"/>
    <col min="10245" max="10245" width="7.125" style="14" bestFit="1" customWidth="1"/>
    <col min="10246" max="10246" width="7.25" style="14" bestFit="1" customWidth="1"/>
    <col min="10247" max="10495" width="9" style="14"/>
    <col min="10496" max="10496" width="1.375" style="14" customWidth="1"/>
    <col min="10497" max="10497" width="13.125" style="14" customWidth="1"/>
    <col min="10498" max="10498" width="8.75" style="14" customWidth="1"/>
    <col min="10499" max="10499" width="13.125" style="14" customWidth="1"/>
    <col min="10500" max="10500" width="31" style="14" customWidth="1"/>
    <col min="10501" max="10501" width="7.125" style="14" bestFit="1" customWidth="1"/>
    <col min="10502" max="10502" width="7.25" style="14" bestFit="1" customWidth="1"/>
    <col min="10503" max="10751" width="9" style="14"/>
    <col min="10752" max="10752" width="1.375" style="14" customWidth="1"/>
    <col min="10753" max="10753" width="13.125" style="14" customWidth="1"/>
    <col min="10754" max="10754" width="8.75" style="14" customWidth="1"/>
    <col min="10755" max="10755" width="13.125" style="14" customWidth="1"/>
    <col min="10756" max="10756" width="31" style="14" customWidth="1"/>
    <col min="10757" max="10757" width="7.125" style="14" bestFit="1" customWidth="1"/>
    <col min="10758" max="10758" width="7.25" style="14" bestFit="1" customWidth="1"/>
    <col min="10759" max="11007" width="9" style="14"/>
    <col min="11008" max="11008" width="1.375" style="14" customWidth="1"/>
    <col min="11009" max="11009" width="13.125" style="14" customWidth="1"/>
    <col min="11010" max="11010" width="8.75" style="14" customWidth="1"/>
    <col min="11011" max="11011" width="13.125" style="14" customWidth="1"/>
    <col min="11012" max="11012" width="31" style="14" customWidth="1"/>
    <col min="11013" max="11013" width="7.125" style="14" bestFit="1" customWidth="1"/>
    <col min="11014" max="11014" width="7.25" style="14" bestFit="1" customWidth="1"/>
    <col min="11015" max="11263" width="9" style="14"/>
    <col min="11264" max="11264" width="1.375" style="14" customWidth="1"/>
    <col min="11265" max="11265" width="13.125" style="14" customWidth="1"/>
    <col min="11266" max="11266" width="8.75" style="14" customWidth="1"/>
    <col min="11267" max="11267" width="13.125" style="14" customWidth="1"/>
    <col min="11268" max="11268" width="31" style="14" customWidth="1"/>
    <col min="11269" max="11269" width="7.125" style="14" bestFit="1" customWidth="1"/>
    <col min="11270" max="11270" width="7.25" style="14" bestFit="1" customWidth="1"/>
    <col min="11271" max="11519" width="9" style="14"/>
    <col min="11520" max="11520" width="1.375" style="14" customWidth="1"/>
    <col min="11521" max="11521" width="13.125" style="14" customWidth="1"/>
    <col min="11522" max="11522" width="8.75" style="14" customWidth="1"/>
    <col min="11523" max="11523" width="13.125" style="14" customWidth="1"/>
    <col min="11524" max="11524" width="31" style="14" customWidth="1"/>
    <col min="11525" max="11525" width="7.125" style="14" bestFit="1" customWidth="1"/>
    <col min="11526" max="11526" width="7.25" style="14" bestFit="1" customWidth="1"/>
    <col min="11527" max="11775" width="9" style="14"/>
    <col min="11776" max="11776" width="1.375" style="14" customWidth="1"/>
    <col min="11777" max="11777" width="13.125" style="14" customWidth="1"/>
    <col min="11778" max="11778" width="8.75" style="14" customWidth="1"/>
    <col min="11779" max="11779" width="13.125" style="14" customWidth="1"/>
    <col min="11780" max="11780" width="31" style="14" customWidth="1"/>
    <col min="11781" max="11781" width="7.125" style="14" bestFit="1" customWidth="1"/>
    <col min="11782" max="11782" width="7.25" style="14" bestFit="1" customWidth="1"/>
    <col min="11783" max="12031" width="9" style="14"/>
    <col min="12032" max="12032" width="1.375" style="14" customWidth="1"/>
    <col min="12033" max="12033" width="13.125" style="14" customWidth="1"/>
    <col min="12034" max="12034" width="8.75" style="14" customWidth="1"/>
    <col min="12035" max="12035" width="13.125" style="14" customWidth="1"/>
    <col min="12036" max="12036" width="31" style="14" customWidth="1"/>
    <col min="12037" max="12037" width="7.125" style="14" bestFit="1" customWidth="1"/>
    <col min="12038" max="12038" width="7.25" style="14" bestFit="1" customWidth="1"/>
    <col min="12039" max="12287" width="9" style="14"/>
    <col min="12288" max="12288" width="1.375" style="14" customWidth="1"/>
    <col min="12289" max="12289" width="13.125" style="14" customWidth="1"/>
    <col min="12290" max="12290" width="8.75" style="14" customWidth="1"/>
    <col min="12291" max="12291" width="13.125" style="14" customWidth="1"/>
    <col min="12292" max="12292" width="31" style="14" customWidth="1"/>
    <col min="12293" max="12293" width="7.125" style="14" bestFit="1" customWidth="1"/>
    <col min="12294" max="12294" width="7.25" style="14" bestFit="1" customWidth="1"/>
    <col min="12295" max="12543" width="9" style="14"/>
    <col min="12544" max="12544" width="1.375" style="14" customWidth="1"/>
    <col min="12545" max="12545" width="13.125" style="14" customWidth="1"/>
    <col min="12546" max="12546" width="8.75" style="14" customWidth="1"/>
    <col min="12547" max="12547" width="13.125" style="14" customWidth="1"/>
    <col min="12548" max="12548" width="31" style="14" customWidth="1"/>
    <col min="12549" max="12549" width="7.125" style="14" bestFit="1" customWidth="1"/>
    <col min="12550" max="12550" width="7.25" style="14" bestFit="1" customWidth="1"/>
    <col min="12551" max="12799" width="9" style="14"/>
    <col min="12800" max="12800" width="1.375" style="14" customWidth="1"/>
    <col min="12801" max="12801" width="13.125" style="14" customWidth="1"/>
    <col min="12802" max="12802" width="8.75" style="14" customWidth="1"/>
    <col min="12803" max="12803" width="13.125" style="14" customWidth="1"/>
    <col min="12804" max="12804" width="31" style="14" customWidth="1"/>
    <col min="12805" max="12805" width="7.125" style="14" bestFit="1" customWidth="1"/>
    <col min="12806" max="12806" width="7.25" style="14" bestFit="1" customWidth="1"/>
    <col min="12807" max="13055" width="9" style="14"/>
    <col min="13056" max="13056" width="1.375" style="14" customWidth="1"/>
    <col min="13057" max="13057" width="13.125" style="14" customWidth="1"/>
    <col min="13058" max="13058" width="8.75" style="14" customWidth="1"/>
    <col min="13059" max="13059" width="13.125" style="14" customWidth="1"/>
    <col min="13060" max="13060" width="31" style="14" customWidth="1"/>
    <col min="13061" max="13061" width="7.125" style="14" bestFit="1" customWidth="1"/>
    <col min="13062" max="13062" width="7.25" style="14" bestFit="1" customWidth="1"/>
    <col min="13063" max="13311" width="9" style="14"/>
    <col min="13312" max="13312" width="1.375" style="14" customWidth="1"/>
    <col min="13313" max="13313" width="13.125" style="14" customWidth="1"/>
    <col min="13314" max="13314" width="8.75" style="14" customWidth="1"/>
    <col min="13315" max="13315" width="13.125" style="14" customWidth="1"/>
    <col min="13316" max="13316" width="31" style="14" customWidth="1"/>
    <col min="13317" max="13317" width="7.125" style="14" bestFit="1" customWidth="1"/>
    <col min="13318" max="13318" width="7.25" style="14" bestFit="1" customWidth="1"/>
    <col min="13319" max="13567" width="9" style="14"/>
    <col min="13568" max="13568" width="1.375" style="14" customWidth="1"/>
    <col min="13569" max="13569" width="13.125" style="14" customWidth="1"/>
    <col min="13570" max="13570" width="8.75" style="14" customWidth="1"/>
    <col min="13571" max="13571" width="13.125" style="14" customWidth="1"/>
    <col min="13572" max="13572" width="31" style="14" customWidth="1"/>
    <col min="13573" max="13573" width="7.125" style="14" bestFit="1" customWidth="1"/>
    <col min="13574" max="13574" width="7.25" style="14" bestFit="1" customWidth="1"/>
    <col min="13575" max="13823" width="9" style="14"/>
    <col min="13824" max="13824" width="1.375" style="14" customWidth="1"/>
    <col min="13825" max="13825" width="13.125" style="14" customWidth="1"/>
    <col min="13826" max="13826" width="8.75" style="14" customWidth="1"/>
    <col min="13827" max="13827" width="13.125" style="14" customWidth="1"/>
    <col min="13828" max="13828" width="31" style="14" customWidth="1"/>
    <col min="13829" max="13829" width="7.125" style="14" bestFit="1" customWidth="1"/>
    <col min="13830" max="13830" width="7.25" style="14" bestFit="1" customWidth="1"/>
    <col min="13831" max="14079" width="9" style="14"/>
    <col min="14080" max="14080" width="1.375" style="14" customWidth="1"/>
    <col min="14081" max="14081" width="13.125" style="14" customWidth="1"/>
    <col min="14082" max="14082" width="8.75" style="14" customWidth="1"/>
    <col min="14083" max="14083" width="13.125" style="14" customWidth="1"/>
    <col min="14084" max="14084" width="31" style="14" customWidth="1"/>
    <col min="14085" max="14085" width="7.125" style="14" bestFit="1" customWidth="1"/>
    <col min="14086" max="14086" width="7.25" style="14" bestFit="1" customWidth="1"/>
    <col min="14087" max="14335" width="9" style="14"/>
    <col min="14336" max="14336" width="1.375" style="14" customWidth="1"/>
    <col min="14337" max="14337" width="13.125" style="14" customWidth="1"/>
    <col min="14338" max="14338" width="8.75" style="14" customWidth="1"/>
    <col min="14339" max="14339" width="13.125" style="14" customWidth="1"/>
    <col min="14340" max="14340" width="31" style="14" customWidth="1"/>
    <col min="14341" max="14341" width="7.125" style="14" bestFit="1" customWidth="1"/>
    <col min="14342" max="14342" width="7.25" style="14" bestFit="1" customWidth="1"/>
    <col min="14343" max="14591" width="9" style="14"/>
    <col min="14592" max="14592" width="1.375" style="14" customWidth="1"/>
    <col min="14593" max="14593" width="13.125" style="14" customWidth="1"/>
    <col min="14594" max="14594" width="8.75" style="14" customWidth="1"/>
    <col min="14595" max="14595" width="13.125" style="14" customWidth="1"/>
    <col min="14596" max="14596" width="31" style="14" customWidth="1"/>
    <col min="14597" max="14597" width="7.125" style="14" bestFit="1" customWidth="1"/>
    <col min="14598" max="14598" width="7.25" style="14" bestFit="1" customWidth="1"/>
    <col min="14599" max="14847" width="9" style="14"/>
    <col min="14848" max="14848" width="1.375" style="14" customWidth="1"/>
    <col min="14849" max="14849" width="13.125" style="14" customWidth="1"/>
    <col min="14850" max="14850" width="8.75" style="14" customWidth="1"/>
    <col min="14851" max="14851" width="13.125" style="14" customWidth="1"/>
    <col min="14852" max="14852" width="31" style="14" customWidth="1"/>
    <col min="14853" max="14853" width="7.125" style="14" bestFit="1" customWidth="1"/>
    <col min="14854" max="14854" width="7.25" style="14" bestFit="1" customWidth="1"/>
    <col min="14855" max="15103" width="9" style="14"/>
    <col min="15104" max="15104" width="1.375" style="14" customWidth="1"/>
    <col min="15105" max="15105" width="13.125" style="14" customWidth="1"/>
    <col min="15106" max="15106" width="8.75" style="14" customWidth="1"/>
    <col min="15107" max="15107" width="13.125" style="14" customWidth="1"/>
    <col min="15108" max="15108" width="31" style="14" customWidth="1"/>
    <col min="15109" max="15109" width="7.125" style="14" bestFit="1" customWidth="1"/>
    <col min="15110" max="15110" width="7.25" style="14" bestFit="1" customWidth="1"/>
    <col min="15111" max="15359" width="9" style="14"/>
    <col min="15360" max="15360" width="1.375" style="14" customWidth="1"/>
    <col min="15361" max="15361" width="13.125" style="14" customWidth="1"/>
    <col min="15362" max="15362" width="8.75" style="14" customWidth="1"/>
    <col min="15363" max="15363" width="13.125" style="14" customWidth="1"/>
    <col min="15364" max="15364" width="31" style="14" customWidth="1"/>
    <col min="15365" max="15365" width="7.125" style="14" bestFit="1" customWidth="1"/>
    <col min="15366" max="15366" width="7.25" style="14" bestFit="1" customWidth="1"/>
    <col min="15367" max="15615" width="9" style="14"/>
    <col min="15616" max="15616" width="1.375" style="14" customWidth="1"/>
    <col min="15617" max="15617" width="13.125" style="14" customWidth="1"/>
    <col min="15618" max="15618" width="8.75" style="14" customWidth="1"/>
    <col min="15619" max="15619" width="13.125" style="14" customWidth="1"/>
    <col min="15620" max="15620" width="31" style="14" customWidth="1"/>
    <col min="15621" max="15621" width="7.125" style="14" bestFit="1" customWidth="1"/>
    <col min="15622" max="15622" width="7.25" style="14" bestFit="1" customWidth="1"/>
    <col min="15623" max="15871" width="9" style="14"/>
    <col min="15872" max="15872" width="1.375" style="14" customWidth="1"/>
    <col min="15873" max="15873" width="13.125" style="14" customWidth="1"/>
    <col min="15874" max="15874" width="8.75" style="14" customWidth="1"/>
    <col min="15875" max="15875" width="13.125" style="14" customWidth="1"/>
    <col min="15876" max="15876" width="31" style="14" customWidth="1"/>
    <col min="15877" max="15877" width="7.125" style="14" bestFit="1" customWidth="1"/>
    <col min="15878" max="15878" width="7.25" style="14" bestFit="1" customWidth="1"/>
    <col min="15879" max="16127" width="9" style="14"/>
    <col min="16128" max="16128" width="1.375" style="14" customWidth="1"/>
    <col min="16129" max="16129" width="13.125" style="14" customWidth="1"/>
    <col min="16130" max="16130" width="8.75" style="14" customWidth="1"/>
    <col min="16131" max="16131" width="13.125" style="14" customWidth="1"/>
    <col min="16132" max="16132" width="31" style="14" customWidth="1"/>
    <col min="16133" max="16133" width="7.125" style="14" bestFit="1" customWidth="1"/>
    <col min="16134" max="16134" width="7.25" style="14" bestFit="1" customWidth="1"/>
    <col min="16135" max="16384" width="9" style="14"/>
  </cols>
  <sheetData>
    <row r="1" spans="1:8" x14ac:dyDescent="0.3">
      <c r="A1" s="25" t="s">
        <v>41</v>
      </c>
      <c r="B1" s="25"/>
      <c r="C1" s="25" t="s">
        <v>26</v>
      </c>
    </row>
    <row r="2" spans="1:8" x14ac:dyDescent="0.3">
      <c r="A2" s="25" t="s">
        <v>241</v>
      </c>
      <c r="B2" s="25"/>
      <c r="C2" s="26" t="s">
        <v>27</v>
      </c>
    </row>
    <row r="3" spans="1:8" x14ac:dyDescent="0.3">
      <c r="A3" s="25" t="s">
        <v>242</v>
      </c>
      <c r="B3" s="25"/>
      <c r="C3" s="27" t="s">
        <v>250</v>
      </c>
      <c r="D3" s="27"/>
      <c r="E3" s="27"/>
      <c r="F3" s="27"/>
      <c r="G3" s="28"/>
    </row>
    <row r="4" spans="1:8" x14ac:dyDescent="0.3">
      <c r="A4" s="29"/>
      <c r="B4" s="29"/>
      <c r="C4" s="29"/>
      <c r="D4" s="29"/>
      <c r="E4" s="30"/>
      <c r="F4" s="29"/>
      <c r="G4" s="31"/>
    </row>
    <row r="5" spans="1:8" ht="20.100000000000001" customHeight="1" x14ac:dyDescent="0.3">
      <c r="A5" s="29"/>
      <c r="B5" s="64" t="s">
        <v>387</v>
      </c>
      <c r="C5" s="79" t="s">
        <v>252</v>
      </c>
      <c r="D5" s="51" t="s">
        <v>249</v>
      </c>
      <c r="E5" s="51" t="s">
        <v>29</v>
      </c>
      <c r="F5" s="51" t="s">
        <v>30</v>
      </c>
      <c r="G5" s="80" t="s">
        <v>31</v>
      </c>
      <c r="H5" s="51" t="s">
        <v>261</v>
      </c>
    </row>
    <row r="6" spans="1:8" x14ac:dyDescent="0.3">
      <c r="B6" s="43" t="s">
        <v>276</v>
      </c>
      <c r="C6" s="43">
        <v>1</v>
      </c>
      <c r="D6" s="27" t="s">
        <v>32</v>
      </c>
      <c r="E6" s="42" t="str">
        <f>IFERROR(INDEX(tbl제품[품목],MATCH(tbl견적서세부[[#This Row],[품목코드]],tbl제품[품목코드],0)),"")</f>
        <v>비주얼베이직 6.0 기능 완전 정복</v>
      </c>
      <c r="F6" s="27">
        <v>10</v>
      </c>
      <c r="G6" s="50">
        <f>IFERROR(INDEX(tbl제품[단가],MATCH(tbl견적서세부[[#This Row],[품목코드]],tbl제품[품목코드],0)),"")</f>
        <v>18000</v>
      </c>
      <c r="H6" s="27" t="s">
        <v>264</v>
      </c>
    </row>
    <row r="7" spans="1:8" x14ac:dyDescent="0.3">
      <c r="B7" s="43" t="s">
        <v>276</v>
      </c>
      <c r="C7" s="43">
        <v>2</v>
      </c>
      <c r="D7" s="27" t="s">
        <v>33</v>
      </c>
      <c r="E7" s="42" t="str">
        <f>IFERROR(INDEX(tbl제품[품목],MATCH(tbl견적서세부[[#This Row],[품목코드]],tbl제품[품목코드],0)),"")</f>
        <v>파워포인트 2007 기능 완전 정복</v>
      </c>
      <c r="F7" s="27">
        <v>20</v>
      </c>
      <c r="G7" s="50">
        <f>IFERROR(INDEX(tbl제품[단가],MATCH(tbl견적서세부[[#This Row],[품목코드]],tbl제품[품목코드],0)),"")</f>
        <v>19800</v>
      </c>
      <c r="H7" s="27"/>
    </row>
    <row r="8" spans="1:8" x14ac:dyDescent="0.3">
      <c r="B8" s="43" t="s">
        <v>276</v>
      </c>
      <c r="C8" s="43">
        <v>3</v>
      </c>
      <c r="D8" s="27" t="s">
        <v>34</v>
      </c>
      <c r="E8" s="42" t="str">
        <f>IFERROR(INDEX(tbl제품[품목],MATCH(tbl견적서세부[[#This Row],[품목코드]],tbl제품[품목코드],0)),"")</f>
        <v>장미가족의 내맘대로 포토샵</v>
      </c>
      <c r="F8" s="27">
        <v>10</v>
      </c>
      <c r="G8" s="50">
        <f>IFERROR(INDEX(tbl제품[단가],MATCH(tbl견적서세부[[#This Row],[품목코드]],tbl제품[품목코드],0)),"")</f>
        <v>25000</v>
      </c>
      <c r="H8" s="27"/>
    </row>
    <row r="9" spans="1:8" x14ac:dyDescent="0.3">
      <c r="B9" s="43" t="s">
        <v>276</v>
      </c>
      <c r="C9" s="43">
        <v>4</v>
      </c>
      <c r="D9" s="27" t="s">
        <v>35</v>
      </c>
      <c r="E9" s="42" t="str">
        <f>IFERROR(INDEX(tbl제품[품목],MATCH(tbl견적서세부[[#This Row],[품목코드]],tbl제품[품목코드],0)),"")</f>
        <v>컴퓨터 기능 완전 정복</v>
      </c>
      <c r="F9" s="27">
        <v>20</v>
      </c>
      <c r="G9" s="50">
        <f>IFERROR(INDEX(tbl제품[단가],MATCH(tbl견적서세부[[#This Row],[품목코드]],tbl제품[품목코드],0)),"")</f>
        <v>18000</v>
      </c>
      <c r="H9" s="27"/>
    </row>
    <row r="10" spans="1:8" x14ac:dyDescent="0.3">
      <c r="B10" s="43" t="s">
        <v>276</v>
      </c>
      <c r="C10" s="43">
        <v>5</v>
      </c>
      <c r="D10" s="27" t="s">
        <v>36</v>
      </c>
      <c r="E10" s="42" t="str">
        <f>IFERROR(INDEX(tbl제품[품목],MATCH(tbl견적서세부[[#This Row],[품목코드]],tbl제품[품목코드],0)),"")</f>
        <v>액세스 2013 기능 완전 정복</v>
      </c>
      <c r="F10" s="27">
        <v>10</v>
      </c>
      <c r="G10" s="50">
        <f>IFERROR(INDEX(tbl제품[단가],MATCH(tbl견적서세부[[#This Row],[품목코드]],tbl제품[품목코드],0)),"")</f>
        <v>23000</v>
      </c>
      <c r="H10" s="27"/>
    </row>
    <row r="11" spans="1:8" x14ac:dyDescent="0.3">
      <c r="B11" s="43" t="s">
        <v>277</v>
      </c>
      <c r="C11" s="43">
        <v>1</v>
      </c>
      <c r="D11" s="27" t="s">
        <v>34</v>
      </c>
      <c r="E11" s="42" t="str">
        <f>IFERROR(INDEX(tbl제품[품목],MATCH(tbl견적서세부[[#This Row],[품목코드]],tbl제품[품목코드],0)),"")</f>
        <v>장미가족의 내맘대로 포토샵</v>
      </c>
      <c r="F11" s="27">
        <v>20</v>
      </c>
      <c r="G11" s="50">
        <f>IFERROR(INDEX(tbl제품[단가],MATCH(tbl견적서세부[[#This Row],[품목코드]],tbl제품[품목코드],0)),"")</f>
        <v>25000</v>
      </c>
      <c r="H11" s="27" t="s">
        <v>265</v>
      </c>
    </row>
    <row r="12" spans="1:8" x14ac:dyDescent="0.3">
      <c r="B12" s="43" t="s">
        <v>277</v>
      </c>
      <c r="C12" s="43">
        <v>2</v>
      </c>
      <c r="D12" s="27" t="s">
        <v>36</v>
      </c>
      <c r="E12" s="42" t="str">
        <f>IFERROR(INDEX(tbl제품[품목],MATCH(tbl견적서세부[[#This Row],[품목코드]],tbl제품[품목코드],0)),"")</f>
        <v>액세스 2013 기능 완전 정복</v>
      </c>
      <c r="F12" s="27">
        <v>10</v>
      </c>
      <c r="G12" s="50">
        <f>IFERROR(INDEX(tbl제품[단가],MATCH(tbl견적서세부[[#This Row],[품목코드]],tbl제품[품목코드],0)),"")</f>
        <v>23000</v>
      </c>
      <c r="H12" s="27"/>
    </row>
    <row r="13" spans="1:8" x14ac:dyDescent="0.3">
      <c r="B13" s="43" t="s">
        <v>277</v>
      </c>
      <c r="C13" s="43">
        <v>3</v>
      </c>
      <c r="D13" s="27" t="s">
        <v>37</v>
      </c>
      <c r="E13" s="42" t="str">
        <f>IFERROR(INDEX(tbl제품[품목],MATCH(tbl견적서세부[[#This Row],[품목코드]],tbl제품[품목코드],0)),"")</f>
        <v>엑셀 매크로&amp;VBA 기능 완전 정복</v>
      </c>
      <c r="F13" s="27">
        <v>20</v>
      </c>
      <c r="G13" s="50">
        <f>IFERROR(INDEX(tbl제품[단가],MATCH(tbl견적서세부[[#This Row],[품목코드]],tbl제품[품목코드],0)),"")</f>
        <v>19800</v>
      </c>
      <c r="H13" s="27"/>
    </row>
    <row r="14" spans="1:8" x14ac:dyDescent="0.3">
      <c r="B14" s="43" t="s">
        <v>277</v>
      </c>
      <c r="C14" s="43">
        <v>4</v>
      </c>
      <c r="D14" s="27" t="s">
        <v>38</v>
      </c>
      <c r="E14" s="42" t="str">
        <f>IFERROR(INDEX(tbl제품[품목],MATCH(tbl견적서세부[[#This Row],[품목코드]],tbl제품[품목코드],0)),"")</f>
        <v>엑셀 2013 기능 완전 정복</v>
      </c>
      <c r="F14" s="27">
        <v>30</v>
      </c>
      <c r="G14" s="50">
        <f>IFERROR(INDEX(tbl제품[단가],MATCH(tbl견적서세부[[#This Row],[품목코드]],tbl제품[품목코드],0)),"")</f>
        <v>19800</v>
      </c>
      <c r="H14" s="27"/>
    </row>
    <row r="15" spans="1:8" x14ac:dyDescent="0.3">
      <c r="B15" s="43" t="s">
        <v>392</v>
      </c>
      <c r="C15" s="43">
        <v>1</v>
      </c>
      <c r="D15" s="27" t="s">
        <v>36</v>
      </c>
      <c r="E15" s="42" t="str">
        <f>IFERROR(INDEX(tbl제품[품목],MATCH(tbl견적서세부[[#This Row],[품목코드]],tbl제품[품목코드],0)),"")</f>
        <v>액세스 2013 기능 완전 정복</v>
      </c>
      <c r="F15" s="27">
        <v>10</v>
      </c>
      <c r="G15" s="50">
        <f>IFERROR(INDEX(tbl제품[단가],MATCH(tbl견적서세부[[#This Row],[품목코드]],tbl제품[품목코드],0)),"")</f>
        <v>23000</v>
      </c>
      <c r="H15" s="27"/>
    </row>
    <row r="16" spans="1:8" x14ac:dyDescent="0.3">
      <c r="B16" s="43" t="s">
        <v>392</v>
      </c>
      <c r="C16" s="43">
        <v>2</v>
      </c>
      <c r="D16" s="27" t="s">
        <v>38</v>
      </c>
      <c r="E16" s="42" t="str">
        <f>IFERROR(INDEX(tbl제품[품목],MATCH(tbl견적서세부[[#This Row],[품목코드]],tbl제품[품목코드],0)),"")</f>
        <v>엑셀 2013 기능 완전 정복</v>
      </c>
      <c r="F16" s="27">
        <v>25</v>
      </c>
      <c r="G16" s="50">
        <f>IFERROR(INDEX(tbl제품[단가],MATCH(tbl견적서세부[[#This Row],[품목코드]],tbl제품[품목코드],0)),"")</f>
        <v>19800</v>
      </c>
      <c r="H16" s="27"/>
    </row>
    <row r="17" spans="2:8" x14ac:dyDescent="0.3">
      <c r="B17" s="43" t="s">
        <v>392</v>
      </c>
      <c r="C17" s="43">
        <v>3</v>
      </c>
      <c r="D17" s="27" t="s">
        <v>59</v>
      </c>
      <c r="E17" s="42" t="str">
        <f>IFERROR(INDEX(tbl제품[품목],MATCH(tbl견적서세부[[#This Row],[품목코드]],tbl제품[품목코드],0)),"")</f>
        <v>XLS 수식&amp;함수 활용 185</v>
      </c>
      <c r="F17" s="27">
        <v>20</v>
      </c>
      <c r="G17" s="50">
        <f>IFERROR(INDEX(tbl제품[단가],MATCH(tbl견적서세부[[#This Row],[품목코드]],tbl제품[품목코드],0)),"")</f>
        <v>19800</v>
      </c>
      <c r="H17" s="27"/>
    </row>
    <row r="18" spans="2:8" x14ac:dyDescent="0.3">
      <c r="B18" s="43" t="s">
        <v>507</v>
      </c>
      <c r="C18" s="43">
        <v>1</v>
      </c>
      <c r="D18" s="27" t="s">
        <v>39</v>
      </c>
      <c r="E18" s="42" t="str">
        <f>IFERROR(INDEX(tbl제품[품목],MATCH(tbl견적서세부[[#This Row],[품목코드]],tbl제품[품목코드],0)),"")</f>
        <v>엑셀 실무활용 기능 완전 정복</v>
      </c>
      <c r="F18" s="27">
        <v>20</v>
      </c>
      <c r="G18" s="50">
        <f>IFERROR(INDEX(tbl제품[단가],MATCH(tbl견적서세부[[#This Row],[품목코드]],tbl제품[품목코드],0)),"")</f>
        <v>15000</v>
      </c>
      <c r="H18" s="27" t="s">
        <v>511</v>
      </c>
    </row>
    <row r="19" spans="2:8" x14ac:dyDescent="0.3">
      <c r="B19" s="43" t="s">
        <v>507</v>
      </c>
      <c r="C19" s="43">
        <v>2</v>
      </c>
      <c r="D19" s="27" t="s">
        <v>491</v>
      </c>
      <c r="E19" s="42" t="str">
        <f>IFERROR(INDEX(tbl제품[품목],MATCH(tbl견적서세부[[#This Row],[품목코드]],tbl제품[품목코드],0)),"")</f>
        <v>파워포인트 기능 완전 정복</v>
      </c>
      <c r="F19" s="27">
        <v>20</v>
      </c>
      <c r="G19" s="50">
        <f>IFERROR(INDEX(tbl제품[단가],MATCH(tbl견적서세부[[#This Row],[품목코드]],tbl제품[품목코드],0)),"")</f>
        <v>19800</v>
      </c>
      <c r="H19" s="27"/>
    </row>
    <row r="20" spans="2:8" x14ac:dyDescent="0.3">
      <c r="B20" s="43" t="s">
        <v>507</v>
      </c>
      <c r="C20" s="43">
        <v>3</v>
      </c>
      <c r="D20" s="27" t="s">
        <v>61</v>
      </c>
      <c r="E20" s="42" t="str">
        <f>IFERROR(INDEX(tbl제품[품목],MATCH(tbl견적서세부[[#This Row],[품목코드]],tbl제품[품목코드],0)),"")</f>
        <v>워드 2013 기능 완전 정복</v>
      </c>
      <c r="F20" s="27">
        <v>20</v>
      </c>
      <c r="G20" s="50">
        <f>IFERROR(INDEX(tbl제품[단가],MATCH(tbl견적서세부[[#This Row],[품목코드]],tbl제품[품목코드],0)),"")</f>
        <v>18001</v>
      </c>
      <c r="H20" s="27"/>
    </row>
    <row r="21" spans="2:8" x14ac:dyDescent="0.3">
      <c r="B21" s="43" t="s">
        <v>507</v>
      </c>
      <c r="C21" s="43">
        <v>4</v>
      </c>
      <c r="D21" s="27" t="s">
        <v>35</v>
      </c>
      <c r="E21" s="42" t="str">
        <f>IFERROR(INDEX(tbl제품[품목],MATCH(tbl견적서세부[[#This Row],[품목코드]],tbl제품[품목코드],0)),"")</f>
        <v>컴퓨터 기능 완전 정복</v>
      </c>
      <c r="F21" s="27">
        <v>20</v>
      </c>
      <c r="G21" s="50">
        <f>IFERROR(INDEX(tbl제품[단가],MATCH(tbl견적서세부[[#This Row],[품목코드]],tbl제품[품목코드],0)),"")</f>
        <v>18000</v>
      </c>
      <c r="H21" s="27"/>
    </row>
    <row r="22" spans="2:8" x14ac:dyDescent="0.3">
      <c r="B22" s="43" t="s">
        <v>507</v>
      </c>
      <c r="C22" s="43">
        <v>5</v>
      </c>
      <c r="D22" s="27" t="s">
        <v>508</v>
      </c>
      <c r="E22" s="42" t="str">
        <f>IFERROR(INDEX(tbl제품[품목],MATCH(tbl견적서세부[[#This Row],[품목코드]],tbl제품[품목코드],0)),"")</f>
        <v>윈도우 8.1 기능 완전 정복</v>
      </c>
      <c r="F22" s="27">
        <v>20</v>
      </c>
      <c r="G22" s="50">
        <f>IFERROR(INDEX(tbl제품[단가],MATCH(tbl견적서세부[[#This Row],[품목코드]],tbl제품[품목코드],0)),"")</f>
        <v>18000</v>
      </c>
      <c r="H22" s="27" t="s">
        <v>510</v>
      </c>
    </row>
    <row r="23" spans="2:8" x14ac:dyDescent="0.3">
      <c r="B23" s="43" t="s">
        <v>507</v>
      </c>
      <c r="C23" s="43">
        <v>6</v>
      </c>
      <c r="D23" s="27" t="s">
        <v>32</v>
      </c>
      <c r="E23" s="42" t="str">
        <f>IFERROR(INDEX(tbl제품[품목],MATCH(tbl견적서세부[[#This Row],[품목코드]],tbl제품[품목코드],0)),"")</f>
        <v>비주얼베이직 6.0 기능 완전 정복</v>
      </c>
      <c r="F23" s="27">
        <v>20</v>
      </c>
      <c r="G23" s="50">
        <f>IFERROR(INDEX(tbl제품[단가],MATCH(tbl견적서세부[[#This Row],[품목코드]],tbl제품[품목코드],0)),"")</f>
        <v>18000</v>
      </c>
      <c r="H23" s="27"/>
    </row>
    <row r="24" spans="2:8" x14ac:dyDescent="0.3">
      <c r="B24" s="43" t="s">
        <v>507</v>
      </c>
      <c r="C24" s="43">
        <v>7</v>
      </c>
      <c r="D24" s="27" t="s">
        <v>40</v>
      </c>
      <c r="E24" s="42" t="str">
        <f>IFERROR(INDEX(tbl제품[품목],MATCH(tbl견적서세부[[#This Row],[품목코드]],tbl제품[품목코드],0)),"")</f>
        <v>엑셀 2007 기능 완전 정복</v>
      </c>
      <c r="F24" s="27">
        <v>20</v>
      </c>
      <c r="G24" s="50">
        <f>IFERROR(INDEX(tbl제품[단가],MATCH(tbl견적서세부[[#This Row],[품목코드]],tbl제품[품목코드],0)),"")</f>
        <v>20000</v>
      </c>
      <c r="H24" s="27"/>
    </row>
    <row r="25" spans="2:8" x14ac:dyDescent="0.3">
      <c r="B25" s="43" t="s">
        <v>391</v>
      </c>
      <c r="C25" s="43">
        <v>1</v>
      </c>
      <c r="D25" s="27" t="s">
        <v>37</v>
      </c>
      <c r="E25" s="42" t="str">
        <f>IFERROR(INDEX(tbl제품[품목],MATCH(tbl견적서세부[[#This Row],[품목코드]],tbl제품[품목코드],0)),"")</f>
        <v>엑셀 매크로&amp;VBA 기능 완전 정복</v>
      </c>
      <c r="F25" s="27">
        <v>10</v>
      </c>
      <c r="G25" s="50">
        <f>IFERROR(INDEX(tbl제품[단가],MATCH(tbl견적서세부[[#This Row],[품목코드]],tbl제품[품목코드],0)),"")</f>
        <v>19800</v>
      </c>
      <c r="H25" s="27" t="s">
        <v>388</v>
      </c>
    </row>
    <row r="26" spans="2:8" x14ac:dyDescent="0.3">
      <c r="B26" s="43" t="s">
        <v>391</v>
      </c>
      <c r="C26" s="43">
        <v>2</v>
      </c>
      <c r="D26" s="27" t="s">
        <v>38</v>
      </c>
      <c r="E26" s="42" t="str">
        <f>IFERROR(INDEX(tbl제품[품목],MATCH(tbl견적서세부[[#This Row],[품목코드]],tbl제품[품목코드],0)),"")</f>
        <v>엑셀 2013 기능 완전 정복</v>
      </c>
      <c r="F26" s="27">
        <v>20</v>
      </c>
      <c r="G26" s="50">
        <f>IFERROR(INDEX(tbl제품[단가],MATCH(tbl견적서세부[[#This Row],[품목코드]],tbl제품[품목코드],0)),"")</f>
        <v>19800</v>
      </c>
      <c r="H26" s="27"/>
    </row>
    <row r="27" spans="2:8" x14ac:dyDescent="0.3">
      <c r="B27" s="43" t="s">
        <v>391</v>
      </c>
      <c r="C27" s="43">
        <v>3</v>
      </c>
      <c r="D27" s="27" t="s">
        <v>39</v>
      </c>
      <c r="E27" s="42" t="str">
        <f>IFERROR(INDEX(tbl제품[품목],MATCH(tbl견적서세부[[#This Row],[품목코드]],tbl제품[품목코드],0)),"")</f>
        <v>엑셀 실무활용 기능 완전 정복</v>
      </c>
      <c r="F27" s="27">
        <v>10</v>
      </c>
      <c r="G27" s="50">
        <f>IFERROR(INDEX(tbl제품[단가],MATCH(tbl견적서세부[[#This Row],[품목코드]],tbl제품[품목코드],0)),"")</f>
        <v>15000</v>
      </c>
      <c r="H27" s="27"/>
    </row>
    <row r="28" spans="2:8" x14ac:dyDescent="0.3">
      <c r="B28" s="43" t="s">
        <v>391</v>
      </c>
      <c r="C28" s="43">
        <v>4</v>
      </c>
      <c r="D28" s="27" t="s">
        <v>40</v>
      </c>
      <c r="E28" s="42" t="str">
        <f>IFERROR(INDEX(tbl제품[품목],MATCH(tbl견적서세부[[#This Row],[품목코드]],tbl제품[품목코드],0)),"")</f>
        <v>엑셀 2007 기능 완전 정복</v>
      </c>
      <c r="F28" s="27">
        <v>30</v>
      </c>
      <c r="G28" s="50">
        <f>IFERROR(INDEX(tbl제품[단가],MATCH(tbl견적서세부[[#This Row],[품목코드]],tbl제품[품목코드],0)),"")</f>
        <v>20000</v>
      </c>
      <c r="H28" s="27"/>
    </row>
    <row r="29" spans="2:8" x14ac:dyDescent="0.3">
      <c r="B29" s="43" t="s">
        <v>391</v>
      </c>
      <c r="C29" s="43">
        <v>5</v>
      </c>
      <c r="D29" s="27" t="s">
        <v>35</v>
      </c>
      <c r="E29" s="42" t="str">
        <f>IFERROR(INDEX(tbl제품[품목],MATCH(tbl견적서세부[[#This Row],[품목코드]],tbl제품[품목코드],0)),"")</f>
        <v>컴퓨터 기능 완전 정복</v>
      </c>
      <c r="F29" s="27">
        <v>10</v>
      </c>
      <c r="G29" s="50">
        <f>IFERROR(INDEX(tbl제품[단가],MATCH(tbl견적서세부[[#This Row],[품목코드]],tbl제품[품목코드],0)),"")</f>
        <v>18000</v>
      </c>
      <c r="H29" s="27"/>
    </row>
    <row r="30" spans="2:8" x14ac:dyDescent="0.3">
      <c r="B30" s="43" t="s">
        <v>391</v>
      </c>
      <c r="C30" s="43">
        <v>6</v>
      </c>
      <c r="D30" s="27" t="s">
        <v>38</v>
      </c>
      <c r="E30" s="42" t="str">
        <f>IFERROR(INDEX(tbl제품[품목],MATCH(tbl견적서세부[[#This Row],[품목코드]],tbl제품[품목코드],0)),"")</f>
        <v>엑셀 2013 기능 완전 정복</v>
      </c>
      <c r="F30" s="27">
        <v>50</v>
      </c>
      <c r="G30" s="50">
        <f>IFERROR(INDEX(tbl제품[단가],MATCH(tbl견적서세부[[#This Row],[품목코드]],tbl제품[품목코드],0)),"")</f>
        <v>19800</v>
      </c>
      <c r="H30" s="27" t="s">
        <v>390</v>
      </c>
    </row>
    <row r="31" spans="2:8" x14ac:dyDescent="0.3">
      <c r="B31" s="43" t="s">
        <v>535</v>
      </c>
      <c r="C31" s="43">
        <v>1</v>
      </c>
      <c r="D31" s="27" t="s">
        <v>491</v>
      </c>
      <c r="E31" s="42" t="str">
        <f>IFERROR(INDEX(tbl제품[품목],MATCH(tbl견적서세부[[#This Row],[품목코드]],tbl제품[품목코드],0)),"")</f>
        <v>파워포인트 기능 완전 정복</v>
      </c>
      <c r="F31" s="27">
        <v>20</v>
      </c>
      <c r="G31" s="50">
        <f>IFERROR(INDEX(tbl제품[단가],MATCH(tbl견적서세부[[#This Row],[품목코드]],tbl제품[품목코드],0)),"")</f>
        <v>19800</v>
      </c>
      <c r="H31" s="27"/>
    </row>
    <row r="32" spans="2:8" x14ac:dyDescent="0.3">
      <c r="B32" s="43" t="s">
        <v>535</v>
      </c>
      <c r="C32" s="43">
        <v>2</v>
      </c>
      <c r="D32" s="27" t="s">
        <v>37</v>
      </c>
      <c r="E32" s="42" t="str">
        <f>IFERROR(INDEX(tbl제품[품목],MATCH(tbl견적서세부[[#This Row],[품목코드]],tbl제품[품목코드],0)),"")</f>
        <v>엑셀 매크로&amp;VBA 기능 완전 정복</v>
      </c>
      <c r="F32" s="27">
        <v>20</v>
      </c>
      <c r="G32" s="50">
        <f>IFERROR(INDEX(tbl제품[단가],MATCH(tbl견적서세부[[#This Row],[품목코드]],tbl제품[품목코드],0)),"")</f>
        <v>19800</v>
      </c>
      <c r="H32" s="27"/>
    </row>
  </sheetData>
  <phoneticPr fontId="1" type="noConversion"/>
  <dataValidations count="2">
    <dataValidation imeMode="halfHangul" allowBlank="1" showInputMessage="1" showErrorMessage="1" sqref="B65451:E65451 C982956:E982984 C917420:E917448 C851884:E851912 C786348:E786376 C720812:E720840 C655276:E655304 C589740:E589768 C524204:E524232 C458668:E458696 C393132:E393160 C327596:E327624 C262060:E262088 C196524:E196552 C130988:E131016 C65452:E65480 B982955:E982955 B917419:E917419 B851883:E851883 B786347:E786347 B720811:E720811 B655275:E655275 B589739:E589739 B524203:E524203 B458667:E458667 B393131:E393131 B327595:E327595 B262059:E262059 B196523:E196523 B130987:E130987 IW65451:IZ65451 SS65451:SV65451 ACO65451:ACR65451 AMK65451:AMN65451 AWG65451:AWJ65451 BGC65451:BGF65451 BPY65451:BQB65451 BZU65451:BZX65451 CJQ65451:CJT65451 CTM65451:CTP65451 DDI65451:DDL65451 DNE65451:DNH65451 DXA65451:DXD65451 EGW65451:EGZ65451 EQS65451:EQV65451 FAO65451:FAR65451 FKK65451:FKN65451 FUG65451:FUJ65451 GEC65451:GEF65451 GNY65451:GOB65451 GXU65451:GXX65451 HHQ65451:HHT65451 HRM65451:HRP65451 IBI65451:IBL65451 ILE65451:ILH65451 IVA65451:IVD65451 JEW65451:JEZ65451 JOS65451:JOV65451 JYO65451:JYR65451 KIK65451:KIN65451 KSG65451:KSJ65451 LCC65451:LCF65451 LLY65451:LMB65451 LVU65451:LVX65451 MFQ65451:MFT65451 MPM65451:MPP65451 MZI65451:MZL65451 NJE65451:NJH65451 NTA65451:NTD65451 OCW65451:OCZ65451 OMS65451:OMV65451 OWO65451:OWR65451 PGK65451:PGN65451 PQG65451:PQJ65451 QAC65451:QAF65451 QJY65451:QKB65451 QTU65451:QTX65451 RDQ65451:RDT65451 RNM65451:RNP65451 RXI65451:RXL65451 SHE65451:SHH65451 SRA65451:SRD65451 TAW65451:TAZ65451 TKS65451:TKV65451 TUO65451:TUR65451 UEK65451:UEN65451 UOG65451:UOJ65451 UYC65451:UYF65451 VHY65451:VIB65451 VRU65451:VRX65451 WBQ65451:WBT65451 WLM65451:WLP65451 WVI65451:WVL65451 IW130987:IZ130987 SS130987:SV130987 ACO130987:ACR130987 AMK130987:AMN130987 AWG130987:AWJ130987 BGC130987:BGF130987 BPY130987:BQB130987 BZU130987:BZX130987 CJQ130987:CJT130987 CTM130987:CTP130987 DDI130987:DDL130987 DNE130987:DNH130987 DXA130987:DXD130987 EGW130987:EGZ130987 EQS130987:EQV130987 FAO130987:FAR130987 FKK130987:FKN130987 FUG130987:FUJ130987 GEC130987:GEF130987 GNY130987:GOB130987 GXU130987:GXX130987 HHQ130987:HHT130987 HRM130987:HRP130987 IBI130987:IBL130987 ILE130987:ILH130987 IVA130987:IVD130987 JEW130987:JEZ130987 JOS130987:JOV130987 JYO130987:JYR130987 KIK130987:KIN130987 KSG130987:KSJ130987 LCC130987:LCF130987 LLY130987:LMB130987 LVU130987:LVX130987 MFQ130987:MFT130987 MPM130987:MPP130987 MZI130987:MZL130987 NJE130987:NJH130987 NTA130987:NTD130987 OCW130987:OCZ130987 OMS130987:OMV130987 OWO130987:OWR130987 PGK130987:PGN130987 PQG130987:PQJ130987 QAC130987:QAF130987 QJY130987:QKB130987 QTU130987:QTX130987 RDQ130987:RDT130987 RNM130987:RNP130987 RXI130987:RXL130987 SHE130987:SHH130987 SRA130987:SRD130987 TAW130987:TAZ130987 TKS130987:TKV130987 TUO130987:TUR130987 UEK130987:UEN130987 UOG130987:UOJ130987 UYC130987:UYF130987 VHY130987:VIB130987 VRU130987:VRX130987 WBQ130987:WBT130987 WLM130987:WLP130987 WVI130987:WVL130987 IW196523:IZ196523 SS196523:SV196523 ACO196523:ACR196523 AMK196523:AMN196523 AWG196523:AWJ196523 BGC196523:BGF196523 BPY196523:BQB196523 BZU196523:BZX196523 CJQ196523:CJT196523 CTM196523:CTP196523 DDI196523:DDL196523 DNE196523:DNH196523 DXA196523:DXD196523 EGW196523:EGZ196523 EQS196523:EQV196523 FAO196523:FAR196523 FKK196523:FKN196523 FUG196523:FUJ196523 GEC196523:GEF196523 GNY196523:GOB196523 GXU196523:GXX196523 HHQ196523:HHT196523 HRM196523:HRP196523 IBI196523:IBL196523 ILE196523:ILH196523 IVA196523:IVD196523 JEW196523:JEZ196523 JOS196523:JOV196523 JYO196523:JYR196523 KIK196523:KIN196523 KSG196523:KSJ196523 LCC196523:LCF196523 LLY196523:LMB196523 LVU196523:LVX196523 MFQ196523:MFT196523 MPM196523:MPP196523 MZI196523:MZL196523 NJE196523:NJH196523 NTA196523:NTD196523 OCW196523:OCZ196523 OMS196523:OMV196523 OWO196523:OWR196523 PGK196523:PGN196523 PQG196523:PQJ196523 QAC196523:QAF196523 QJY196523:QKB196523 QTU196523:QTX196523 RDQ196523:RDT196523 RNM196523:RNP196523 RXI196523:RXL196523 SHE196523:SHH196523 SRA196523:SRD196523 TAW196523:TAZ196523 TKS196523:TKV196523 TUO196523:TUR196523 UEK196523:UEN196523 UOG196523:UOJ196523 UYC196523:UYF196523 VHY196523:VIB196523 VRU196523:VRX196523 WBQ196523:WBT196523 WLM196523:WLP196523 WVI196523:WVL196523 IW262059:IZ262059 SS262059:SV262059 ACO262059:ACR262059 AMK262059:AMN262059 AWG262059:AWJ262059 BGC262059:BGF262059 BPY262059:BQB262059 BZU262059:BZX262059 CJQ262059:CJT262059 CTM262059:CTP262059 DDI262059:DDL262059 DNE262059:DNH262059 DXA262059:DXD262059 EGW262059:EGZ262059 EQS262059:EQV262059 FAO262059:FAR262059 FKK262059:FKN262059 FUG262059:FUJ262059 GEC262059:GEF262059 GNY262059:GOB262059 GXU262059:GXX262059 HHQ262059:HHT262059 HRM262059:HRP262059 IBI262059:IBL262059 ILE262059:ILH262059 IVA262059:IVD262059 JEW262059:JEZ262059 JOS262059:JOV262059 JYO262059:JYR262059 KIK262059:KIN262059 KSG262059:KSJ262059 LCC262059:LCF262059 LLY262059:LMB262059 LVU262059:LVX262059 MFQ262059:MFT262059 MPM262059:MPP262059 MZI262059:MZL262059 NJE262059:NJH262059 NTA262059:NTD262059 OCW262059:OCZ262059 OMS262059:OMV262059 OWO262059:OWR262059 PGK262059:PGN262059 PQG262059:PQJ262059 QAC262059:QAF262059 QJY262059:QKB262059 QTU262059:QTX262059 RDQ262059:RDT262059 RNM262059:RNP262059 RXI262059:RXL262059 SHE262059:SHH262059 SRA262059:SRD262059 TAW262059:TAZ262059 TKS262059:TKV262059 TUO262059:TUR262059 UEK262059:UEN262059 UOG262059:UOJ262059 UYC262059:UYF262059 VHY262059:VIB262059 VRU262059:VRX262059 WBQ262059:WBT262059 WLM262059:WLP262059 WVI262059:WVL262059 IW327595:IZ327595 SS327595:SV327595 ACO327595:ACR327595 AMK327595:AMN327595 AWG327595:AWJ327595 BGC327595:BGF327595 BPY327595:BQB327595 BZU327595:BZX327595 CJQ327595:CJT327595 CTM327595:CTP327595 DDI327595:DDL327595 DNE327595:DNH327595 DXA327595:DXD327595 EGW327595:EGZ327595 EQS327595:EQV327595 FAO327595:FAR327595 FKK327595:FKN327595 FUG327595:FUJ327595 GEC327595:GEF327595 GNY327595:GOB327595 GXU327595:GXX327595 HHQ327595:HHT327595 HRM327595:HRP327595 IBI327595:IBL327595 ILE327595:ILH327595 IVA327595:IVD327595 JEW327595:JEZ327595 JOS327595:JOV327595 JYO327595:JYR327595 KIK327595:KIN327595 KSG327595:KSJ327595 LCC327595:LCF327595 LLY327595:LMB327595 LVU327595:LVX327595 MFQ327595:MFT327595 MPM327595:MPP327595 MZI327595:MZL327595 NJE327595:NJH327595 NTA327595:NTD327595 OCW327595:OCZ327595 OMS327595:OMV327595 OWO327595:OWR327595 PGK327595:PGN327595 PQG327595:PQJ327595 QAC327595:QAF327595 QJY327595:QKB327595 QTU327595:QTX327595 RDQ327595:RDT327595 RNM327595:RNP327595 RXI327595:RXL327595 SHE327595:SHH327595 SRA327595:SRD327595 TAW327595:TAZ327595 TKS327595:TKV327595 TUO327595:TUR327595 UEK327595:UEN327595 UOG327595:UOJ327595 UYC327595:UYF327595 VHY327595:VIB327595 VRU327595:VRX327595 WBQ327595:WBT327595 WLM327595:WLP327595 WVI327595:WVL327595 IW393131:IZ393131 SS393131:SV393131 ACO393131:ACR393131 AMK393131:AMN393131 AWG393131:AWJ393131 BGC393131:BGF393131 BPY393131:BQB393131 BZU393131:BZX393131 CJQ393131:CJT393131 CTM393131:CTP393131 DDI393131:DDL393131 DNE393131:DNH393131 DXA393131:DXD393131 EGW393131:EGZ393131 EQS393131:EQV393131 FAO393131:FAR393131 FKK393131:FKN393131 FUG393131:FUJ393131 GEC393131:GEF393131 GNY393131:GOB393131 GXU393131:GXX393131 HHQ393131:HHT393131 HRM393131:HRP393131 IBI393131:IBL393131 ILE393131:ILH393131 IVA393131:IVD393131 JEW393131:JEZ393131 JOS393131:JOV393131 JYO393131:JYR393131 KIK393131:KIN393131 KSG393131:KSJ393131 LCC393131:LCF393131 LLY393131:LMB393131 LVU393131:LVX393131 MFQ393131:MFT393131 MPM393131:MPP393131 MZI393131:MZL393131 NJE393131:NJH393131 NTA393131:NTD393131 OCW393131:OCZ393131 OMS393131:OMV393131 OWO393131:OWR393131 PGK393131:PGN393131 PQG393131:PQJ393131 QAC393131:QAF393131 QJY393131:QKB393131 QTU393131:QTX393131 RDQ393131:RDT393131 RNM393131:RNP393131 RXI393131:RXL393131 SHE393131:SHH393131 SRA393131:SRD393131 TAW393131:TAZ393131 TKS393131:TKV393131 TUO393131:TUR393131 UEK393131:UEN393131 UOG393131:UOJ393131 UYC393131:UYF393131 VHY393131:VIB393131 VRU393131:VRX393131 WBQ393131:WBT393131 WLM393131:WLP393131 WVI393131:WVL393131 IW458667:IZ458667 SS458667:SV458667 ACO458667:ACR458667 AMK458667:AMN458667 AWG458667:AWJ458667 BGC458667:BGF458667 BPY458667:BQB458667 BZU458667:BZX458667 CJQ458667:CJT458667 CTM458667:CTP458667 DDI458667:DDL458667 DNE458667:DNH458667 DXA458667:DXD458667 EGW458667:EGZ458667 EQS458667:EQV458667 FAO458667:FAR458667 FKK458667:FKN458667 FUG458667:FUJ458667 GEC458667:GEF458667 GNY458667:GOB458667 GXU458667:GXX458667 HHQ458667:HHT458667 HRM458667:HRP458667 IBI458667:IBL458667 ILE458667:ILH458667 IVA458667:IVD458667 JEW458667:JEZ458667 JOS458667:JOV458667 JYO458667:JYR458667 KIK458667:KIN458667 KSG458667:KSJ458667 LCC458667:LCF458667 LLY458667:LMB458667 LVU458667:LVX458667 MFQ458667:MFT458667 MPM458667:MPP458667 MZI458667:MZL458667 NJE458667:NJH458667 NTA458667:NTD458667 OCW458667:OCZ458667 OMS458667:OMV458667 OWO458667:OWR458667 PGK458667:PGN458667 PQG458667:PQJ458667 QAC458667:QAF458667 QJY458667:QKB458667 QTU458667:QTX458667 RDQ458667:RDT458667 RNM458667:RNP458667 RXI458667:RXL458667 SHE458667:SHH458667 SRA458667:SRD458667 TAW458667:TAZ458667 TKS458667:TKV458667 TUO458667:TUR458667 UEK458667:UEN458667 UOG458667:UOJ458667 UYC458667:UYF458667 VHY458667:VIB458667 VRU458667:VRX458667 WBQ458667:WBT458667 WLM458667:WLP458667 WVI458667:WVL458667 IW524203:IZ524203 SS524203:SV524203 ACO524203:ACR524203 AMK524203:AMN524203 AWG524203:AWJ524203 BGC524203:BGF524203 BPY524203:BQB524203 BZU524203:BZX524203 CJQ524203:CJT524203 CTM524203:CTP524203 DDI524203:DDL524203 DNE524203:DNH524203 DXA524203:DXD524203 EGW524203:EGZ524203 EQS524203:EQV524203 FAO524203:FAR524203 FKK524203:FKN524203 FUG524203:FUJ524203 GEC524203:GEF524203 GNY524203:GOB524203 GXU524203:GXX524203 HHQ524203:HHT524203 HRM524203:HRP524203 IBI524203:IBL524203 ILE524203:ILH524203 IVA524203:IVD524203 JEW524203:JEZ524203 JOS524203:JOV524203 JYO524203:JYR524203 KIK524203:KIN524203 KSG524203:KSJ524203 LCC524203:LCF524203 LLY524203:LMB524203 LVU524203:LVX524203 MFQ524203:MFT524203 MPM524203:MPP524203 MZI524203:MZL524203 NJE524203:NJH524203 NTA524203:NTD524203 OCW524203:OCZ524203 OMS524203:OMV524203 OWO524203:OWR524203 PGK524203:PGN524203 PQG524203:PQJ524203 QAC524203:QAF524203 QJY524203:QKB524203 QTU524203:QTX524203 RDQ524203:RDT524203 RNM524203:RNP524203 RXI524203:RXL524203 SHE524203:SHH524203 SRA524203:SRD524203 TAW524203:TAZ524203 TKS524203:TKV524203 TUO524203:TUR524203 UEK524203:UEN524203 UOG524203:UOJ524203 UYC524203:UYF524203 VHY524203:VIB524203 VRU524203:VRX524203 WBQ524203:WBT524203 WLM524203:WLP524203 WVI524203:WVL524203 IW589739:IZ589739 SS589739:SV589739 ACO589739:ACR589739 AMK589739:AMN589739 AWG589739:AWJ589739 BGC589739:BGF589739 BPY589739:BQB589739 BZU589739:BZX589739 CJQ589739:CJT589739 CTM589739:CTP589739 DDI589739:DDL589739 DNE589739:DNH589739 DXA589739:DXD589739 EGW589739:EGZ589739 EQS589739:EQV589739 FAO589739:FAR589739 FKK589739:FKN589739 FUG589739:FUJ589739 GEC589739:GEF589739 GNY589739:GOB589739 GXU589739:GXX589739 HHQ589739:HHT589739 HRM589739:HRP589739 IBI589739:IBL589739 ILE589739:ILH589739 IVA589739:IVD589739 JEW589739:JEZ589739 JOS589739:JOV589739 JYO589739:JYR589739 KIK589739:KIN589739 KSG589739:KSJ589739 LCC589739:LCF589739 LLY589739:LMB589739 LVU589739:LVX589739 MFQ589739:MFT589739 MPM589739:MPP589739 MZI589739:MZL589739 NJE589739:NJH589739 NTA589739:NTD589739 OCW589739:OCZ589739 OMS589739:OMV589739 OWO589739:OWR589739 PGK589739:PGN589739 PQG589739:PQJ589739 QAC589739:QAF589739 QJY589739:QKB589739 QTU589739:QTX589739 RDQ589739:RDT589739 RNM589739:RNP589739 RXI589739:RXL589739 SHE589739:SHH589739 SRA589739:SRD589739 TAW589739:TAZ589739 TKS589739:TKV589739 TUO589739:TUR589739 UEK589739:UEN589739 UOG589739:UOJ589739 UYC589739:UYF589739 VHY589739:VIB589739 VRU589739:VRX589739 WBQ589739:WBT589739 WLM589739:WLP589739 WVI589739:WVL589739 IW655275:IZ655275 SS655275:SV655275 ACO655275:ACR655275 AMK655275:AMN655275 AWG655275:AWJ655275 BGC655275:BGF655275 BPY655275:BQB655275 BZU655275:BZX655275 CJQ655275:CJT655275 CTM655275:CTP655275 DDI655275:DDL655275 DNE655275:DNH655275 DXA655275:DXD655275 EGW655275:EGZ655275 EQS655275:EQV655275 FAO655275:FAR655275 FKK655275:FKN655275 FUG655275:FUJ655275 GEC655275:GEF655275 GNY655275:GOB655275 GXU655275:GXX655275 HHQ655275:HHT655275 HRM655275:HRP655275 IBI655275:IBL655275 ILE655275:ILH655275 IVA655275:IVD655275 JEW655275:JEZ655275 JOS655275:JOV655275 JYO655275:JYR655275 KIK655275:KIN655275 KSG655275:KSJ655275 LCC655275:LCF655275 LLY655275:LMB655275 LVU655275:LVX655275 MFQ655275:MFT655275 MPM655275:MPP655275 MZI655275:MZL655275 NJE655275:NJH655275 NTA655275:NTD655275 OCW655275:OCZ655275 OMS655275:OMV655275 OWO655275:OWR655275 PGK655275:PGN655275 PQG655275:PQJ655275 QAC655275:QAF655275 QJY655275:QKB655275 QTU655275:QTX655275 RDQ655275:RDT655275 RNM655275:RNP655275 RXI655275:RXL655275 SHE655275:SHH655275 SRA655275:SRD655275 TAW655275:TAZ655275 TKS655275:TKV655275 TUO655275:TUR655275 UEK655275:UEN655275 UOG655275:UOJ655275 UYC655275:UYF655275 VHY655275:VIB655275 VRU655275:VRX655275 WBQ655275:WBT655275 WLM655275:WLP655275 WVI655275:WVL655275 IW720811:IZ720811 SS720811:SV720811 ACO720811:ACR720811 AMK720811:AMN720811 AWG720811:AWJ720811 BGC720811:BGF720811 BPY720811:BQB720811 BZU720811:BZX720811 CJQ720811:CJT720811 CTM720811:CTP720811 DDI720811:DDL720811 DNE720811:DNH720811 DXA720811:DXD720811 EGW720811:EGZ720811 EQS720811:EQV720811 FAO720811:FAR720811 FKK720811:FKN720811 FUG720811:FUJ720811 GEC720811:GEF720811 GNY720811:GOB720811 GXU720811:GXX720811 HHQ720811:HHT720811 HRM720811:HRP720811 IBI720811:IBL720811 ILE720811:ILH720811 IVA720811:IVD720811 JEW720811:JEZ720811 JOS720811:JOV720811 JYO720811:JYR720811 KIK720811:KIN720811 KSG720811:KSJ720811 LCC720811:LCF720811 LLY720811:LMB720811 LVU720811:LVX720811 MFQ720811:MFT720811 MPM720811:MPP720811 MZI720811:MZL720811 NJE720811:NJH720811 NTA720811:NTD720811 OCW720811:OCZ720811 OMS720811:OMV720811 OWO720811:OWR720811 PGK720811:PGN720811 PQG720811:PQJ720811 QAC720811:QAF720811 QJY720811:QKB720811 QTU720811:QTX720811 RDQ720811:RDT720811 RNM720811:RNP720811 RXI720811:RXL720811 SHE720811:SHH720811 SRA720811:SRD720811 TAW720811:TAZ720811 TKS720811:TKV720811 TUO720811:TUR720811 UEK720811:UEN720811 UOG720811:UOJ720811 UYC720811:UYF720811 VHY720811:VIB720811 VRU720811:VRX720811 WBQ720811:WBT720811 WLM720811:WLP720811 WVI720811:WVL720811 IW786347:IZ786347 SS786347:SV786347 ACO786347:ACR786347 AMK786347:AMN786347 AWG786347:AWJ786347 BGC786347:BGF786347 BPY786347:BQB786347 BZU786347:BZX786347 CJQ786347:CJT786347 CTM786347:CTP786347 DDI786347:DDL786347 DNE786347:DNH786347 DXA786347:DXD786347 EGW786347:EGZ786347 EQS786347:EQV786347 FAO786347:FAR786347 FKK786347:FKN786347 FUG786347:FUJ786347 GEC786347:GEF786347 GNY786347:GOB786347 GXU786347:GXX786347 HHQ786347:HHT786347 HRM786347:HRP786347 IBI786347:IBL786347 ILE786347:ILH786347 IVA786347:IVD786347 JEW786347:JEZ786347 JOS786347:JOV786347 JYO786347:JYR786347 KIK786347:KIN786347 KSG786347:KSJ786347 LCC786347:LCF786347 LLY786347:LMB786347 LVU786347:LVX786347 MFQ786347:MFT786347 MPM786347:MPP786347 MZI786347:MZL786347 NJE786347:NJH786347 NTA786347:NTD786347 OCW786347:OCZ786347 OMS786347:OMV786347 OWO786347:OWR786347 PGK786347:PGN786347 PQG786347:PQJ786347 QAC786347:QAF786347 QJY786347:QKB786347 QTU786347:QTX786347 RDQ786347:RDT786347 RNM786347:RNP786347 RXI786347:RXL786347 SHE786347:SHH786347 SRA786347:SRD786347 TAW786347:TAZ786347 TKS786347:TKV786347 TUO786347:TUR786347 UEK786347:UEN786347 UOG786347:UOJ786347 UYC786347:UYF786347 VHY786347:VIB786347 VRU786347:VRX786347 WBQ786347:WBT786347 WLM786347:WLP786347 WVI786347:WVL786347 IW851883:IZ851883 SS851883:SV851883 ACO851883:ACR851883 AMK851883:AMN851883 AWG851883:AWJ851883 BGC851883:BGF851883 BPY851883:BQB851883 BZU851883:BZX851883 CJQ851883:CJT851883 CTM851883:CTP851883 DDI851883:DDL851883 DNE851883:DNH851883 DXA851883:DXD851883 EGW851883:EGZ851883 EQS851883:EQV851883 FAO851883:FAR851883 FKK851883:FKN851883 FUG851883:FUJ851883 GEC851883:GEF851883 GNY851883:GOB851883 GXU851883:GXX851883 HHQ851883:HHT851883 HRM851883:HRP851883 IBI851883:IBL851883 ILE851883:ILH851883 IVA851883:IVD851883 JEW851883:JEZ851883 JOS851883:JOV851883 JYO851883:JYR851883 KIK851883:KIN851883 KSG851883:KSJ851883 LCC851883:LCF851883 LLY851883:LMB851883 LVU851883:LVX851883 MFQ851883:MFT851883 MPM851883:MPP851883 MZI851883:MZL851883 NJE851883:NJH851883 NTA851883:NTD851883 OCW851883:OCZ851883 OMS851883:OMV851883 OWO851883:OWR851883 PGK851883:PGN851883 PQG851883:PQJ851883 QAC851883:QAF851883 QJY851883:QKB851883 QTU851883:QTX851883 RDQ851883:RDT851883 RNM851883:RNP851883 RXI851883:RXL851883 SHE851883:SHH851883 SRA851883:SRD851883 TAW851883:TAZ851883 TKS851883:TKV851883 TUO851883:TUR851883 UEK851883:UEN851883 UOG851883:UOJ851883 UYC851883:UYF851883 VHY851883:VIB851883 VRU851883:VRX851883 WBQ851883:WBT851883 WLM851883:WLP851883 WVI851883:WVL851883 IW917419:IZ917419 SS917419:SV917419 ACO917419:ACR917419 AMK917419:AMN917419 AWG917419:AWJ917419 BGC917419:BGF917419 BPY917419:BQB917419 BZU917419:BZX917419 CJQ917419:CJT917419 CTM917419:CTP917419 DDI917419:DDL917419 DNE917419:DNH917419 DXA917419:DXD917419 EGW917419:EGZ917419 EQS917419:EQV917419 FAO917419:FAR917419 FKK917419:FKN917419 FUG917419:FUJ917419 GEC917419:GEF917419 GNY917419:GOB917419 GXU917419:GXX917419 HHQ917419:HHT917419 HRM917419:HRP917419 IBI917419:IBL917419 ILE917419:ILH917419 IVA917419:IVD917419 JEW917419:JEZ917419 JOS917419:JOV917419 JYO917419:JYR917419 KIK917419:KIN917419 KSG917419:KSJ917419 LCC917419:LCF917419 LLY917419:LMB917419 LVU917419:LVX917419 MFQ917419:MFT917419 MPM917419:MPP917419 MZI917419:MZL917419 NJE917419:NJH917419 NTA917419:NTD917419 OCW917419:OCZ917419 OMS917419:OMV917419 OWO917419:OWR917419 PGK917419:PGN917419 PQG917419:PQJ917419 QAC917419:QAF917419 QJY917419:QKB917419 QTU917419:QTX917419 RDQ917419:RDT917419 RNM917419:RNP917419 RXI917419:RXL917419 SHE917419:SHH917419 SRA917419:SRD917419 TAW917419:TAZ917419 TKS917419:TKV917419 TUO917419:TUR917419 UEK917419:UEN917419 UOG917419:UOJ917419 UYC917419:UYF917419 VHY917419:VIB917419 VRU917419:VRX917419 WBQ917419:WBT917419 WLM917419:WLP917419 WVI917419:WVL917419 IW982955:IZ982955 SS982955:SV982955 ACO982955:ACR982955 AMK982955:AMN982955 AWG982955:AWJ982955 BGC982955:BGF982955 BPY982955:BQB982955 BZU982955:BZX982955 CJQ982955:CJT982955 CTM982955:CTP982955 DDI982955:DDL982955 DNE982955:DNH982955 DXA982955:DXD982955 EGW982955:EGZ982955 EQS982955:EQV982955 FAO982955:FAR982955 FKK982955:FKN982955 FUG982955:FUJ982955 GEC982955:GEF982955 GNY982955:GOB982955 GXU982955:GXX982955 HHQ982955:HHT982955 HRM982955:HRP982955 IBI982955:IBL982955 ILE982955:ILH982955 IVA982955:IVD982955 JEW982955:JEZ982955 JOS982955:JOV982955 JYO982955:JYR982955 KIK982955:KIN982955 KSG982955:KSJ982955 LCC982955:LCF982955 LLY982955:LMB982955 LVU982955:LVX982955 MFQ982955:MFT982955 MPM982955:MPP982955 MZI982955:MZL982955 NJE982955:NJH982955 NTA982955:NTD982955 OCW982955:OCZ982955 OMS982955:OMV982955 OWO982955:OWR982955 PGK982955:PGN982955 PQG982955:PQJ982955 QAC982955:QAF982955 QJY982955:QKB982955 QTU982955:QTX982955 RDQ982955:RDT982955 RNM982955:RNP982955 RXI982955:RXL982955 SHE982955:SHH982955 SRA982955:SRD982955 TAW982955:TAZ982955 TKS982955:TKV982955 TUO982955:TUR982955 UEK982955:UEN982955 UOG982955:UOJ982955 UYC982955:UYF982955 VHY982955:VIB982955 VRU982955:VRX982955 WBQ982955:WBT982955 WLM982955:WLP982955 WVI982955:WVL982955 IX65452:IZ65480 ST65452:SV65480 ACP65452:ACR65480 AML65452:AMN65480 AWH65452:AWJ65480 BGD65452:BGF65480 BPZ65452:BQB65480 BZV65452:BZX65480 CJR65452:CJT65480 CTN65452:CTP65480 DDJ65452:DDL65480 DNF65452:DNH65480 DXB65452:DXD65480 EGX65452:EGZ65480 EQT65452:EQV65480 FAP65452:FAR65480 FKL65452:FKN65480 FUH65452:FUJ65480 GED65452:GEF65480 GNZ65452:GOB65480 GXV65452:GXX65480 HHR65452:HHT65480 HRN65452:HRP65480 IBJ65452:IBL65480 ILF65452:ILH65480 IVB65452:IVD65480 JEX65452:JEZ65480 JOT65452:JOV65480 JYP65452:JYR65480 KIL65452:KIN65480 KSH65452:KSJ65480 LCD65452:LCF65480 LLZ65452:LMB65480 LVV65452:LVX65480 MFR65452:MFT65480 MPN65452:MPP65480 MZJ65452:MZL65480 NJF65452:NJH65480 NTB65452:NTD65480 OCX65452:OCZ65480 OMT65452:OMV65480 OWP65452:OWR65480 PGL65452:PGN65480 PQH65452:PQJ65480 QAD65452:QAF65480 QJZ65452:QKB65480 QTV65452:QTX65480 RDR65452:RDT65480 RNN65452:RNP65480 RXJ65452:RXL65480 SHF65452:SHH65480 SRB65452:SRD65480 TAX65452:TAZ65480 TKT65452:TKV65480 TUP65452:TUR65480 UEL65452:UEN65480 UOH65452:UOJ65480 UYD65452:UYF65480 VHZ65452:VIB65480 VRV65452:VRX65480 WBR65452:WBT65480 WLN65452:WLP65480 WVJ65452:WVL65480 IX130988:IZ131016 ST130988:SV131016 ACP130988:ACR131016 AML130988:AMN131016 AWH130988:AWJ131016 BGD130988:BGF131016 BPZ130988:BQB131016 BZV130988:BZX131016 CJR130988:CJT131016 CTN130988:CTP131016 DDJ130988:DDL131016 DNF130988:DNH131016 DXB130988:DXD131016 EGX130988:EGZ131016 EQT130988:EQV131016 FAP130988:FAR131016 FKL130988:FKN131016 FUH130988:FUJ131016 GED130988:GEF131016 GNZ130988:GOB131016 GXV130988:GXX131016 HHR130988:HHT131016 HRN130988:HRP131016 IBJ130988:IBL131016 ILF130988:ILH131016 IVB130988:IVD131016 JEX130988:JEZ131016 JOT130988:JOV131016 JYP130988:JYR131016 KIL130988:KIN131016 KSH130988:KSJ131016 LCD130988:LCF131016 LLZ130988:LMB131016 LVV130988:LVX131016 MFR130988:MFT131016 MPN130988:MPP131016 MZJ130988:MZL131016 NJF130988:NJH131016 NTB130988:NTD131016 OCX130988:OCZ131016 OMT130988:OMV131016 OWP130988:OWR131016 PGL130988:PGN131016 PQH130988:PQJ131016 QAD130988:QAF131016 QJZ130988:QKB131016 QTV130988:QTX131016 RDR130988:RDT131016 RNN130988:RNP131016 RXJ130988:RXL131016 SHF130988:SHH131016 SRB130988:SRD131016 TAX130988:TAZ131016 TKT130988:TKV131016 TUP130988:TUR131016 UEL130988:UEN131016 UOH130988:UOJ131016 UYD130988:UYF131016 VHZ130988:VIB131016 VRV130988:VRX131016 WBR130988:WBT131016 WLN130988:WLP131016 WVJ130988:WVL131016 IX196524:IZ196552 ST196524:SV196552 ACP196524:ACR196552 AML196524:AMN196552 AWH196524:AWJ196552 BGD196524:BGF196552 BPZ196524:BQB196552 BZV196524:BZX196552 CJR196524:CJT196552 CTN196524:CTP196552 DDJ196524:DDL196552 DNF196524:DNH196552 DXB196524:DXD196552 EGX196524:EGZ196552 EQT196524:EQV196552 FAP196524:FAR196552 FKL196524:FKN196552 FUH196524:FUJ196552 GED196524:GEF196552 GNZ196524:GOB196552 GXV196524:GXX196552 HHR196524:HHT196552 HRN196524:HRP196552 IBJ196524:IBL196552 ILF196524:ILH196552 IVB196524:IVD196552 JEX196524:JEZ196552 JOT196524:JOV196552 JYP196524:JYR196552 KIL196524:KIN196552 KSH196524:KSJ196552 LCD196524:LCF196552 LLZ196524:LMB196552 LVV196524:LVX196552 MFR196524:MFT196552 MPN196524:MPP196552 MZJ196524:MZL196552 NJF196524:NJH196552 NTB196524:NTD196552 OCX196524:OCZ196552 OMT196524:OMV196552 OWP196524:OWR196552 PGL196524:PGN196552 PQH196524:PQJ196552 QAD196524:QAF196552 QJZ196524:QKB196552 QTV196524:QTX196552 RDR196524:RDT196552 RNN196524:RNP196552 RXJ196524:RXL196552 SHF196524:SHH196552 SRB196524:SRD196552 TAX196524:TAZ196552 TKT196524:TKV196552 TUP196524:TUR196552 UEL196524:UEN196552 UOH196524:UOJ196552 UYD196524:UYF196552 VHZ196524:VIB196552 VRV196524:VRX196552 WBR196524:WBT196552 WLN196524:WLP196552 WVJ196524:WVL196552 IX262060:IZ262088 ST262060:SV262088 ACP262060:ACR262088 AML262060:AMN262088 AWH262060:AWJ262088 BGD262060:BGF262088 BPZ262060:BQB262088 BZV262060:BZX262088 CJR262060:CJT262088 CTN262060:CTP262088 DDJ262060:DDL262088 DNF262060:DNH262088 DXB262060:DXD262088 EGX262060:EGZ262088 EQT262060:EQV262088 FAP262060:FAR262088 FKL262060:FKN262088 FUH262060:FUJ262088 GED262060:GEF262088 GNZ262060:GOB262088 GXV262060:GXX262088 HHR262060:HHT262088 HRN262060:HRP262088 IBJ262060:IBL262088 ILF262060:ILH262088 IVB262060:IVD262088 JEX262060:JEZ262088 JOT262060:JOV262088 JYP262060:JYR262088 KIL262060:KIN262088 KSH262060:KSJ262088 LCD262060:LCF262088 LLZ262060:LMB262088 LVV262060:LVX262088 MFR262060:MFT262088 MPN262060:MPP262088 MZJ262060:MZL262088 NJF262060:NJH262088 NTB262060:NTD262088 OCX262060:OCZ262088 OMT262060:OMV262088 OWP262060:OWR262088 PGL262060:PGN262088 PQH262060:PQJ262088 QAD262060:QAF262088 QJZ262060:QKB262088 QTV262060:QTX262088 RDR262060:RDT262088 RNN262060:RNP262088 RXJ262060:RXL262088 SHF262060:SHH262088 SRB262060:SRD262088 TAX262060:TAZ262088 TKT262060:TKV262088 TUP262060:TUR262088 UEL262060:UEN262088 UOH262060:UOJ262088 UYD262060:UYF262088 VHZ262060:VIB262088 VRV262060:VRX262088 WBR262060:WBT262088 WLN262060:WLP262088 WVJ262060:WVL262088 IX327596:IZ327624 ST327596:SV327624 ACP327596:ACR327624 AML327596:AMN327624 AWH327596:AWJ327624 BGD327596:BGF327624 BPZ327596:BQB327624 BZV327596:BZX327624 CJR327596:CJT327624 CTN327596:CTP327624 DDJ327596:DDL327624 DNF327596:DNH327624 DXB327596:DXD327624 EGX327596:EGZ327624 EQT327596:EQV327624 FAP327596:FAR327624 FKL327596:FKN327624 FUH327596:FUJ327624 GED327596:GEF327624 GNZ327596:GOB327624 GXV327596:GXX327624 HHR327596:HHT327624 HRN327596:HRP327624 IBJ327596:IBL327624 ILF327596:ILH327624 IVB327596:IVD327624 JEX327596:JEZ327624 JOT327596:JOV327624 JYP327596:JYR327624 KIL327596:KIN327624 KSH327596:KSJ327624 LCD327596:LCF327624 LLZ327596:LMB327624 LVV327596:LVX327624 MFR327596:MFT327624 MPN327596:MPP327624 MZJ327596:MZL327624 NJF327596:NJH327624 NTB327596:NTD327624 OCX327596:OCZ327624 OMT327596:OMV327624 OWP327596:OWR327624 PGL327596:PGN327624 PQH327596:PQJ327624 QAD327596:QAF327624 QJZ327596:QKB327624 QTV327596:QTX327624 RDR327596:RDT327624 RNN327596:RNP327624 RXJ327596:RXL327624 SHF327596:SHH327624 SRB327596:SRD327624 TAX327596:TAZ327624 TKT327596:TKV327624 TUP327596:TUR327624 UEL327596:UEN327624 UOH327596:UOJ327624 UYD327596:UYF327624 VHZ327596:VIB327624 VRV327596:VRX327624 WBR327596:WBT327624 WLN327596:WLP327624 WVJ327596:WVL327624 IX393132:IZ393160 ST393132:SV393160 ACP393132:ACR393160 AML393132:AMN393160 AWH393132:AWJ393160 BGD393132:BGF393160 BPZ393132:BQB393160 BZV393132:BZX393160 CJR393132:CJT393160 CTN393132:CTP393160 DDJ393132:DDL393160 DNF393132:DNH393160 DXB393132:DXD393160 EGX393132:EGZ393160 EQT393132:EQV393160 FAP393132:FAR393160 FKL393132:FKN393160 FUH393132:FUJ393160 GED393132:GEF393160 GNZ393132:GOB393160 GXV393132:GXX393160 HHR393132:HHT393160 HRN393132:HRP393160 IBJ393132:IBL393160 ILF393132:ILH393160 IVB393132:IVD393160 JEX393132:JEZ393160 JOT393132:JOV393160 JYP393132:JYR393160 KIL393132:KIN393160 KSH393132:KSJ393160 LCD393132:LCF393160 LLZ393132:LMB393160 LVV393132:LVX393160 MFR393132:MFT393160 MPN393132:MPP393160 MZJ393132:MZL393160 NJF393132:NJH393160 NTB393132:NTD393160 OCX393132:OCZ393160 OMT393132:OMV393160 OWP393132:OWR393160 PGL393132:PGN393160 PQH393132:PQJ393160 QAD393132:QAF393160 QJZ393132:QKB393160 QTV393132:QTX393160 RDR393132:RDT393160 RNN393132:RNP393160 RXJ393132:RXL393160 SHF393132:SHH393160 SRB393132:SRD393160 TAX393132:TAZ393160 TKT393132:TKV393160 TUP393132:TUR393160 UEL393132:UEN393160 UOH393132:UOJ393160 UYD393132:UYF393160 VHZ393132:VIB393160 VRV393132:VRX393160 WBR393132:WBT393160 WLN393132:WLP393160 WVJ393132:WVL393160 IX458668:IZ458696 ST458668:SV458696 ACP458668:ACR458696 AML458668:AMN458696 AWH458668:AWJ458696 BGD458668:BGF458696 BPZ458668:BQB458696 BZV458668:BZX458696 CJR458668:CJT458696 CTN458668:CTP458696 DDJ458668:DDL458696 DNF458668:DNH458696 DXB458668:DXD458696 EGX458668:EGZ458696 EQT458668:EQV458696 FAP458668:FAR458696 FKL458668:FKN458696 FUH458668:FUJ458696 GED458668:GEF458696 GNZ458668:GOB458696 GXV458668:GXX458696 HHR458668:HHT458696 HRN458668:HRP458696 IBJ458668:IBL458696 ILF458668:ILH458696 IVB458668:IVD458696 JEX458668:JEZ458696 JOT458668:JOV458696 JYP458668:JYR458696 KIL458668:KIN458696 KSH458668:KSJ458696 LCD458668:LCF458696 LLZ458668:LMB458696 LVV458668:LVX458696 MFR458668:MFT458696 MPN458668:MPP458696 MZJ458668:MZL458696 NJF458668:NJH458696 NTB458668:NTD458696 OCX458668:OCZ458696 OMT458668:OMV458696 OWP458668:OWR458696 PGL458668:PGN458696 PQH458668:PQJ458696 QAD458668:QAF458696 QJZ458668:QKB458696 QTV458668:QTX458696 RDR458668:RDT458696 RNN458668:RNP458696 RXJ458668:RXL458696 SHF458668:SHH458696 SRB458668:SRD458696 TAX458668:TAZ458696 TKT458668:TKV458696 TUP458668:TUR458696 UEL458668:UEN458696 UOH458668:UOJ458696 UYD458668:UYF458696 VHZ458668:VIB458696 VRV458668:VRX458696 WBR458668:WBT458696 WLN458668:WLP458696 WVJ458668:WVL458696 IX524204:IZ524232 ST524204:SV524232 ACP524204:ACR524232 AML524204:AMN524232 AWH524204:AWJ524232 BGD524204:BGF524232 BPZ524204:BQB524232 BZV524204:BZX524232 CJR524204:CJT524232 CTN524204:CTP524232 DDJ524204:DDL524232 DNF524204:DNH524232 DXB524204:DXD524232 EGX524204:EGZ524232 EQT524204:EQV524232 FAP524204:FAR524232 FKL524204:FKN524232 FUH524204:FUJ524232 GED524204:GEF524232 GNZ524204:GOB524232 GXV524204:GXX524232 HHR524204:HHT524232 HRN524204:HRP524232 IBJ524204:IBL524232 ILF524204:ILH524232 IVB524204:IVD524232 JEX524204:JEZ524232 JOT524204:JOV524232 JYP524204:JYR524232 KIL524204:KIN524232 KSH524204:KSJ524232 LCD524204:LCF524232 LLZ524204:LMB524232 LVV524204:LVX524232 MFR524204:MFT524232 MPN524204:MPP524232 MZJ524204:MZL524232 NJF524204:NJH524232 NTB524204:NTD524232 OCX524204:OCZ524232 OMT524204:OMV524232 OWP524204:OWR524232 PGL524204:PGN524232 PQH524204:PQJ524232 QAD524204:QAF524232 QJZ524204:QKB524232 QTV524204:QTX524232 RDR524204:RDT524232 RNN524204:RNP524232 RXJ524204:RXL524232 SHF524204:SHH524232 SRB524204:SRD524232 TAX524204:TAZ524232 TKT524204:TKV524232 TUP524204:TUR524232 UEL524204:UEN524232 UOH524204:UOJ524232 UYD524204:UYF524232 VHZ524204:VIB524232 VRV524204:VRX524232 WBR524204:WBT524232 WLN524204:WLP524232 WVJ524204:WVL524232 IX589740:IZ589768 ST589740:SV589768 ACP589740:ACR589768 AML589740:AMN589768 AWH589740:AWJ589768 BGD589740:BGF589768 BPZ589740:BQB589768 BZV589740:BZX589768 CJR589740:CJT589768 CTN589740:CTP589768 DDJ589740:DDL589768 DNF589740:DNH589768 DXB589740:DXD589768 EGX589740:EGZ589768 EQT589740:EQV589768 FAP589740:FAR589768 FKL589740:FKN589768 FUH589740:FUJ589768 GED589740:GEF589768 GNZ589740:GOB589768 GXV589740:GXX589768 HHR589740:HHT589768 HRN589740:HRP589768 IBJ589740:IBL589768 ILF589740:ILH589768 IVB589740:IVD589768 JEX589740:JEZ589768 JOT589740:JOV589768 JYP589740:JYR589768 KIL589740:KIN589768 KSH589740:KSJ589768 LCD589740:LCF589768 LLZ589740:LMB589768 LVV589740:LVX589768 MFR589740:MFT589768 MPN589740:MPP589768 MZJ589740:MZL589768 NJF589740:NJH589768 NTB589740:NTD589768 OCX589740:OCZ589768 OMT589740:OMV589768 OWP589740:OWR589768 PGL589740:PGN589768 PQH589740:PQJ589768 QAD589740:QAF589768 QJZ589740:QKB589768 QTV589740:QTX589768 RDR589740:RDT589768 RNN589740:RNP589768 RXJ589740:RXL589768 SHF589740:SHH589768 SRB589740:SRD589768 TAX589740:TAZ589768 TKT589740:TKV589768 TUP589740:TUR589768 UEL589740:UEN589768 UOH589740:UOJ589768 UYD589740:UYF589768 VHZ589740:VIB589768 VRV589740:VRX589768 WBR589740:WBT589768 WLN589740:WLP589768 WVJ589740:WVL589768 IX655276:IZ655304 ST655276:SV655304 ACP655276:ACR655304 AML655276:AMN655304 AWH655276:AWJ655304 BGD655276:BGF655304 BPZ655276:BQB655304 BZV655276:BZX655304 CJR655276:CJT655304 CTN655276:CTP655304 DDJ655276:DDL655304 DNF655276:DNH655304 DXB655276:DXD655304 EGX655276:EGZ655304 EQT655276:EQV655304 FAP655276:FAR655304 FKL655276:FKN655304 FUH655276:FUJ655304 GED655276:GEF655304 GNZ655276:GOB655304 GXV655276:GXX655304 HHR655276:HHT655304 HRN655276:HRP655304 IBJ655276:IBL655304 ILF655276:ILH655304 IVB655276:IVD655304 JEX655276:JEZ655304 JOT655276:JOV655304 JYP655276:JYR655304 KIL655276:KIN655304 KSH655276:KSJ655304 LCD655276:LCF655304 LLZ655276:LMB655304 LVV655276:LVX655304 MFR655276:MFT655304 MPN655276:MPP655304 MZJ655276:MZL655304 NJF655276:NJH655304 NTB655276:NTD655304 OCX655276:OCZ655304 OMT655276:OMV655304 OWP655276:OWR655304 PGL655276:PGN655304 PQH655276:PQJ655304 QAD655276:QAF655304 QJZ655276:QKB655304 QTV655276:QTX655304 RDR655276:RDT655304 RNN655276:RNP655304 RXJ655276:RXL655304 SHF655276:SHH655304 SRB655276:SRD655304 TAX655276:TAZ655304 TKT655276:TKV655304 TUP655276:TUR655304 UEL655276:UEN655304 UOH655276:UOJ655304 UYD655276:UYF655304 VHZ655276:VIB655304 VRV655276:VRX655304 WBR655276:WBT655304 WLN655276:WLP655304 WVJ655276:WVL655304 IX720812:IZ720840 ST720812:SV720840 ACP720812:ACR720840 AML720812:AMN720840 AWH720812:AWJ720840 BGD720812:BGF720840 BPZ720812:BQB720840 BZV720812:BZX720840 CJR720812:CJT720840 CTN720812:CTP720840 DDJ720812:DDL720840 DNF720812:DNH720840 DXB720812:DXD720840 EGX720812:EGZ720840 EQT720812:EQV720840 FAP720812:FAR720840 FKL720812:FKN720840 FUH720812:FUJ720840 GED720812:GEF720840 GNZ720812:GOB720840 GXV720812:GXX720840 HHR720812:HHT720840 HRN720812:HRP720840 IBJ720812:IBL720840 ILF720812:ILH720840 IVB720812:IVD720840 JEX720812:JEZ720840 JOT720812:JOV720840 JYP720812:JYR720840 KIL720812:KIN720840 KSH720812:KSJ720840 LCD720812:LCF720840 LLZ720812:LMB720840 LVV720812:LVX720840 MFR720812:MFT720840 MPN720812:MPP720840 MZJ720812:MZL720840 NJF720812:NJH720840 NTB720812:NTD720840 OCX720812:OCZ720840 OMT720812:OMV720840 OWP720812:OWR720840 PGL720812:PGN720840 PQH720812:PQJ720840 QAD720812:QAF720840 QJZ720812:QKB720840 QTV720812:QTX720840 RDR720812:RDT720840 RNN720812:RNP720840 RXJ720812:RXL720840 SHF720812:SHH720840 SRB720812:SRD720840 TAX720812:TAZ720840 TKT720812:TKV720840 TUP720812:TUR720840 UEL720812:UEN720840 UOH720812:UOJ720840 UYD720812:UYF720840 VHZ720812:VIB720840 VRV720812:VRX720840 WBR720812:WBT720840 WLN720812:WLP720840 WVJ720812:WVL720840 IX786348:IZ786376 ST786348:SV786376 ACP786348:ACR786376 AML786348:AMN786376 AWH786348:AWJ786376 BGD786348:BGF786376 BPZ786348:BQB786376 BZV786348:BZX786376 CJR786348:CJT786376 CTN786348:CTP786376 DDJ786348:DDL786376 DNF786348:DNH786376 DXB786348:DXD786376 EGX786348:EGZ786376 EQT786348:EQV786376 FAP786348:FAR786376 FKL786348:FKN786376 FUH786348:FUJ786376 GED786348:GEF786376 GNZ786348:GOB786376 GXV786348:GXX786376 HHR786348:HHT786376 HRN786348:HRP786376 IBJ786348:IBL786376 ILF786348:ILH786376 IVB786348:IVD786376 JEX786348:JEZ786376 JOT786348:JOV786376 JYP786348:JYR786376 KIL786348:KIN786376 KSH786348:KSJ786376 LCD786348:LCF786376 LLZ786348:LMB786376 LVV786348:LVX786376 MFR786348:MFT786376 MPN786348:MPP786376 MZJ786348:MZL786376 NJF786348:NJH786376 NTB786348:NTD786376 OCX786348:OCZ786376 OMT786348:OMV786376 OWP786348:OWR786376 PGL786348:PGN786376 PQH786348:PQJ786376 QAD786348:QAF786376 QJZ786348:QKB786376 QTV786348:QTX786376 RDR786348:RDT786376 RNN786348:RNP786376 RXJ786348:RXL786376 SHF786348:SHH786376 SRB786348:SRD786376 TAX786348:TAZ786376 TKT786348:TKV786376 TUP786348:TUR786376 UEL786348:UEN786376 UOH786348:UOJ786376 UYD786348:UYF786376 VHZ786348:VIB786376 VRV786348:VRX786376 WBR786348:WBT786376 WLN786348:WLP786376 WVJ786348:WVL786376 IX851884:IZ851912 ST851884:SV851912 ACP851884:ACR851912 AML851884:AMN851912 AWH851884:AWJ851912 BGD851884:BGF851912 BPZ851884:BQB851912 BZV851884:BZX851912 CJR851884:CJT851912 CTN851884:CTP851912 DDJ851884:DDL851912 DNF851884:DNH851912 DXB851884:DXD851912 EGX851884:EGZ851912 EQT851884:EQV851912 FAP851884:FAR851912 FKL851884:FKN851912 FUH851884:FUJ851912 GED851884:GEF851912 GNZ851884:GOB851912 GXV851884:GXX851912 HHR851884:HHT851912 HRN851884:HRP851912 IBJ851884:IBL851912 ILF851884:ILH851912 IVB851884:IVD851912 JEX851884:JEZ851912 JOT851884:JOV851912 JYP851884:JYR851912 KIL851884:KIN851912 KSH851884:KSJ851912 LCD851884:LCF851912 LLZ851884:LMB851912 LVV851884:LVX851912 MFR851884:MFT851912 MPN851884:MPP851912 MZJ851884:MZL851912 NJF851884:NJH851912 NTB851884:NTD851912 OCX851884:OCZ851912 OMT851884:OMV851912 OWP851884:OWR851912 PGL851884:PGN851912 PQH851884:PQJ851912 QAD851884:QAF851912 QJZ851884:QKB851912 QTV851884:QTX851912 RDR851884:RDT851912 RNN851884:RNP851912 RXJ851884:RXL851912 SHF851884:SHH851912 SRB851884:SRD851912 TAX851884:TAZ851912 TKT851884:TKV851912 TUP851884:TUR851912 UEL851884:UEN851912 UOH851884:UOJ851912 UYD851884:UYF851912 VHZ851884:VIB851912 VRV851884:VRX851912 WBR851884:WBT851912 WLN851884:WLP851912 WVJ851884:WVL851912 IX917420:IZ917448 ST917420:SV917448 ACP917420:ACR917448 AML917420:AMN917448 AWH917420:AWJ917448 BGD917420:BGF917448 BPZ917420:BQB917448 BZV917420:BZX917448 CJR917420:CJT917448 CTN917420:CTP917448 DDJ917420:DDL917448 DNF917420:DNH917448 DXB917420:DXD917448 EGX917420:EGZ917448 EQT917420:EQV917448 FAP917420:FAR917448 FKL917420:FKN917448 FUH917420:FUJ917448 GED917420:GEF917448 GNZ917420:GOB917448 GXV917420:GXX917448 HHR917420:HHT917448 HRN917420:HRP917448 IBJ917420:IBL917448 ILF917420:ILH917448 IVB917420:IVD917448 JEX917420:JEZ917448 JOT917420:JOV917448 JYP917420:JYR917448 KIL917420:KIN917448 KSH917420:KSJ917448 LCD917420:LCF917448 LLZ917420:LMB917448 LVV917420:LVX917448 MFR917420:MFT917448 MPN917420:MPP917448 MZJ917420:MZL917448 NJF917420:NJH917448 NTB917420:NTD917448 OCX917420:OCZ917448 OMT917420:OMV917448 OWP917420:OWR917448 PGL917420:PGN917448 PQH917420:PQJ917448 QAD917420:QAF917448 QJZ917420:QKB917448 QTV917420:QTX917448 RDR917420:RDT917448 RNN917420:RNP917448 RXJ917420:RXL917448 SHF917420:SHH917448 SRB917420:SRD917448 TAX917420:TAZ917448 TKT917420:TKV917448 TUP917420:TUR917448 UEL917420:UEN917448 UOH917420:UOJ917448 UYD917420:UYF917448 VHZ917420:VIB917448 VRV917420:VRX917448 WBR917420:WBT917448 WLN917420:WLP917448 WVJ917420:WVL917448 IX982956:IZ982984 ST982956:SV982984 ACP982956:ACR982984 AML982956:AMN982984 AWH982956:AWJ982984 BGD982956:BGF982984 BPZ982956:BQB982984 BZV982956:BZX982984 CJR982956:CJT982984 CTN982956:CTP982984 DDJ982956:DDL982984 DNF982956:DNH982984 DXB982956:DXD982984 EGX982956:EGZ982984 EQT982956:EQV982984 FAP982956:FAR982984 FKL982956:FKN982984 FUH982956:FUJ982984 GED982956:GEF982984 GNZ982956:GOB982984 GXV982956:GXX982984 HHR982956:HHT982984 HRN982956:HRP982984 IBJ982956:IBL982984 ILF982956:ILH982984 IVB982956:IVD982984 JEX982956:JEZ982984 JOT982956:JOV982984 JYP982956:JYR982984 KIL982956:KIN982984 KSH982956:KSJ982984 LCD982956:LCF982984 LLZ982956:LMB982984 LVV982956:LVX982984 MFR982956:MFT982984 MPN982956:MPP982984 MZJ982956:MZL982984 NJF982956:NJH982984 NTB982956:NTD982984 OCX982956:OCZ982984 OMT982956:OMV982984 OWP982956:OWR982984 PGL982956:PGN982984 PQH982956:PQJ982984 QAD982956:QAF982984 QJZ982956:QKB982984 QTV982956:QTX982984 RDR982956:RDT982984 RNN982956:RNP982984 RXJ982956:RXL982984 SHF982956:SHH982984 SRB982956:SRD982984 TAX982956:TAZ982984 TKT982956:TKV982984 TUP982956:TUR982984 UEL982956:UEN982984 UOH982956:UOJ982984 UYD982956:UYF982984 VHZ982956:VIB982984 VRV982956:VRX982984 WBR982956:WBT982984 WLN982956:WLP982984 WVJ982956:WVL982984 WVI5:WVL5 WLM5:WLP5 WBQ5:WBT5 VRU5:VRX5 VHY5:VIB5 UYC5:UYF5 UOG5:UOJ5 UEK5:UEN5 TUO5:TUR5 TKS5:TKV5 TAW5:TAZ5 SRA5:SRD5 SHE5:SHH5 RXI5:RXL5 RNM5:RNP5 RDQ5:RDT5 QTU5:QTX5 QJY5:QKB5 QAC5:QAF5 PQG5:PQJ5 PGK5:PGN5 OWO5:OWR5 OMS5:OMV5 OCW5:OCZ5 NTA5:NTD5 NJE5:NJH5 MZI5:MZL5 MPM5:MPP5 MFQ5:MFT5 LVU5:LVX5 LLY5:LMB5 LCC5:LCF5 KSG5:KSJ5 KIK5:KIN5 JYO5:JYR5 JOS5:JOV5 JEW5:JEZ5 IVA5:IVD5 ILE5:ILH5 IBI5:IBL5 HRM5:HRP5 HHQ5:HHT5 GXU5:GXX5 GNY5:GOB5 GEC5:GEF5 FUG5:FUJ5 FKK5:FKN5 FAO5:FAR5 EQS5:EQV5 EGW5:EGZ5 DXA5:DXD5 DNE5:DNH5 DDI5:DDL5 CTM5:CTP5 CJQ5:CJT5 BZU5:BZX5 BPY5:BQB5 BGC5:BGF5 AWG5:AWJ5 AMK5:AMN5 ACO5:ACR5 SS5:SV5 IW5:IZ5 B5:E5"/>
    <dataValidation type="whole" operator="greaterThanOrEqual" allowBlank="1" showInputMessage="1" showErrorMessage="1" errorTitle="과정관리 번호 입력" error="정수만 입력될 수 있습니다._x000a_ " sqref="B65452:B65480 B982956:B982984 B917420:B917448 B851884:B851912 B786348:B786376 B720812:B720840 B655276:B655304 B589740:B589768 B524204:B524232 B458668:B458696 B393132:B393160 B327596:B327624 B262060:B262088 B196524:B196552 B130988:B131016 IW65452:IW65480 SS65452:SS65480 ACO65452:ACO65480 AMK65452:AMK65480 AWG65452:AWG65480 BGC65452:BGC65480 BPY65452:BPY65480 BZU65452:BZU65480 CJQ65452:CJQ65480 CTM65452:CTM65480 DDI65452:DDI65480 DNE65452:DNE65480 DXA65452:DXA65480 EGW65452:EGW65480 EQS65452:EQS65480 FAO65452:FAO65480 FKK65452:FKK65480 FUG65452:FUG65480 GEC65452:GEC65480 GNY65452:GNY65480 GXU65452:GXU65480 HHQ65452:HHQ65480 HRM65452:HRM65480 IBI65452:IBI65480 ILE65452:ILE65480 IVA65452:IVA65480 JEW65452:JEW65480 JOS65452:JOS65480 JYO65452:JYO65480 KIK65452:KIK65480 KSG65452:KSG65480 LCC65452:LCC65480 LLY65452:LLY65480 LVU65452:LVU65480 MFQ65452:MFQ65480 MPM65452:MPM65480 MZI65452:MZI65480 NJE65452:NJE65480 NTA65452:NTA65480 OCW65452:OCW65480 OMS65452:OMS65480 OWO65452:OWO65480 PGK65452:PGK65480 PQG65452:PQG65480 QAC65452:QAC65480 QJY65452:QJY65480 QTU65452:QTU65480 RDQ65452:RDQ65480 RNM65452:RNM65480 RXI65452:RXI65480 SHE65452:SHE65480 SRA65452:SRA65480 TAW65452:TAW65480 TKS65452:TKS65480 TUO65452:TUO65480 UEK65452:UEK65480 UOG65452:UOG65480 UYC65452:UYC65480 VHY65452:VHY65480 VRU65452:VRU65480 WBQ65452:WBQ65480 WLM65452:WLM65480 WVI65452:WVI65480 IW130988:IW131016 SS130988:SS131016 ACO130988:ACO131016 AMK130988:AMK131016 AWG130988:AWG131016 BGC130988:BGC131016 BPY130988:BPY131016 BZU130988:BZU131016 CJQ130988:CJQ131016 CTM130988:CTM131016 DDI130988:DDI131016 DNE130988:DNE131016 DXA130988:DXA131016 EGW130988:EGW131016 EQS130988:EQS131016 FAO130988:FAO131016 FKK130988:FKK131016 FUG130988:FUG131016 GEC130988:GEC131016 GNY130988:GNY131016 GXU130988:GXU131016 HHQ130988:HHQ131016 HRM130988:HRM131016 IBI130988:IBI131016 ILE130988:ILE131016 IVA130988:IVA131016 JEW130988:JEW131016 JOS130988:JOS131016 JYO130988:JYO131016 KIK130988:KIK131016 KSG130988:KSG131016 LCC130988:LCC131016 LLY130988:LLY131016 LVU130988:LVU131016 MFQ130988:MFQ131016 MPM130988:MPM131016 MZI130988:MZI131016 NJE130988:NJE131016 NTA130988:NTA131016 OCW130988:OCW131016 OMS130988:OMS131016 OWO130988:OWO131016 PGK130988:PGK131016 PQG130988:PQG131016 QAC130988:QAC131016 QJY130988:QJY131016 QTU130988:QTU131016 RDQ130988:RDQ131016 RNM130988:RNM131016 RXI130988:RXI131016 SHE130988:SHE131016 SRA130988:SRA131016 TAW130988:TAW131016 TKS130988:TKS131016 TUO130988:TUO131016 UEK130988:UEK131016 UOG130988:UOG131016 UYC130988:UYC131016 VHY130988:VHY131016 VRU130988:VRU131016 WBQ130988:WBQ131016 WLM130988:WLM131016 WVI130988:WVI131016 IW196524:IW196552 SS196524:SS196552 ACO196524:ACO196552 AMK196524:AMK196552 AWG196524:AWG196552 BGC196524:BGC196552 BPY196524:BPY196552 BZU196524:BZU196552 CJQ196524:CJQ196552 CTM196524:CTM196552 DDI196524:DDI196552 DNE196524:DNE196552 DXA196524:DXA196552 EGW196524:EGW196552 EQS196524:EQS196552 FAO196524:FAO196552 FKK196524:FKK196552 FUG196524:FUG196552 GEC196524:GEC196552 GNY196524:GNY196552 GXU196524:GXU196552 HHQ196524:HHQ196552 HRM196524:HRM196552 IBI196524:IBI196552 ILE196524:ILE196552 IVA196524:IVA196552 JEW196524:JEW196552 JOS196524:JOS196552 JYO196524:JYO196552 KIK196524:KIK196552 KSG196524:KSG196552 LCC196524:LCC196552 LLY196524:LLY196552 LVU196524:LVU196552 MFQ196524:MFQ196552 MPM196524:MPM196552 MZI196524:MZI196552 NJE196524:NJE196552 NTA196524:NTA196552 OCW196524:OCW196552 OMS196524:OMS196552 OWO196524:OWO196552 PGK196524:PGK196552 PQG196524:PQG196552 QAC196524:QAC196552 QJY196524:QJY196552 QTU196524:QTU196552 RDQ196524:RDQ196552 RNM196524:RNM196552 RXI196524:RXI196552 SHE196524:SHE196552 SRA196524:SRA196552 TAW196524:TAW196552 TKS196524:TKS196552 TUO196524:TUO196552 UEK196524:UEK196552 UOG196524:UOG196552 UYC196524:UYC196552 VHY196524:VHY196552 VRU196524:VRU196552 WBQ196524:WBQ196552 WLM196524:WLM196552 WVI196524:WVI196552 IW262060:IW262088 SS262060:SS262088 ACO262060:ACO262088 AMK262060:AMK262088 AWG262060:AWG262088 BGC262060:BGC262088 BPY262060:BPY262088 BZU262060:BZU262088 CJQ262060:CJQ262088 CTM262060:CTM262088 DDI262060:DDI262088 DNE262060:DNE262088 DXA262060:DXA262088 EGW262060:EGW262088 EQS262060:EQS262088 FAO262060:FAO262088 FKK262060:FKK262088 FUG262060:FUG262088 GEC262060:GEC262088 GNY262060:GNY262088 GXU262060:GXU262088 HHQ262060:HHQ262088 HRM262060:HRM262088 IBI262060:IBI262088 ILE262060:ILE262088 IVA262060:IVA262088 JEW262060:JEW262088 JOS262060:JOS262088 JYO262060:JYO262088 KIK262060:KIK262088 KSG262060:KSG262088 LCC262060:LCC262088 LLY262060:LLY262088 LVU262060:LVU262088 MFQ262060:MFQ262088 MPM262060:MPM262088 MZI262060:MZI262088 NJE262060:NJE262088 NTA262060:NTA262088 OCW262060:OCW262088 OMS262060:OMS262088 OWO262060:OWO262088 PGK262060:PGK262088 PQG262060:PQG262088 QAC262060:QAC262088 QJY262060:QJY262088 QTU262060:QTU262088 RDQ262060:RDQ262088 RNM262060:RNM262088 RXI262060:RXI262088 SHE262060:SHE262088 SRA262060:SRA262088 TAW262060:TAW262088 TKS262060:TKS262088 TUO262060:TUO262088 UEK262060:UEK262088 UOG262060:UOG262088 UYC262060:UYC262088 VHY262060:VHY262088 VRU262060:VRU262088 WBQ262060:WBQ262088 WLM262060:WLM262088 WVI262060:WVI262088 IW327596:IW327624 SS327596:SS327624 ACO327596:ACO327624 AMK327596:AMK327624 AWG327596:AWG327624 BGC327596:BGC327624 BPY327596:BPY327624 BZU327596:BZU327624 CJQ327596:CJQ327624 CTM327596:CTM327624 DDI327596:DDI327624 DNE327596:DNE327624 DXA327596:DXA327624 EGW327596:EGW327624 EQS327596:EQS327624 FAO327596:FAO327624 FKK327596:FKK327624 FUG327596:FUG327624 GEC327596:GEC327624 GNY327596:GNY327624 GXU327596:GXU327624 HHQ327596:HHQ327624 HRM327596:HRM327624 IBI327596:IBI327624 ILE327596:ILE327624 IVA327596:IVA327624 JEW327596:JEW327624 JOS327596:JOS327624 JYO327596:JYO327624 KIK327596:KIK327624 KSG327596:KSG327624 LCC327596:LCC327624 LLY327596:LLY327624 LVU327596:LVU327624 MFQ327596:MFQ327624 MPM327596:MPM327624 MZI327596:MZI327624 NJE327596:NJE327624 NTA327596:NTA327624 OCW327596:OCW327624 OMS327596:OMS327624 OWO327596:OWO327624 PGK327596:PGK327624 PQG327596:PQG327624 QAC327596:QAC327624 QJY327596:QJY327624 QTU327596:QTU327624 RDQ327596:RDQ327624 RNM327596:RNM327624 RXI327596:RXI327624 SHE327596:SHE327624 SRA327596:SRA327624 TAW327596:TAW327624 TKS327596:TKS327624 TUO327596:TUO327624 UEK327596:UEK327624 UOG327596:UOG327624 UYC327596:UYC327624 VHY327596:VHY327624 VRU327596:VRU327624 WBQ327596:WBQ327624 WLM327596:WLM327624 WVI327596:WVI327624 IW393132:IW393160 SS393132:SS393160 ACO393132:ACO393160 AMK393132:AMK393160 AWG393132:AWG393160 BGC393132:BGC393160 BPY393132:BPY393160 BZU393132:BZU393160 CJQ393132:CJQ393160 CTM393132:CTM393160 DDI393132:DDI393160 DNE393132:DNE393160 DXA393132:DXA393160 EGW393132:EGW393160 EQS393132:EQS393160 FAO393132:FAO393160 FKK393132:FKK393160 FUG393132:FUG393160 GEC393132:GEC393160 GNY393132:GNY393160 GXU393132:GXU393160 HHQ393132:HHQ393160 HRM393132:HRM393160 IBI393132:IBI393160 ILE393132:ILE393160 IVA393132:IVA393160 JEW393132:JEW393160 JOS393132:JOS393160 JYO393132:JYO393160 KIK393132:KIK393160 KSG393132:KSG393160 LCC393132:LCC393160 LLY393132:LLY393160 LVU393132:LVU393160 MFQ393132:MFQ393160 MPM393132:MPM393160 MZI393132:MZI393160 NJE393132:NJE393160 NTA393132:NTA393160 OCW393132:OCW393160 OMS393132:OMS393160 OWO393132:OWO393160 PGK393132:PGK393160 PQG393132:PQG393160 QAC393132:QAC393160 QJY393132:QJY393160 QTU393132:QTU393160 RDQ393132:RDQ393160 RNM393132:RNM393160 RXI393132:RXI393160 SHE393132:SHE393160 SRA393132:SRA393160 TAW393132:TAW393160 TKS393132:TKS393160 TUO393132:TUO393160 UEK393132:UEK393160 UOG393132:UOG393160 UYC393132:UYC393160 VHY393132:VHY393160 VRU393132:VRU393160 WBQ393132:WBQ393160 WLM393132:WLM393160 WVI393132:WVI393160 IW458668:IW458696 SS458668:SS458696 ACO458668:ACO458696 AMK458668:AMK458696 AWG458668:AWG458696 BGC458668:BGC458696 BPY458668:BPY458696 BZU458668:BZU458696 CJQ458668:CJQ458696 CTM458668:CTM458696 DDI458668:DDI458696 DNE458668:DNE458696 DXA458668:DXA458696 EGW458668:EGW458696 EQS458668:EQS458696 FAO458668:FAO458696 FKK458668:FKK458696 FUG458668:FUG458696 GEC458668:GEC458696 GNY458668:GNY458696 GXU458668:GXU458696 HHQ458668:HHQ458696 HRM458668:HRM458696 IBI458668:IBI458696 ILE458668:ILE458696 IVA458668:IVA458696 JEW458668:JEW458696 JOS458668:JOS458696 JYO458668:JYO458696 KIK458668:KIK458696 KSG458668:KSG458696 LCC458668:LCC458696 LLY458668:LLY458696 LVU458668:LVU458696 MFQ458668:MFQ458696 MPM458668:MPM458696 MZI458668:MZI458696 NJE458668:NJE458696 NTA458668:NTA458696 OCW458668:OCW458696 OMS458668:OMS458696 OWO458668:OWO458696 PGK458668:PGK458696 PQG458668:PQG458696 QAC458668:QAC458696 QJY458668:QJY458696 QTU458668:QTU458696 RDQ458668:RDQ458696 RNM458668:RNM458696 RXI458668:RXI458696 SHE458668:SHE458696 SRA458668:SRA458696 TAW458668:TAW458696 TKS458668:TKS458696 TUO458668:TUO458696 UEK458668:UEK458696 UOG458668:UOG458696 UYC458668:UYC458696 VHY458668:VHY458696 VRU458668:VRU458696 WBQ458668:WBQ458696 WLM458668:WLM458696 WVI458668:WVI458696 IW524204:IW524232 SS524204:SS524232 ACO524204:ACO524232 AMK524204:AMK524232 AWG524204:AWG524232 BGC524204:BGC524232 BPY524204:BPY524232 BZU524204:BZU524232 CJQ524204:CJQ524232 CTM524204:CTM524232 DDI524204:DDI524232 DNE524204:DNE524232 DXA524204:DXA524232 EGW524204:EGW524232 EQS524204:EQS524232 FAO524204:FAO524232 FKK524204:FKK524232 FUG524204:FUG524232 GEC524204:GEC524232 GNY524204:GNY524232 GXU524204:GXU524232 HHQ524204:HHQ524232 HRM524204:HRM524232 IBI524204:IBI524232 ILE524204:ILE524232 IVA524204:IVA524232 JEW524204:JEW524232 JOS524204:JOS524232 JYO524204:JYO524232 KIK524204:KIK524232 KSG524204:KSG524232 LCC524204:LCC524232 LLY524204:LLY524232 LVU524204:LVU524232 MFQ524204:MFQ524232 MPM524204:MPM524232 MZI524204:MZI524232 NJE524204:NJE524232 NTA524204:NTA524232 OCW524204:OCW524232 OMS524204:OMS524232 OWO524204:OWO524232 PGK524204:PGK524232 PQG524204:PQG524232 QAC524204:QAC524232 QJY524204:QJY524232 QTU524204:QTU524232 RDQ524204:RDQ524232 RNM524204:RNM524232 RXI524204:RXI524232 SHE524204:SHE524232 SRA524204:SRA524232 TAW524204:TAW524232 TKS524204:TKS524232 TUO524204:TUO524232 UEK524204:UEK524232 UOG524204:UOG524232 UYC524204:UYC524232 VHY524204:VHY524232 VRU524204:VRU524232 WBQ524204:WBQ524232 WLM524204:WLM524232 WVI524204:WVI524232 IW589740:IW589768 SS589740:SS589768 ACO589740:ACO589768 AMK589740:AMK589768 AWG589740:AWG589768 BGC589740:BGC589768 BPY589740:BPY589768 BZU589740:BZU589768 CJQ589740:CJQ589768 CTM589740:CTM589768 DDI589740:DDI589768 DNE589740:DNE589768 DXA589740:DXA589768 EGW589740:EGW589768 EQS589740:EQS589768 FAO589740:FAO589768 FKK589740:FKK589768 FUG589740:FUG589768 GEC589740:GEC589768 GNY589740:GNY589768 GXU589740:GXU589768 HHQ589740:HHQ589768 HRM589740:HRM589768 IBI589740:IBI589768 ILE589740:ILE589768 IVA589740:IVA589768 JEW589740:JEW589768 JOS589740:JOS589768 JYO589740:JYO589768 KIK589740:KIK589768 KSG589740:KSG589768 LCC589740:LCC589768 LLY589740:LLY589768 LVU589740:LVU589768 MFQ589740:MFQ589768 MPM589740:MPM589768 MZI589740:MZI589768 NJE589740:NJE589768 NTA589740:NTA589768 OCW589740:OCW589768 OMS589740:OMS589768 OWO589740:OWO589768 PGK589740:PGK589768 PQG589740:PQG589768 QAC589740:QAC589768 QJY589740:QJY589768 QTU589740:QTU589768 RDQ589740:RDQ589768 RNM589740:RNM589768 RXI589740:RXI589768 SHE589740:SHE589768 SRA589740:SRA589768 TAW589740:TAW589768 TKS589740:TKS589768 TUO589740:TUO589768 UEK589740:UEK589768 UOG589740:UOG589768 UYC589740:UYC589768 VHY589740:VHY589768 VRU589740:VRU589768 WBQ589740:WBQ589768 WLM589740:WLM589768 WVI589740:WVI589768 IW655276:IW655304 SS655276:SS655304 ACO655276:ACO655304 AMK655276:AMK655304 AWG655276:AWG655304 BGC655276:BGC655304 BPY655276:BPY655304 BZU655276:BZU655304 CJQ655276:CJQ655304 CTM655276:CTM655304 DDI655276:DDI655304 DNE655276:DNE655304 DXA655276:DXA655304 EGW655276:EGW655304 EQS655276:EQS655304 FAO655276:FAO655304 FKK655276:FKK655304 FUG655276:FUG655304 GEC655276:GEC655304 GNY655276:GNY655304 GXU655276:GXU655304 HHQ655276:HHQ655304 HRM655276:HRM655304 IBI655276:IBI655304 ILE655276:ILE655304 IVA655276:IVA655304 JEW655276:JEW655304 JOS655276:JOS655304 JYO655276:JYO655304 KIK655276:KIK655304 KSG655276:KSG655304 LCC655276:LCC655304 LLY655276:LLY655304 LVU655276:LVU655304 MFQ655276:MFQ655304 MPM655276:MPM655304 MZI655276:MZI655304 NJE655276:NJE655304 NTA655276:NTA655304 OCW655276:OCW655304 OMS655276:OMS655304 OWO655276:OWO655304 PGK655276:PGK655304 PQG655276:PQG655304 QAC655276:QAC655304 QJY655276:QJY655304 QTU655276:QTU655304 RDQ655276:RDQ655304 RNM655276:RNM655304 RXI655276:RXI655304 SHE655276:SHE655304 SRA655276:SRA655304 TAW655276:TAW655304 TKS655276:TKS655304 TUO655276:TUO655304 UEK655276:UEK655304 UOG655276:UOG655304 UYC655276:UYC655304 VHY655276:VHY655304 VRU655276:VRU655304 WBQ655276:WBQ655304 WLM655276:WLM655304 WVI655276:WVI655304 IW720812:IW720840 SS720812:SS720840 ACO720812:ACO720840 AMK720812:AMK720840 AWG720812:AWG720840 BGC720812:BGC720840 BPY720812:BPY720840 BZU720812:BZU720840 CJQ720812:CJQ720840 CTM720812:CTM720840 DDI720812:DDI720840 DNE720812:DNE720840 DXA720812:DXA720840 EGW720812:EGW720840 EQS720812:EQS720840 FAO720812:FAO720840 FKK720812:FKK720840 FUG720812:FUG720840 GEC720812:GEC720840 GNY720812:GNY720840 GXU720812:GXU720840 HHQ720812:HHQ720840 HRM720812:HRM720840 IBI720812:IBI720840 ILE720812:ILE720840 IVA720812:IVA720840 JEW720812:JEW720840 JOS720812:JOS720840 JYO720812:JYO720840 KIK720812:KIK720840 KSG720812:KSG720840 LCC720812:LCC720840 LLY720812:LLY720840 LVU720812:LVU720840 MFQ720812:MFQ720840 MPM720812:MPM720840 MZI720812:MZI720840 NJE720812:NJE720840 NTA720812:NTA720840 OCW720812:OCW720840 OMS720812:OMS720840 OWO720812:OWO720840 PGK720812:PGK720840 PQG720812:PQG720840 QAC720812:QAC720840 QJY720812:QJY720840 QTU720812:QTU720840 RDQ720812:RDQ720840 RNM720812:RNM720840 RXI720812:RXI720840 SHE720812:SHE720840 SRA720812:SRA720840 TAW720812:TAW720840 TKS720812:TKS720840 TUO720812:TUO720840 UEK720812:UEK720840 UOG720812:UOG720840 UYC720812:UYC720840 VHY720812:VHY720840 VRU720812:VRU720840 WBQ720812:WBQ720840 WLM720812:WLM720840 WVI720812:WVI720840 IW786348:IW786376 SS786348:SS786376 ACO786348:ACO786376 AMK786348:AMK786376 AWG786348:AWG786376 BGC786348:BGC786376 BPY786348:BPY786376 BZU786348:BZU786376 CJQ786348:CJQ786376 CTM786348:CTM786376 DDI786348:DDI786376 DNE786348:DNE786376 DXA786348:DXA786376 EGW786348:EGW786376 EQS786348:EQS786376 FAO786348:FAO786376 FKK786348:FKK786376 FUG786348:FUG786376 GEC786348:GEC786376 GNY786348:GNY786376 GXU786348:GXU786376 HHQ786348:HHQ786376 HRM786348:HRM786376 IBI786348:IBI786376 ILE786348:ILE786376 IVA786348:IVA786376 JEW786348:JEW786376 JOS786348:JOS786376 JYO786348:JYO786376 KIK786348:KIK786376 KSG786348:KSG786376 LCC786348:LCC786376 LLY786348:LLY786376 LVU786348:LVU786376 MFQ786348:MFQ786376 MPM786348:MPM786376 MZI786348:MZI786376 NJE786348:NJE786376 NTA786348:NTA786376 OCW786348:OCW786376 OMS786348:OMS786376 OWO786348:OWO786376 PGK786348:PGK786376 PQG786348:PQG786376 QAC786348:QAC786376 QJY786348:QJY786376 QTU786348:QTU786376 RDQ786348:RDQ786376 RNM786348:RNM786376 RXI786348:RXI786376 SHE786348:SHE786376 SRA786348:SRA786376 TAW786348:TAW786376 TKS786348:TKS786376 TUO786348:TUO786376 UEK786348:UEK786376 UOG786348:UOG786376 UYC786348:UYC786376 VHY786348:VHY786376 VRU786348:VRU786376 WBQ786348:WBQ786376 WLM786348:WLM786376 WVI786348:WVI786376 IW851884:IW851912 SS851884:SS851912 ACO851884:ACO851912 AMK851884:AMK851912 AWG851884:AWG851912 BGC851884:BGC851912 BPY851884:BPY851912 BZU851884:BZU851912 CJQ851884:CJQ851912 CTM851884:CTM851912 DDI851884:DDI851912 DNE851884:DNE851912 DXA851884:DXA851912 EGW851884:EGW851912 EQS851884:EQS851912 FAO851884:FAO851912 FKK851884:FKK851912 FUG851884:FUG851912 GEC851884:GEC851912 GNY851884:GNY851912 GXU851884:GXU851912 HHQ851884:HHQ851912 HRM851884:HRM851912 IBI851884:IBI851912 ILE851884:ILE851912 IVA851884:IVA851912 JEW851884:JEW851912 JOS851884:JOS851912 JYO851884:JYO851912 KIK851884:KIK851912 KSG851884:KSG851912 LCC851884:LCC851912 LLY851884:LLY851912 LVU851884:LVU851912 MFQ851884:MFQ851912 MPM851884:MPM851912 MZI851884:MZI851912 NJE851884:NJE851912 NTA851884:NTA851912 OCW851884:OCW851912 OMS851884:OMS851912 OWO851884:OWO851912 PGK851884:PGK851912 PQG851884:PQG851912 QAC851884:QAC851912 QJY851884:QJY851912 QTU851884:QTU851912 RDQ851884:RDQ851912 RNM851884:RNM851912 RXI851884:RXI851912 SHE851884:SHE851912 SRA851884:SRA851912 TAW851884:TAW851912 TKS851884:TKS851912 TUO851884:TUO851912 UEK851884:UEK851912 UOG851884:UOG851912 UYC851884:UYC851912 VHY851884:VHY851912 VRU851884:VRU851912 WBQ851884:WBQ851912 WLM851884:WLM851912 WVI851884:WVI851912 IW917420:IW917448 SS917420:SS917448 ACO917420:ACO917448 AMK917420:AMK917448 AWG917420:AWG917448 BGC917420:BGC917448 BPY917420:BPY917448 BZU917420:BZU917448 CJQ917420:CJQ917448 CTM917420:CTM917448 DDI917420:DDI917448 DNE917420:DNE917448 DXA917420:DXA917448 EGW917420:EGW917448 EQS917420:EQS917448 FAO917420:FAO917448 FKK917420:FKK917448 FUG917420:FUG917448 GEC917420:GEC917448 GNY917420:GNY917448 GXU917420:GXU917448 HHQ917420:HHQ917448 HRM917420:HRM917448 IBI917420:IBI917448 ILE917420:ILE917448 IVA917420:IVA917448 JEW917420:JEW917448 JOS917420:JOS917448 JYO917420:JYO917448 KIK917420:KIK917448 KSG917420:KSG917448 LCC917420:LCC917448 LLY917420:LLY917448 LVU917420:LVU917448 MFQ917420:MFQ917448 MPM917420:MPM917448 MZI917420:MZI917448 NJE917420:NJE917448 NTA917420:NTA917448 OCW917420:OCW917448 OMS917420:OMS917448 OWO917420:OWO917448 PGK917420:PGK917448 PQG917420:PQG917448 QAC917420:QAC917448 QJY917420:QJY917448 QTU917420:QTU917448 RDQ917420:RDQ917448 RNM917420:RNM917448 RXI917420:RXI917448 SHE917420:SHE917448 SRA917420:SRA917448 TAW917420:TAW917448 TKS917420:TKS917448 TUO917420:TUO917448 UEK917420:UEK917448 UOG917420:UOG917448 UYC917420:UYC917448 VHY917420:VHY917448 VRU917420:VRU917448 WBQ917420:WBQ917448 WLM917420:WLM917448 WVI917420:WVI917448 IW982956:IW982984 SS982956:SS982984 ACO982956:ACO982984 AMK982956:AMK982984 AWG982956:AWG982984 BGC982956:BGC982984 BPY982956:BPY982984 BZU982956:BZU982984 CJQ982956:CJQ982984 CTM982956:CTM982984 DDI982956:DDI982984 DNE982956:DNE982984 DXA982956:DXA982984 EGW982956:EGW982984 EQS982956:EQS982984 FAO982956:FAO982984 FKK982956:FKK982984 FUG982956:FUG982984 GEC982956:GEC982984 GNY982956:GNY982984 GXU982956:GXU982984 HHQ982956:HHQ982984 HRM982956:HRM982984 IBI982956:IBI982984 ILE982956:ILE982984 IVA982956:IVA982984 JEW982956:JEW982984 JOS982956:JOS982984 JYO982956:JYO982984 KIK982956:KIK982984 KSG982956:KSG982984 LCC982956:LCC982984 LLY982956:LLY982984 LVU982956:LVU982984 MFQ982956:MFQ982984 MPM982956:MPM982984 MZI982956:MZI982984 NJE982956:NJE982984 NTA982956:NTA982984 OCW982956:OCW982984 OMS982956:OMS982984 OWO982956:OWO982984 PGK982956:PGK982984 PQG982956:PQG982984 QAC982956:QAC982984 QJY982956:QJY982984 QTU982956:QTU982984 RDQ982956:RDQ982984 RNM982956:RNM982984 RXI982956:RXI982984 SHE982956:SHE982984 SRA982956:SRA982984 TAW982956:TAW982984 TKS982956:TKS982984 TUO982956:TUO982984 UEK982956:UEK982984 UOG982956:UOG982984 UYC982956:UYC982984 VHY982956:VHY982984 VRU982956:VRU982984 WBQ982956:WBQ982984 WLM982956:WLM982984 WVI982956:WVI982984">
      <formula1>0</formula1>
    </dataValidation>
  </dataValidations>
  <pageMargins left="0.75" right="0.75" top="1" bottom="1" header="0.5" footer="0.5"/>
  <pageSetup paperSize="9" orientation="portrait" verticalDpi="0"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H20"/>
  <sheetViews>
    <sheetView showGridLines="0" workbookViewId="0">
      <selection activeCell="E18" sqref="E18"/>
    </sheetView>
  </sheetViews>
  <sheetFormatPr defaultRowHeight="13.5" x14ac:dyDescent="0.3"/>
  <cols>
    <col min="1" max="1" width="1.625" style="14" customWidth="1"/>
    <col min="2" max="2" width="6.75" style="14" customWidth="1"/>
    <col min="3" max="3" width="9.875" style="14" customWidth="1"/>
    <col min="4" max="4" width="35.5" style="14" bestFit="1" customWidth="1"/>
    <col min="5" max="5" width="6" style="14" customWidth="1"/>
    <col min="6" max="6" width="11.75" style="14" bestFit="1" customWidth="1"/>
    <col min="7" max="7" width="8.625" style="14" bestFit="1" customWidth="1"/>
    <col min="8" max="8" width="8" style="14" customWidth="1"/>
    <col min="9" max="257" width="9" style="14"/>
    <col min="258" max="258" width="5" style="14" customWidth="1"/>
    <col min="259" max="259" width="9.25" style="14" bestFit="1" customWidth="1"/>
    <col min="260" max="260" width="35.5" style="14" bestFit="1" customWidth="1"/>
    <col min="261" max="261" width="4.75" style="14" bestFit="1" customWidth="1"/>
    <col min="262" max="262" width="11.75" style="14" bestFit="1" customWidth="1"/>
    <col min="263" max="263" width="8.625" style="14" bestFit="1" customWidth="1"/>
    <col min="264" max="264" width="8" style="14" customWidth="1"/>
    <col min="265" max="513" width="9" style="14"/>
    <col min="514" max="514" width="5" style="14" customWidth="1"/>
    <col min="515" max="515" width="9.25" style="14" bestFit="1" customWidth="1"/>
    <col min="516" max="516" width="35.5" style="14" bestFit="1" customWidth="1"/>
    <col min="517" max="517" width="4.75" style="14" bestFit="1" customWidth="1"/>
    <col min="518" max="518" width="11.75" style="14" bestFit="1" customWidth="1"/>
    <col min="519" max="519" width="8.625" style="14" bestFit="1" customWidth="1"/>
    <col min="520" max="520" width="8" style="14" customWidth="1"/>
    <col min="521" max="769" width="9" style="14"/>
    <col min="770" max="770" width="5" style="14" customWidth="1"/>
    <col min="771" max="771" width="9.25" style="14" bestFit="1" customWidth="1"/>
    <col min="772" max="772" width="35.5" style="14" bestFit="1" customWidth="1"/>
    <col min="773" max="773" width="4.75" style="14" bestFit="1" customWidth="1"/>
    <col min="774" max="774" width="11.75" style="14" bestFit="1" customWidth="1"/>
    <col min="775" max="775" width="8.625" style="14" bestFit="1" customWidth="1"/>
    <col min="776" max="776" width="8" style="14" customWidth="1"/>
    <col min="777" max="1025" width="9" style="14"/>
    <col min="1026" max="1026" width="5" style="14" customWidth="1"/>
    <col min="1027" max="1027" width="9.25" style="14" bestFit="1" customWidth="1"/>
    <col min="1028" max="1028" width="35.5" style="14" bestFit="1" customWidth="1"/>
    <col min="1029" max="1029" width="4.75" style="14" bestFit="1" customWidth="1"/>
    <col min="1030" max="1030" width="11.75" style="14" bestFit="1" customWidth="1"/>
    <col min="1031" max="1031" width="8.625" style="14" bestFit="1" customWidth="1"/>
    <col min="1032" max="1032" width="8" style="14" customWidth="1"/>
    <col min="1033" max="1281" width="9" style="14"/>
    <col min="1282" max="1282" width="5" style="14" customWidth="1"/>
    <col min="1283" max="1283" width="9.25" style="14" bestFit="1" customWidth="1"/>
    <col min="1284" max="1284" width="35.5" style="14" bestFit="1" customWidth="1"/>
    <col min="1285" max="1285" width="4.75" style="14" bestFit="1" customWidth="1"/>
    <col min="1286" max="1286" width="11.75" style="14" bestFit="1" customWidth="1"/>
    <col min="1287" max="1287" width="8.625" style="14" bestFit="1" customWidth="1"/>
    <col min="1288" max="1288" width="8" style="14" customWidth="1"/>
    <col min="1289" max="1537" width="9" style="14"/>
    <col min="1538" max="1538" width="5" style="14" customWidth="1"/>
    <col min="1539" max="1539" width="9.25" style="14" bestFit="1" customWidth="1"/>
    <col min="1540" max="1540" width="35.5" style="14" bestFit="1" customWidth="1"/>
    <col min="1541" max="1541" width="4.75" style="14" bestFit="1" customWidth="1"/>
    <col min="1542" max="1542" width="11.75" style="14" bestFit="1" customWidth="1"/>
    <col min="1543" max="1543" width="8.625" style="14" bestFit="1" customWidth="1"/>
    <col min="1544" max="1544" width="8" style="14" customWidth="1"/>
    <col min="1545" max="1793" width="9" style="14"/>
    <col min="1794" max="1794" width="5" style="14" customWidth="1"/>
    <col min="1795" max="1795" width="9.25" style="14" bestFit="1" customWidth="1"/>
    <col min="1796" max="1796" width="35.5" style="14" bestFit="1" customWidth="1"/>
    <col min="1797" max="1797" width="4.75" style="14" bestFit="1" customWidth="1"/>
    <col min="1798" max="1798" width="11.75" style="14" bestFit="1" customWidth="1"/>
    <col min="1799" max="1799" width="8.625" style="14" bestFit="1" customWidth="1"/>
    <col min="1800" max="1800" width="8" style="14" customWidth="1"/>
    <col min="1801" max="2049" width="9" style="14"/>
    <col min="2050" max="2050" width="5" style="14" customWidth="1"/>
    <col min="2051" max="2051" width="9.25" style="14" bestFit="1" customWidth="1"/>
    <col min="2052" max="2052" width="35.5" style="14" bestFit="1" customWidth="1"/>
    <col min="2053" max="2053" width="4.75" style="14" bestFit="1" customWidth="1"/>
    <col min="2054" max="2054" width="11.75" style="14" bestFit="1" customWidth="1"/>
    <col min="2055" max="2055" width="8.625" style="14" bestFit="1" customWidth="1"/>
    <col min="2056" max="2056" width="8" style="14" customWidth="1"/>
    <col min="2057" max="2305" width="9" style="14"/>
    <col min="2306" max="2306" width="5" style="14" customWidth="1"/>
    <col min="2307" max="2307" width="9.25" style="14" bestFit="1" customWidth="1"/>
    <col min="2308" max="2308" width="35.5" style="14" bestFit="1" customWidth="1"/>
    <col min="2309" max="2309" width="4.75" style="14" bestFit="1" customWidth="1"/>
    <col min="2310" max="2310" width="11.75" style="14" bestFit="1" customWidth="1"/>
    <col min="2311" max="2311" width="8.625" style="14" bestFit="1" customWidth="1"/>
    <col min="2312" max="2312" width="8" style="14" customWidth="1"/>
    <col min="2313" max="2561" width="9" style="14"/>
    <col min="2562" max="2562" width="5" style="14" customWidth="1"/>
    <col min="2563" max="2563" width="9.25" style="14" bestFit="1" customWidth="1"/>
    <col min="2564" max="2564" width="35.5" style="14" bestFit="1" customWidth="1"/>
    <col min="2565" max="2565" width="4.75" style="14" bestFit="1" customWidth="1"/>
    <col min="2566" max="2566" width="11.75" style="14" bestFit="1" customWidth="1"/>
    <col min="2567" max="2567" width="8.625" style="14" bestFit="1" customWidth="1"/>
    <col min="2568" max="2568" width="8" style="14" customWidth="1"/>
    <col min="2569" max="2817" width="9" style="14"/>
    <col min="2818" max="2818" width="5" style="14" customWidth="1"/>
    <col min="2819" max="2819" width="9.25" style="14" bestFit="1" customWidth="1"/>
    <col min="2820" max="2820" width="35.5" style="14" bestFit="1" customWidth="1"/>
    <col min="2821" max="2821" width="4.75" style="14" bestFit="1" customWidth="1"/>
    <col min="2822" max="2822" width="11.75" style="14" bestFit="1" customWidth="1"/>
    <col min="2823" max="2823" width="8.625" style="14" bestFit="1" customWidth="1"/>
    <col min="2824" max="2824" width="8" style="14" customWidth="1"/>
    <col min="2825" max="3073" width="9" style="14"/>
    <col min="3074" max="3074" width="5" style="14" customWidth="1"/>
    <col min="3075" max="3075" width="9.25" style="14" bestFit="1" customWidth="1"/>
    <col min="3076" max="3076" width="35.5" style="14" bestFit="1" customWidth="1"/>
    <col min="3077" max="3077" width="4.75" style="14" bestFit="1" customWidth="1"/>
    <col min="3078" max="3078" width="11.75" style="14" bestFit="1" customWidth="1"/>
    <col min="3079" max="3079" width="8.625" style="14" bestFit="1" customWidth="1"/>
    <col min="3080" max="3080" width="8" style="14" customWidth="1"/>
    <col min="3081" max="3329" width="9" style="14"/>
    <col min="3330" max="3330" width="5" style="14" customWidth="1"/>
    <col min="3331" max="3331" width="9.25" style="14" bestFit="1" customWidth="1"/>
    <col min="3332" max="3332" width="35.5" style="14" bestFit="1" customWidth="1"/>
    <col min="3333" max="3333" width="4.75" style="14" bestFit="1" customWidth="1"/>
    <col min="3334" max="3334" width="11.75" style="14" bestFit="1" customWidth="1"/>
    <col min="3335" max="3335" width="8.625" style="14" bestFit="1" customWidth="1"/>
    <col min="3336" max="3336" width="8" style="14" customWidth="1"/>
    <col min="3337" max="3585" width="9" style="14"/>
    <col min="3586" max="3586" width="5" style="14" customWidth="1"/>
    <col min="3587" max="3587" width="9.25" style="14" bestFit="1" customWidth="1"/>
    <col min="3588" max="3588" width="35.5" style="14" bestFit="1" customWidth="1"/>
    <col min="3589" max="3589" width="4.75" style="14" bestFit="1" customWidth="1"/>
    <col min="3590" max="3590" width="11.75" style="14" bestFit="1" customWidth="1"/>
    <col min="3591" max="3591" width="8.625" style="14" bestFit="1" customWidth="1"/>
    <col min="3592" max="3592" width="8" style="14" customWidth="1"/>
    <col min="3593" max="3841" width="9" style="14"/>
    <col min="3842" max="3842" width="5" style="14" customWidth="1"/>
    <col min="3843" max="3843" width="9.25" style="14" bestFit="1" customWidth="1"/>
    <col min="3844" max="3844" width="35.5" style="14" bestFit="1" customWidth="1"/>
    <col min="3845" max="3845" width="4.75" style="14" bestFit="1" customWidth="1"/>
    <col min="3846" max="3846" width="11.75" style="14" bestFit="1" customWidth="1"/>
    <col min="3847" max="3847" width="8.625" style="14" bestFit="1" customWidth="1"/>
    <col min="3848" max="3848" width="8" style="14" customWidth="1"/>
    <col min="3849" max="4097" width="9" style="14"/>
    <col min="4098" max="4098" width="5" style="14" customWidth="1"/>
    <col min="4099" max="4099" width="9.25" style="14" bestFit="1" customWidth="1"/>
    <col min="4100" max="4100" width="35.5" style="14" bestFit="1" customWidth="1"/>
    <col min="4101" max="4101" width="4.75" style="14" bestFit="1" customWidth="1"/>
    <col min="4102" max="4102" width="11.75" style="14" bestFit="1" customWidth="1"/>
    <col min="4103" max="4103" width="8.625" style="14" bestFit="1" customWidth="1"/>
    <col min="4104" max="4104" width="8" style="14" customWidth="1"/>
    <col min="4105" max="4353" width="9" style="14"/>
    <col min="4354" max="4354" width="5" style="14" customWidth="1"/>
    <col min="4355" max="4355" width="9.25" style="14" bestFit="1" customWidth="1"/>
    <col min="4356" max="4356" width="35.5" style="14" bestFit="1" customWidth="1"/>
    <col min="4357" max="4357" width="4.75" style="14" bestFit="1" customWidth="1"/>
    <col min="4358" max="4358" width="11.75" style="14" bestFit="1" customWidth="1"/>
    <col min="4359" max="4359" width="8.625" style="14" bestFit="1" customWidth="1"/>
    <col min="4360" max="4360" width="8" style="14" customWidth="1"/>
    <col min="4361" max="4609" width="9" style="14"/>
    <col min="4610" max="4610" width="5" style="14" customWidth="1"/>
    <col min="4611" max="4611" width="9.25" style="14" bestFit="1" customWidth="1"/>
    <col min="4612" max="4612" width="35.5" style="14" bestFit="1" customWidth="1"/>
    <col min="4613" max="4613" width="4.75" style="14" bestFit="1" customWidth="1"/>
    <col min="4614" max="4614" width="11.75" style="14" bestFit="1" customWidth="1"/>
    <col min="4615" max="4615" width="8.625" style="14" bestFit="1" customWidth="1"/>
    <col min="4616" max="4616" width="8" style="14" customWidth="1"/>
    <col min="4617" max="4865" width="9" style="14"/>
    <col min="4866" max="4866" width="5" style="14" customWidth="1"/>
    <col min="4867" max="4867" width="9.25" style="14" bestFit="1" customWidth="1"/>
    <col min="4868" max="4868" width="35.5" style="14" bestFit="1" customWidth="1"/>
    <col min="4869" max="4869" width="4.75" style="14" bestFit="1" customWidth="1"/>
    <col min="4870" max="4870" width="11.75" style="14" bestFit="1" customWidth="1"/>
    <col min="4871" max="4871" width="8.625" style="14" bestFit="1" customWidth="1"/>
    <col min="4872" max="4872" width="8" style="14" customWidth="1"/>
    <col min="4873" max="5121" width="9" style="14"/>
    <col min="5122" max="5122" width="5" style="14" customWidth="1"/>
    <col min="5123" max="5123" width="9.25" style="14" bestFit="1" customWidth="1"/>
    <col min="5124" max="5124" width="35.5" style="14" bestFit="1" customWidth="1"/>
    <col min="5125" max="5125" width="4.75" style="14" bestFit="1" customWidth="1"/>
    <col min="5126" max="5126" width="11.75" style="14" bestFit="1" customWidth="1"/>
    <col min="5127" max="5127" width="8.625" style="14" bestFit="1" customWidth="1"/>
    <col min="5128" max="5128" width="8" style="14" customWidth="1"/>
    <col min="5129" max="5377" width="9" style="14"/>
    <col min="5378" max="5378" width="5" style="14" customWidth="1"/>
    <col min="5379" max="5379" width="9.25" style="14" bestFit="1" customWidth="1"/>
    <col min="5380" max="5380" width="35.5" style="14" bestFit="1" customWidth="1"/>
    <col min="5381" max="5381" width="4.75" style="14" bestFit="1" customWidth="1"/>
    <col min="5382" max="5382" width="11.75" style="14" bestFit="1" customWidth="1"/>
    <col min="5383" max="5383" width="8.625" style="14" bestFit="1" customWidth="1"/>
    <col min="5384" max="5384" width="8" style="14" customWidth="1"/>
    <col min="5385" max="5633" width="9" style="14"/>
    <col min="5634" max="5634" width="5" style="14" customWidth="1"/>
    <col min="5635" max="5635" width="9.25" style="14" bestFit="1" customWidth="1"/>
    <col min="5636" max="5636" width="35.5" style="14" bestFit="1" customWidth="1"/>
    <col min="5637" max="5637" width="4.75" style="14" bestFit="1" customWidth="1"/>
    <col min="5638" max="5638" width="11.75" style="14" bestFit="1" customWidth="1"/>
    <col min="5639" max="5639" width="8.625" style="14" bestFit="1" customWidth="1"/>
    <col min="5640" max="5640" width="8" style="14" customWidth="1"/>
    <col min="5641" max="5889" width="9" style="14"/>
    <col min="5890" max="5890" width="5" style="14" customWidth="1"/>
    <col min="5891" max="5891" width="9.25" style="14" bestFit="1" customWidth="1"/>
    <col min="5892" max="5892" width="35.5" style="14" bestFit="1" customWidth="1"/>
    <col min="5893" max="5893" width="4.75" style="14" bestFit="1" customWidth="1"/>
    <col min="5894" max="5894" width="11.75" style="14" bestFit="1" customWidth="1"/>
    <col min="5895" max="5895" width="8.625" style="14" bestFit="1" customWidth="1"/>
    <col min="5896" max="5896" width="8" style="14" customWidth="1"/>
    <col min="5897" max="6145" width="9" style="14"/>
    <col min="6146" max="6146" width="5" style="14" customWidth="1"/>
    <col min="6147" max="6147" width="9.25" style="14" bestFit="1" customWidth="1"/>
    <col min="6148" max="6148" width="35.5" style="14" bestFit="1" customWidth="1"/>
    <col min="6149" max="6149" width="4.75" style="14" bestFit="1" customWidth="1"/>
    <col min="6150" max="6150" width="11.75" style="14" bestFit="1" customWidth="1"/>
    <col min="6151" max="6151" width="8.625" style="14" bestFit="1" customWidth="1"/>
    <col min="6152" max="6152" width="8" style="14" customWidth="1"/>
    <col min="6153" max="6401" width="9" style="14"/>
    <col min="6402" max="6402" width="5" style="14" customWidth="1"/>
    <col min="6403" max="6403" width="9.25" style="14" bestFit="1" customWidth="1"/>
    <col min="6404" max="6404" width="35.5" style="14" bestFit="1" customWidth="1"/>
    <col min="6405" max="6405" width="4.75" style="14" bestFit="1" customWidth="1"/>
    <col min="6406" max="6406" width="11.75" style="14" bestFit="1" customWidth="1"/>
    <col min="6407" max="6407" width="8.625" style="14" bestFit="1" customWidth="1"/>
    <col min="6408" max="6408" width="8" style="14" customWidth="1"/>
    <col min="6409" max="6657" width="9" style="14"/>
    <col min="6658" max="6658" width="5" style="14" customWidth="1"/>
    <col min="6659" max="6659" width="9.25" style="14" bestFit="1" customWidth="1"/>
    <col min="6660" max="6660" width="35.5" style="14" bestFit="1" customWidth="1"/>
    <col min="6661" max="6661" width="4.75" style="14" bestFit="1" customWidth="1"/>
    <col min="6662" max="6662" width="11.75" style="14" bestFit="1" customWidth="1"/>
    <col min="6663" max="6663" width="8.625" style="14" bestFit="1" customWidth="1"/>
    <col min="6664" max="6664" width="8" style="14" customWidth="1"/>
    <col min="6665" max="6913" width="9" style="14"/>
    <col min="6914" max="6914" width="5" style="14" customWidth="1"/>
    <col min="6915" max="6915" width="9.25" style="14" bestFit="1" customWidth="1"/>
    <col min="6916" max="6916" width="35.5" style="14" bestFit="1" customWidth="1"/>
    <col min="6917" max="6917" width="4.75" style="14" bestFit="1" customWidth="1"/>
    <col min="6918" max="6918" width="11.75" style="14" bestFit="1" customWidth="1"/>
    <col min="6919" max="6919" width="8.625" style="14" bestFit="1" customWidth="1"/>
    <col min="6920" max="6920" width="8" style="14" customWidth="1"/>
    <col min="6921" max="7169" width="9" style="14"/>
    <col min="7170" max="7170" width="5" style="14" customWidth="1"/>
    <col min="7171" max="7171" width="9.25" style="14" bestFit="1" customWidth="1"/>
    <col min="7172" max="7172" width="35.5" style="14" bestFit="1" customWidth="1"/>
    <col min="7173" max="7173" width="4.75" style="14" bestFit="1" customWidth="1"/>
    <col min="7174" max="7174" width="11.75" style="14" bestFit="1" customWidth="1"/>
    <col min="7175" max="7175" width="8.625" style="14" bestFit="1" customWidth="1"/>
    <col min="7176" max="7176" width="8" style="14" customWidth="1"/>
    <col min="7177" max="7425" width="9" style="14"/>
    <col min="7426" max="7426" width="5" style="14" customWidth="1"/>
    <col min="7427" max="7427" width="9.25" style="14" bestFit="1" customWidth="1"/>
    <col min="7428" max="7428" width="35.5" style="14" bestFit="1" customWidth="1"/>
    <col min="7429" max="7429" width="4.75" style="14" bestFit="1" customWidth="1"/>
    <col min="7430" max="7430" width="11.75" style="14" bestFit="1" customWidth="1"/>
    <col min="7431" max="7431" width="8.625" style="14" bestFit="1" customWidth="1"/>
    <col min="7432" max="7432" width="8" style="14" customWidth="1"/>
    <col min="7433" max="7681" width="9" style="14"/>
    <col min="7682" max="7682" width="5" style="14" customWidth="1"/>
    <col min="7683" max="7683" width="9.25" style="14" bestFit="1" customWidth="1"/>
    <col min="7684" max="7684" width="35.5" style="14" bestFit="1" customWidth="1"/>
    <col min="7685" max="7685" width="4.75" style="14" bestFit="1" customWidth="1"/>
    <col min="7686" max="7686" width="11.75" style="14" bestFit="1" customWidth="1"/>
    <col min="7687" max="7687" width="8.625" style="14" bestFit="1" customWidth="1"/>
    <col min="7688" max="7688" width="8" style="14" customWidth="1"/>
    <col min="7689" max="7937" width="9" style="14"/>
    <col min="7938" max="7938" width="5" style="14" customWidth="1"/>
    <col min="7939" max="7939" width="9.25" style="14" bestFit="1" customWidth="1"/>
    <col min="7940" max="7940" width="35.5" style="14" bestFit="1" customWidth="1"/>
    <col min="7941" max="7941" width="4.75" style="14" bestFit="1" customWidth="1"/>
    <col min="7942" max="7942" width="11.75" style="14" bestFit="1" customWidth="1"/>
    <col min="7943" max="7943" width="8.625" style="14" bestFit="1" customWidth="1"/>
    <col min="7944" max="7944" width="8" style="14" customWidth="1"/>
    <col min="7945" max="8193" width="9" style="14"/>
    <col min="8194" max="8194" width="5" style="14" customWidth="1"/>
    <col min="8195" max="8195" width="9.25" style="14" bestFit="1" customWidth="1"/>
    <col min="8196" max="8196" width="35.5" style="14" bestFit="1" customWidth="1"/>
    <col min="8197" max="8197" width="4.75" style="14" bestFit="1" customWidth="1"/>
    <col min="8198" max="8198" width="11.75" style="14" bestFit="1" customWidth="1"/>
    <col min="8199" max="8199" width="8.625" style="14" bestFit="1" customWidth="1"/>
    <col min="8200" max="8200" width="8" style="14" customWidth="1"/>
    <col min="8201" max="8449" width="9" style="14"/>
    <col min="8450" max="8450" width="5" style="14" customWidth="1"/>
    <col min="8451" max="8451" width="9.25" style="14" bestFit="1" customWidth="1"/>
    <col min="8452" max="8452" width="35.5" style="14" bestFit="1" customWidth="1"/>
    <col min="8453" max="8453" width="4.75" style="14" bestFit="1" customWidth="1"/>
    <col min="8454" max="8454" width="11.75" style="14" bestFit="1" customWidth="1"/>
    <col min="8455" max="8455" width="8.625" style="14" bestFit="1" customWidth="1"/>
    <col min="8456" max="8456" width="8" style="14" customWidth="1"/>
    <col min="8457" max="8705" width="9" style="14"/>
    <col min="8706" max="8706" width="5" style="14" customWidth="1"/>
    <col min="8707" max="8707" width="9.25" style="14" bestFit="1" customWidth="1"/>
    <col min="8708" max="8708" width="35.5" style="14" bestFit="1" customWidth="1"/>
    <col min="8709" max="8709" width="4.75" style="14" bestFit="1" customWidth="1"/>
    <col min="8710" max="8710" width="11.75" style="14" bestFit="1" customWidth="1"/>
    <col min="8711" max="8711" width="8.625" style="14" bestFit="1" customWidth="1"/>
    <col min="8712" max="8712" width="8" style="14" customWidth="1"/>
    <col min="8713" max="8961" width="9" style="14"/>
    <col min="8962" max="8962" width="5" style="14" customWidth="1"/>
    <col min="8963" max="8963" width="9.25" style="14" bestFit="1" customWidth="1"/>
    <col min="8964" max="8964" width="35.5" style="14" bestFit="1" customWidth="1"/>
    <col min="8965" max="8965" width="4.75" style="14" bestFit="1" customWidth="1"/>
    <col min="8966" max="8966" width="11.75" style="14" bestFit="1" customWidth="1"/>
    <col min="8967" max="8967" width="8.625" style="14" bestFit="1" customWidth="1"/>
    <col min="8968" max="8968" width="8" style="14" customWidth="1"/>
    <col min="8969" max="9217" width="9" style="14"/>
    <col min="9218" max="9218" width="5" style="14" customWidth="1"/>
    <col min="9219" max="9219" width="9.25" style="14" bestFit="1" customWidth="1"/>
    <col min="9220" max="9220" width="35.5" style="14" bestFit="1" customWidth="1"/>
    <col min="9221" max="9221" width="4.75" style="14" bestFit="1" customWidth="1"/>
    <col min="9222" max="9222" width="11.75" style="14" bestFit="1" customWidth="1"/>
    <col min="9223" max="9223" width="8.625" style="14" bestFit="1" customWidth="1"/>
    <col min="9224" max="9224" width="8" style="14" customWidth="1"/>
    <col min="9225" max="9473" width="9" style="14"/>
    <col min="9474" max="9474" width="5" style="14" customWidth="1"/>
    <col min="9475" max="9475" width="9.25" style="14" bestFit="1" customWidth="1"/>
    <col min="9476" max="9476" width="35.5" style="14" bestFit="1" customWidth="1"/>
    <col min="9477" max="9477" width="4.75" style="14" bestFit="1" customWidth="1"/>
    <col min="9478" max="9478" width="11.75" style="14" bestFit="1" customWidth="1"/>
    <col min="9479" max="9479" width="8.625" style="14" bestFit="1" customWidth="1"/>
    <col min="9480" max="9480" width="8" style="14" customWidth="1"/>
    <col min="9481" max="9729" width="9" style="14"/>
    <col min="9730" max="9730" width="5" style="14" customWidth="1"/>
    <col min="9731" max="9731" width="9.25" style="14" bestFit="1" customWidth="1"/>
    <col min="9732" max="9732" width="35.5" style="14" bestFit="1" customWidth="1"/>
    <col min="9733" max="9733" width="4.75" style="14" bestFit="1" customWidth="1"/>
    <col min="9734" max="9734" width="11.75" style="14" bestFit="1" customWidth="1"/>
    <col min="9735" max="9735" width="8.625" style="14" bestFit="1" customWidth="1"/>
    <col min="9736" max="9736" width="8" style="14" customWidth="1"/>
    <col min="9737" max="9985" width="9" style="14"/>
    <col min="9986" max="9986" width="5" style="14" customWidth="1"/>
    <col min="9987" max="9987" width="9.25" style="14" bestFit="1" customWidth="1"/>
    <col min="9988" max="9988" width="35.5" style="14" bestFit="1" customWidth="1"/>
    <col min="9989" max="9989" width="4.75" style="14" bestFit="1" customWidth="1"/>
    <col min="9990" max="9990" width="11.75" style="14" bestFit="1" customWidth="1"/>
    <col min="9991" max="9991" width="8.625" style="14" bestFit="1" customWidth="1"/>
    <col min="9992" max="9992" width="8" style="14" customWidth="1"/>
    <col min="9993" max="10241" width="9" style="14"/>
    <col min="10242" max="10242" width="5" style="14" customWidth="1"/>
    <col min="10243" max="10243" width="9.25" style="14" bestFit="1" customWidth="1"/>
    <col min="10244" max="10244" width="35.5" style="14" bestFit="1" customWidth="1"/>
    <col min="10245" max="10245" width="4.75" style="14" bestFit="1" customWidth="1"/>
    <col min="10246" max="10246" width="11.75" style="14" bestFit="1" customWidth="1"/>
    <col min="10247" max="10247" width="8.625" style="14" bestFit="1" customWidth="1"/>
    <col min="10248" max="10248" width="8" style="14" customWidth="1"/>
    <col min="10249" max="10497" width="9" style="14"/>
    <col min="10498" max="10498" width="5" style="14" customWidth="1"/>
    <col min="10499" max="10499" width="9.25" style="14" bestFit="1" customWidth="1"/>
    <col min="10500" max="10500" width="35.5" style="14" bestFit="1" customWidth="1"/>
    <col min="10501" max="10501" width="4.75" style="14" bestFit="1" customWidth="1"/>
    <col min="10502" max="10502" width="11.75" style="14" bestFit="1" customWidth="1"/>
    <col min="10503" max="10503" width="8.625" style="14" bestFit="1" customWidth="1"/>
    <col min="10504" max="10504" width="8" style="14" customWidth="1"/>
    <col min="10505" max="10753" width="9" style="14"/>
    <col min="10754" max="10754" width="5" style="14" customWidth="1"/>
    <col min="10755" max="10755" width="9.25" style="14" bestFit="1" customWidth="1"/>
    <col min="10756" max="10756" width="35.5" style="14" bestFit="1" customWidth="1"/>
    <col min="10757" max="10757" width="4.75" style="14" bestFit="1" customWidth="1"/>
    <col min="10758" max="10758" width="11.75" style="14" bestFit="1" customWidth="1"/>
    <col min="10759" max="10759" width="8.625" style="14" bestFit="1" customWidth="1"/>
    <col min="10760" max="10760" width="8" style="14" customWidth="1"/>
    <col min="10761" max="11009" width="9" style="14"/>
    <col min="11010" max="11010" width="5" style="14" customWidth="1"/>
    <col min="11011" max="11011" width="9.25" style="14" bestFit="1" customWidth="1"/>
    <col min="11012" max="11012" width="35.5" style="14" bestFit="1" customWidth="1"/>
    <col min="11013" max="11013" width="4.75" style="14" bestFit="1" customWidth="1"/>
    <col min="11014" max="11014" width="11.75" style="14" bestFit="1" customWidth="1"/>
    <col min="11015" max="11015" width="8.625" style="14" bestFit="1" customWidth="1"/>
    <col min="11016" max="11016" width="8" style="14" customWidth="1"/>
    <col min="11017" max="11265" width="9" style="14"/>
    <col min="11266" max="11266" width="5" style="14" customWidth="1"/>
    <col min="11267" max="11267" width="9.25" style="14" bestFit="1" customWidth="1"/>
    <col min="11268" max="11268" width="35.5" style="14" bestFit="1" customWidth="1"/>
    <col min="11269" max="11269" width="4.75" style="14" bestFit="1" customWidth="1"/>
    <col min="11270" max="11270" width="11.75" style="14" bestFit="1" customWidth="1"/>
    <col min="11271" max="11271" width="8.625" style="14" bestFit="1" customWidth="1"/>
    <col min="11272" max="11272" width="8" style="14" customWidth="1"/>
    <col min="11273" max="11521" width="9" style="14"/>
    <col min="11522" max="11522" width="5" style="14" customWidth="1"/>
    <col min="11523" max="11523" width="9.25" style="14" bestFit="1" customWidth="1"/>
    <col min="11524" max="11524" width="35.5" style="14" bestFit="1" customWidth="1"/>
    <col min="11525" max="11525" width="4.75" style="14" bestFit="1" customWidth="1"/>
    <col min="11526" max="11526" width="11.75" style="14" bestFit="1" customWidth="1"/>
    <col min="11527" max="11527" width="8.625" style="14" bestFit="1" customWidth="1"/>
    <col min="11528" max="11528" width="8" style="14" customWidth="1"/>
    <col min="11529" max="11777" width="9" style="14"/>
    <col min="11778" max="11778" width="5" style="14" customWidth="1"/>
    <col min="11779" max="11779" width="9.25" style="14" bestFit="1" customWidth="1"/>
    <col min="11780" max="11780" width="35.5" style="14" bestFit="1" customWidth="1"/>
    <col min="11781" max="11781" width="4.75" style="14" bestFit="1" customWidth="1"/>
    <col min="11782" max="11782" width="11.75" style="14" bestFit="1" customWidth="1"/>
    <col min="11783" max="11783" width="8.625" style="14" bestFit="1" customWidth="1"/>
    <col min="11784" max="11784" width="8" style="14" customWidth="1"/>
    <col min="11785" max="12033" width="9" style="14"/>
    <col min="12034" max="12034" width="5" style="14" customWidth="1"/>
    <col min="12035" max="12035" width="9.25" style="14" bestFit="1" customWidth="1"/>
    <col min="12036" max="12036" width="35.5" style="14" bestFit="1" customWidth="1"/>
    <col min="12037" max="12037" width="4.75" style="14" bestFit="1" customWidth="1"/>
    <col min="12038" max="12038" width="11.75" style="14" bestFit="1" customWidth="1"/>
    <col min="12039" max="12039" width="8.625" style="14" bestFit="1" customWidth="1"/>
    <col min="12040" max="12040" width="8" style="14" customWidth="1"/>
    <col min="12041" max="12289" width="9" style="14"/>
    <col min="12290" max="12290" width="5" style="14" customWidth="1"/>
    <col min="12291" max="12291" width="9.25" style="14" bestFit="1" customWidth="1"/>
    <col min="12292" max="12292" width="35.5" style="14" bestFit="1" customWidth="1"/>
    <col min="12293" max="12293" width="4.75" style="14" bestFit="1" customWidth="1"/>
    <col min="12294" max="12294" width="11.75" style="14" bestFit="1" customWidth="1"/>
    <col min="12295" max="12295" width="8.625" style="14" bestFit="1" customWidth="1"/>
    <col min="12296" max="12296" width="8" style="14" customWidth="1"/>
    <col min="12297" max="12545" width="9" style="14"/>
    <col min="12546" max="12546" width="5" style="14" customWidth="1"/>
    <col min="12547" max="12547" width="9.25" style="14" bestFit="1" customWidth="1"/>
    <col min="12548" max="12548" width="35.5" style="14" bestFit="1" customWidth="1"/>
    <col min="12549" max="12549" width="4.75" style="14" bestFit="1" customWidth="1"/>
    <col min="12550" max="12550" width="11.75" style="14" bestFit="1" customWidth="1"/>
    <col min="12551" max="12551" width="8.625" style="14" bestFit="1" customWidth="1"/>
    <col min="12552" max="12552" width="8" style="14" customWidth="1"/>
    <col min="12553" max="12801" width="9" style="14"/>
    <col min="12802" max="12802" width="5" style="14" customWidth="1"/>
    <col min="12803" max="12803" width="9.25" style="14" bestFit="1" customWidth="1"/>
    <col min="12804" max="12804" width="35.5" style="14" bestFit="1" customWidth="1"/>
    <col min="12805" max="12805" width="4.75" style="14" bestFit="1" customWidth="1"/>
    <col min="12806" max="12806" width="11.75" style="14" bestFit="1" customWidth="1"/>
    <col min="12807" max="12807" width="8.625" style="14" bestFit="1" customWidth="1"/>
    <col min="12808" max="12808" width="8" style="14" customWidth="1"/>
    <col min="12809" max="13057" width="9" style="14"/>
    <col min="13058" max="13058" width="5" style="14" customWidth="1"/>
    <col min="13059" max="13059" width="9.25" style="14" bestFit="1" customWidth="1"/>
    <col min="13060" max="13060" width="35.5" style="14" bestFit="1" customWidth="1"/>
    <col min="13061" max="13061" width="4.75" style="14" bestFit="1" customWidth="1"/>
    <col min="13062" max="13062" width="11.75" style="14" bestFit="1" customWidth="1"/>
    <col min="13063" max="13063" width="8.625" style="14" bestFit="1" customWidth="1"/>
    <col min="13064" max="13064" width="8" style="14" customWidth="1"/>
    <col min="13065" max="13313" width="9" style="14"/>
    <col min="13314" max="13314" width="5" style="14" customWidth="1"/>
    <col min="13315" max="13315" width="9.25" style="14" bestFit="1" customWidth="1"/>
    <col min="13316" max="13316" width="35.5" style="14" bestFit="1" customWidth="1"/>
    <col min="13317" max="13317" width="4.75" style="14" bestFit="1" customWidth="1"/>
    <col min="13318" max="13318" width="11.75" style="14" bestFit="1" customWidth="1"/>
    <col min="13319" max="13319" width="8.625" style="14" bestFit="1" customWidth="1"/>
    <col min="13320" max="13320" width="8" style="14" customWidth="1"/>
    <col min="13321" max="13569" width="9" style="14"/>
    <col min="13570" max="13570" width="5" style="14" customWidth="1"/>
    <col min="13571" max="13571" width="9.25" style="14" bestFit="1" customWidth="1"/>
    <col min="13572" max="13572" width="35.5" style="14" bestFit="1" customWidth="1"/>
    <col min="13573" max="13573" width="4.75" style="14" bestFit="1" customWidth="1"/>
    <col min="13574" max="13574" width="11.75" style="14" bestFit="1" customWidth="1"/>
    <col min="13575" max="13575" width="8.625" style="14" bestFit="1" customWidth="1"/>
    <col min="13576" max="13576" width="8" style="14" customWidth="1"/>
    <col min="13577" max="13825" width="9" style="14"/>
    <col min="13826" max="13826" width="5" style="14" customWidth="1"/>
    <col min="13827" max="13827" width="9.25" style="14" bestFit="1" customWidth="1"/>
    <col min="13828" max="13828" width="35.5" style="14" bestFit="1" customWidth="1"/>
    <col min="13829" max="13829" width="4.75" style="14" bestFit="1" customWidth="1"/>
    <col min="13830" max="13830" width="11.75" style="14" bestFit="1" customWidth="1"/>
    <col min="13831" max="13831" width="8.625" style="14" bestFit="1" customWidth="1"/>
    <col min="13832" max="13832" width="8" style="14" customWidth="1"/>
    <col min="13833" max="14081" width="9" style="14"/>
    <col min="14082" max="14082" width="5" style="14" customWidth="1"/>
    <col min="14083" max="14083" width="9.25" style="14" bestFit="1" customWidth="1"/>
    <col min="14084" max="14084" width="35.5" style="14" bestFit="1" customWidth="1"/>
    <col min="14085" max="14085" width="4.75" style="14" bestFit="1" customWidth="1"/>
    <col min="14086" max="14086" width="11.75" style="14" bestFit="1" customWidth="1"/>
    <col min="14087" max="14087" width="8.625" style="14" bestFit="1" customWidth="1"/>
    <col min="14088" max="14088" width="8" style="14" customWidth="1"/>
    <col min="14089" max="14337" width="9" style="14"/>
    <col min="14338" max="14338" width="5" style="14" customWidth="1"/>
    <col min="14339" max="14339" width="9.25" style="14" bestFit="1" customWidth="1"/>
    <col min="14340" max="14340" width="35.5" style="14" bestFit="1" customWidth="1"/>
    <col min="14341" max="14341" width="4.75" style="14" bestFit="1" customWidth="1"/>
    <col min="14342" max="14342" width="11.75" style="14" bestFit="1" customWidth="1"/>
    <col min="14343" max="14343" width="8.625" style="14" bestFit="1" customWidth="1"/>
    <col min="14344" max="14344" width="8" style="14" customWidth="1"/>
    <col min="14345" max="14593" width="9" style="14"/>
    <col min="14594" max="14594" width="5" style="14" customWidth="1"/>
    <col min="14595" max="14595" width="9.25" style="14" bestFit="1" customWidth="1"/>
    <col min="14596" max="14596" width="35.5" style="14" bestFit="1" customWidth="1"/>
    <col min="14597" max="14597" width="4.75" style="14" bestFit="1" customWidth="1"/>
    <col min="14598" max="14598" width="11.75" style="14" bestFit="1" customWidth="1"/>
    <col min="14599" max="14599" width="8.625" style="14" bestFit="1" customWidth="1"/>
    <col min="14600" max="14600" width="8" style="14" customWidth="1"/>
    <col min="14601" max="14849" width="9" style="14"/>
    <col min="14850" max="14850" width="5" style="14" customWidth="1"/>
    <col min="14851" max="14851" width="9.25" style="14" bestFit="1" customWidth="1"/>
    <col min="14852" max="14852" width="35.5" style="14" bestFit="1" customWidth="1"/>
    <col min="14853" max="14853" width="4.75" style="14" bestFit="1" customWidth="1"/>
    <col min="14854" max="14854" width="11.75" style="14" bestFit="1" customWidth="1"/>
    <col min="14855" max="14855" width="8.625" style="14" bestFit="1" customWidth="1"/>
    <col min="14856" max="14856" width="8" style="14" customWidth="1"/>
    <col min="14857" max="15105" width="9" style="14"/>
    <col min="15106" max="15106" width="5" style="14" customWidth="1"/>
    <col min="15107" max="15107" width="9.25" style="14" bestFit="1" customWidth="1"/>
    <col min="15108" max="15108" width="35.5" style="14" bestFit="1" customWidth="1"/>
    <col min="15109" max="15109" width="4.75" style="14" bestFit="1" customWidth="1"/>
    <col min="15110" max="15110" width="11.75" style="14" bestFit="1" customWidth="1"/>
    <col min="15111" max="15111" width="8.625" style="14" bestFit="1" customWidth="1"/>
    <col min="15112" max="15112" width="8" style="14" customWidth="1"/>
    <col min="15113" max="15361" width="9" style="14"/>
    <col min="15362" max="15362" width="5" style="14" customWidth="1"/>
    <col min="15363" max="15363" width="9.25" style="14" bestFit="1" customWidth="1"/>
    <col min="15364" max="15364" width="35.5" style="14" bestFit="1" customWidth="1"/>
    <col min="15365" max="15365" width="4.75" style="14" bestFit="1" customWidth="1"/>
    <col min="15366" max="15366" width="11.75" style="14" bestFit="1" customWidth="1"/>
    <col min="15367" max="15367" width="8.625" style="14" bestFit="1" customWidth="1"/>
    <col min="15368" max="15368" width="8" style="14" customWidth="1"/>
    <col min="15369" max="15617" width="9" style="14"/>
    <col min="15618" max="15618" width="5" style="14" customWidth="1"/>
    <col min="15619" max="15619" width="9.25" style="14" bestFit="1" customWidth="1"/>
    <col min="15620" max="15620" width="35.5" style="14" bestFit="1" customWidth="1"/>
    <col min="15621" max="15621" width="4.75" style="14" bestFit="1" customWidth="1"/>
    <col min="15622" max="15622" width="11.75" style="14" bestFit="1" customWidth="1"/>
    <col min="15623" max="15623" width="8.625" style="14" bestFit="1" customWidth="1"/>
    <col min="15624" max="15624" width="8" style="14" customWidth="1"/>
    <col min="15625" max="15873" width="9" style="14"/>
    <col min="15874" max="15874" width="5" style="14" customWidth="1"/>
    <col min="15875" max="15875" width="9.25" style="14" bestFit="1" customWidth="1"/>
    <col min="15876" max="15876" width="35.5" style="14" bestFit="1" customWidth="1"/>
    <col min="15877" max="15877" width="4.75" style="14" bestFit="1" customWidth="1"/>
    <col min="15878" max="15878" width="11.75" style="14" bestFit="1" customWidth="1"/>
    <col min="15879" max="15879" width="8.625" style="14" bestFit="1" customWidth="1"/>
    <col min="15880" max="15880" width="8" style="14" customWidth="1"/>
    <col min="15881" max="16129" width="9" style="14"/>
    <col min="16130" max="16130" width="5" style="14" customWidth="1"/>
    <col min="16131" max="16131" width="9.25" style="14" bestFit="1" customWidth="1"/>
    <col min="16132" max="16132" width="35.5" style="14" bestFit="1" customWidth="1"/>
    <col min="16133" max="16133" width="4.75" style="14" bestFit="1" customWidth="1"/>
    <col min="16134" max="16134" width="11.75" style="14" bestFit="1" customWidth="1"/>
    <col min="16135" max="16135" width="8.625" style="14" bestFit="1" customWidth="1"/>
    <col min="16136" max="16136" width="8" style="14" customWidth="1"/>
    <col min="16137" max="16384" width="9" style="14"/>
  </cols>
  <sheetData>
    <row r="1" spans="1:8" x14ac:dyDescent="0.3">
      <c r="A1" s="25" t="s">
        <v>41</v>
      </c>
      <c r="C1" s="25"/>
      <c r="D1" s="25" t="s">
        <v>42</v>
      </c>
    </row>
    <row r="2" spans="1:8" x14ac:dyDescent="0.3">
      <c r="A2" s="25" t="s">
        <v>241</v>
      </c>
      <c r="C2" s="25"/>
      <c r="D2" s="14" t="s">
        <v>43</v>
      </c>
    </row>
    <row r="3" spans="1:8" x14ac:dyDescent="0.3">
      <c r="A3" s="25" t="s">
        <v>242</v>
      </c>
      <c r="C3" s="25"/>
      <c r="D3" s="27" t="s">
        <v>251</v>
      </c>
      <c r="E3" s="27"/>
      <c r="F3" s="27"/>
      <c r="G3" s="27"/>
      <c r="H3" s="27"/>
    </row>
    <row r="4" spans="1:8" x14ac:dyDescent="0.25">
      <c r="C4" s="32"/>
      <c r="D4" s="27"/>
      <c r="E4" s="27"/>
      <c r="F4" s="27"/>
      <c r="G4" s="27"/>
      <c r="H4" s="27"/>
    </row>
    <row r="5" spans="1:8" ht="20.100000000000001" customHeight="1" x14ac:dyDescent="0.3">
      <c r="B5" s="56" t="s">
        <v>44</v>
      </c>
      <c r="C5" s="56" t="s">
        <v>45</v>
      </c>
      <c r="D5" s="56" t="s">
        <v>46</v>
      </c>
      <c r="E5" s="56" t="s">
        <v>47</v>
      </c>
      <c r="F5" s="56" t="s">
        <v>48</v>
      </c>
      <c r="G5" s="56" t="s">
        <v>49</v>
      </c>
      <c r="H5" s="56" t="s">
        <v>50</v>
      </c>
    </row>
    <row r="6" spans="1:8" x14ac:dyDescent="0.3">
      <c r="B6" s="57">
        <v>1</v>
      </c>
      <c r="C6" s="58" t="s">
        <v>38</v>
      </c>
      <c r="D6" s="58" t="s">
        <v>372</v>
      </c>
      <c r="E6" s="57" t="s">
        <v>51</v>
      </c>
      <c r="F6" s="58" t="s">
        <v>371</v>
      </c>
      <c r="G6" s="59">
        <v>19800</v>
      </c>
      <c r="H6" s="58"/>
    </row>
    <row r="7" spans="1:8" x14ac:dyDescent="0.3">
      <c r="B7" s="57">
        <v>2</v>
      </c>
      <c r="C7" s="58" t="s">
        <v>53</v>
      </c>
      <c r="D7" s="58" t="s">
        <v>373</v>
      </c>
      <c r="E7" s="57" t="s">
        <v>51</v>
      </c>
      <c r="F7" s="58" t="s">
        <v>54</v>
      </c>
      <c r="G7" s="59">
        <v>19800</v>
      </c>
      <c r="H7" s="58"/>
    </row>
    <row r="8" spans="1:8" x14ac:dyDescent="0.3">
      <c r="B8" s="57">
        <v>3</v>
      </c>
      <c r="C8" s="58" t="s">
        <v>55</v>
      </c>
      <c r="D8" s="58" t="s">
        <v>374</v>
      </c>
      <c r="E8" s="57" t="s">
        <v>51</v>
      </c>
      <c r="F8" s="58" t="s">
        <v>56</v>
      </c>
      <c r="G8" s="59">
        <v>23000</v>
      </c>
      <c r="H8" s="58"/>
    </row>
    <row r="9" spans="1:8" x14ac:dyDescent="0.3">
      <c r="B9" s="57">
        <v>4</v>
      </c>
      <c r="C9" s="58" t="s">
        <v>39</v>
      </c>
      <c r="D9" s="58" t="s">
        <v>375</v>
      </c>
      <c r="E9" s="57" t="s">
        <v>57</v>
      </c>
      <c r="F9" s="58" t="s">
        <v>52</v>
      </c>
      <c r="G9" s="59">
        <v>15000</v>
      </c>
      <c r="H9" s="58"/>
    </row>
    <row r="10" spans="1:8" x14ac:dyDescent="0.3">
      <c r="B10" s="57">
        <v>5</v>
      </c>
      <c r="C10" s="58" t="s">
        <v>37</v>
      </c>
      <c r="D10" s="58" t="s">
        <v>376</v>
      </c>
      <c r="E10" s="57" t="s">
        <v>57</v>
      </c>
      <c r="F10" s="58" t="s">
        <v>58</v>
      </c>
      <c r="G10" s="59">
        <v>19800</v>
      </c>
      <c r="H10" s="58"/>
    </row>
    <row r="11" spans="1:8" x14ac:dyDescent="0.3">
      <c r="B11" s="57">
        <v>6</v>
      </c>
      <c r="C11" s="58" t="s">
        <v>59</v>
      </c>
      <c r="D11" s="58" t="s">
        <v>60</v>
      </c>
      <c r="E11" s="57" t="s">
        <v>51</v>
      </c>
      <c r="F11" s="58" t="s">
        <v>58</v>
      </c>
      <c r="G11" s="59">
        <v>19800</v>
      </c>
      <c r="H11" s="58"/>
    </row>
    <row r="12" spans="1:8" x14ac:dyDescent="0.3">
      <c r="B12" s="57">
        <v>7</v>
      </c>
      <c r="C12" s="58" t="s">
        <v>61</v>
      </c>
      <c r="D12" s="58" t="s">
        <v>377</v>
      </c>
      <c r="E12" s="57" t="s">
        <v>62</v>
      </c>
      <c r="F12" s="58" t="s">
        <v>63</v>
      </c>
      <c r="G12" s="59">
        <v>18001</v>
      </c>
      <c r="H12" s="58"/>
    </row>
    <row r="13" spans="1:8" x14ac:dyDescent="0.3">
      <c r="B13" s="57">
        <v>8</v>
      </c>
      <c r="C13" s="58" t="s">
        <v>64</v>
      </c>
      <c r="D13" s="58" t="s">
        <v>378</v>
      </c>
      <c r="E13" s="57" t="s">
        <v>51</v>
      </c>
      <c r="F13" s="58" t="s">
        <v>65</v>
      </c>
      <c r="G13" s="59">
        <v>22000</v>
      </c>
      <c r="H13" s="58"/>
    </row>
    <row r="14" spans="1:8" x14ac:dyDescent="0.3">
      <c r="B14" s="57">
        <v>9</v>
      </c>
      <c r="C14" s="58" t="s">
        <v>66</v>
      </c>
      <c r="D14" s="58" t="s">
        <v>379</v>
      </c>
      <c r="E14" s="57" t="s">
        <v>57</v>
      </c>
      <c r="F14" s="58" t="s">
        <v>58</v>
      </c>
      <c r="G14" s="59">
        <v>18000</v>
      </c>
      <c r="H14" s="58"/>
    </row>
    <row r="15" spans="1:8" x14ac:dyDescent="0.3">
      <c r="B15" s="57">
        <v>10</v>
      </c>
      <c r="C15" s="58" t="s">
        <v>67</v>
      </c>
      <c r="D15" s="58" t="s">
        <v>380</v>
      </c>
      <c r="E15" s="57" t="s">
        <v>68</v>
      </c>
      <c r="F15" s="58" t="s">
        <v>69</v>
      </c>
      <c r="G15" s="59">
        <v>18000</v>
      </c>
      <c r="H15" s="58"/>
    </row>
    <row r="16" spans="1:8" x14ac:dyDescent="0.3">
      <c r="B16" s="57">
        <v>11</v>
      </c>
      <c r="C16" s="58" t="s">
        <v>40</v>
      </c>
      <c r="D16" s="58" t="s">
        <v>381</v>
      </c>
      <c r="E16" s="57" t="s">
        <v>70</v>
      </c>
      <c r="F16" s="58" t="s">
        <v>71</v>
      </c>
      <c r="G16" s="59">
        <v>20000</v>
      </c>
      <c r="H16" s="58"/>
    </row>
    <row r="17" spans="2:8" x14ac:dyDescent="0.3">
      <c r="B17" s="57">
        <v>12</v>
      </c>
      <c r="C17" s="58" t="s">
        <v>72</v>
      </c>
      <c r="D17" s="58" t="s">
        <v>382</v>
      </c>
      <c r="E17" s="57" t="s">
        <v>70</v>
      </c>
      <c r="F17" s="58" t="s">
        <v>73</v>
      </c>
      <c r="G17" s="59">
        <v>19800</v>
      </c>
      <c r="H17" s="58"/>
    </row>
    <row r="18" spans="2:8" x14ac:dyDescent="0.3">
      <c r="B18" s="57">
        <v>13</v>
      </c>
      <c r="C18" s="58" t="s">
        <v>74</v>
      </c>
      <c r="D18" s="58" t="s">
        <v>509</v>
      </c>
      <c r="E18" s="57" t="s">
        <v>68</v>
      </c>
      <c r="F18" s="58" t="s">
        <v>75</v>
      </c>
      <c r="G18" s="59">
        <v>18000</v>
      </c>
      <c r="H18" s="58"/>
    </row>
    <row r="19" spans="2:8" x14ac:dyDescent="0.3">
      <c r="B19" s="57">
        <v>14</v>
      </c>
      <c r="C19" s="58" t="s">
        <v>76</v>
      </c>
      <c r="D19" s="58" t="s">
        <v>77</v>
      </c>
      <c r="E19" s="57" t="s">
        <v>70</v>
      </c>
      <c r="F19" s="58" t="s">
        <v>78</v>
      </c>
      <c r="G19" s="59">
        <v>25000</v>
      </c>
      <c r="H19" s="58"/>
    </row>
    <row r="20" spans="2:8" x14ac:dyDescent="0.3">
      <c r="B20" s="57">
        <v>15</v>
      </c>
      <c r="C20" s="58" t="s">
        <v>79</v>
      </c>
      <c r="D20" s="58" t="s">
        <v>383</v>
      </c>
      <c r="E20" s="57" t="s">
        <v>68</v>
      </c>
      <c r="F20" s="58" t="s">
        <v>80</v>
      </c>
      <c r="G20" s="59">
        <v>18000</v>
      </c>
      <c r="H20" s="58"/>
    </row>
  </sheetData>
  <phoneticPr fontId="1" type="noConversion"/>
  <dataValidations count="1">
    <dataValidation type="whole" operator="greaterThanOrEqual" allowBlank="1" showInputMessage="1" showErrorMessage="1" sqref="G6 JC6 SY6 ACU6 AMQ6 AWM6 BGI6 BQE6 CAA6 CJW6 CTS6 DDO6 DNK6 DXG6 EHC6 EQY6 FAU6 FKQ6 FUM6 GEI6 GOE6 GYA6 HHW6 HRS6 IBO6 ILK6 IVG6 JFC6 JOY6 JYU6 KIQ6 KSM6 LCI6 LME6 LWA6 MFW6 MPS6 MZO6 NJK6 NTG6 ODC6 OMY6 OWU6 PGQ6 PQM6 QAI6 QKE6 QUA6 RDW6 RNS6 RXO6 SHK6 SRG6 TBC6 TKY6 TUU6 UEQ6 UOM6 UYI6 VIE6 VSA6 WBW6 WLS6 WVO6 G65547 JC65547 SY65547 ACU65547 AMQ65547 AWM65547 BGI65547 BQE65547 CAA65547 CJW65547 CTS65547 DDO65547 DNK65547 DXG65547 EHC65547 EQY65547 FAU65547 FKQ65547 FUM65547 GEI65547 GOE65547 GYA65547 HHW65547 HRS65547 IBO65547 ILK65547 IVG65547 JFC65547 JOY65547 JYU65547 KIQ65547 KSM65547 LCI65547 LME65547 LWA65547 MFW65547 MPS65547 MZO65547 NJK65547 NTG65547 ODC65547 OMY65547 OWU65547 PGQ65547 PQM65547 QAI65547 QKE65547 QUA65547 RDW65547 RNS65547 RXO65547 SHK65547 SRG65547 TBC65547 TKY65547 TUU65547 UEQ65547 UOM65547 UYI65547 VIE65547 VSA65547 WBW65547 WLS65547 WVO65547 G131083 JC131083 SY131083 ACU131083 AMQ131083 AWM131083 BGI131083 BQE131083 CAA131083 CJW131083 CTS131083 DDO131083 DNK131083 DXG131083 EHC131083 EQY131083 FAU131083 FKQ131083 FUM131083 GEI131083 GOE131083 GYA131083 HHW131083 HRS131083 IBO131083 ILK131083 IVG131083 JFC131083 JOY131083 JYU131083 KIQ131083 KSM131083 LCI131083 LME131083 LWA131083 MFW131083 MPS131083 MZO131083 NJK131083 NTG131083 ODC131083 OMY131083 OWU131083 PGQ131083 PQM131083 QAI131083 QKE131083 QUA131083 RDW131083 RNS131083 RXO131083 SHK131083 SRG131083 TBC131083 TKY131083 TUU131083 UEQ131083 UOM131083 UYI131083 VIE131083 VSA131083 WBW131083 WLS131083 WVO131083 G196619 JC196619 SY196619 ACU196619 AMQ196619 AWM196619 BGI196619 BQE196619 CAA196619 CJW196619 CTS196619 DDO196619 DNK196619 DXG196619 EHC196619 EQY196619 FAU196619 FKQ196619 FUM196619 GEI196619 GOE196619 GYA196619 HHW196619 HRS196619 IBO196619 ILK196619 IVG196619 JFC196619 JOY196619 JYU196619 KIQ196619 KSM196619 LCI196619 LME196619 LWA196619 MFW196619 MPS196619 MZO196619 NJK196619 NTG196619 ODC196619 OMY196619 OWU196619 PGQ196619 PQM196619 QAI196619 QKE196619 QUA196619 RDW196619 RNS196619 RXO196619 SHK196619 SRG196619 TBC196619 TKY196619 TUU196619 UEQ196619 UOM196619 UYI196619 VIE196619 VSA196619 WBW196619 WLS196619 WVO196619 G262155 JC262155 SY262155 ACU262155 AMQ262155 AWM262155 BGI262155 BQE262155 CAA262155 CJW262155 CTS262155 DDO262155 DNK262155 DXG262155 EHC262155 EQY262155 FAU262155 FKQ262155 FUM262155 GEI262155 GOE262155 GYA262155 HHW262155 HRS262155 IBO262155 ILK262155 IVG262155 JFC262155 JOY262155 JYU262155 KIQ262155 KSM262155 LCI262155 LME262155 LWA262155 MFW262155 MPS262155 MZO262155 NJK262155 NTG262155 ODC262155 OMY262155 OWU262155 PGQ262155 PQM262155 QAI262155 QKE262155 QUA262155 RDW262155 RNS262155 RXO262155 SHK262155 SRG262155 TBC262155 TKY262155 TUU262155 UEQ262155 UOM262155 UYI262155 VIE262155 VSA262155 WBW262155 WLS262155 WVO262155 G327691 JC327691 SY327691 ACU327691 AMQ327691 AWM327691 BGI327691 BQE327691 CAA327691 CJW327691 CTS327691 DDO327691 DNK327691 DXG327691 EHC327691 EQY327691 FAU327691 FKQ327691 FUM327691 GEI327691 GOE327691 GYA327691 HHW327691 HRS327691 IBO327691 ILK327691 IVG327691 JFC327691 JOY327691 JYU327691 KIQ327691 KSM327691 LCI327691 LME327691 LWA327691 MFW327691 MPS327691 MZO327691 NJK327691 NTG327691 ODC327691 OMY327691 OWU327691 PGQ327691 PQM327691 QAI327691 QKE327691 QUA327691 RDW327691 RNS327691 RXO327691 SHK327691 SRG327691 TBC327691 TKY327691 TUU327691 UEQ327691 UOM327691 UYI327691 VIE327691 VSA327691 WBW327691 WLS327691 WVO327691 G393227 JC393227 SY393227 ACU393227 AMQ393227 AWM393227 BGI393227 BQE393227 CAA393227 CJW393227 CTS393227 DDO393227 DNK393227 DXG393227 EHC393227 EQY393227 FAU393227 FKQ393227 FUM393227 GEI393227 GOE393227 GYA393227 HHW393227 HRS393227 IBO393227 ILK393227 IVG393227 JFC393227 JOY393227 JYU393227 KIQ393227 KSM393227 LCI393227 LME393227 LWA393227 MFW393227 MPS393227 MZO393227 NJK393227 NTG393227 ODC393227 OMY393227 OWU393227 PGQ393227 PQM393227 QAI393227 QKE393227 QUA393227 RDW393227 RNS393227 RXO393227 SHK393227 SRG393227 TBC393227 TKY393227 TUU393227 UEQ393227 UOM393227 UYI393227 VIE393227 VSA393227 WBW393227 WLS393227 WVO393227 G458763 JC458763 SY458763 ACU458763 AMQ458763 AWM458763 BGI458763 BQE458763 CAA458763 CJW458763 CTS458763 DDO458763 DNK458763 DXG458763 EHC458763 EQY458763 FAU458763 FKQ458763 FUM458763 GEI458763 GOE458763 GYA458763 HHW458763 HRS458763 IBO458763 ILK458763 IVG458763 JFC458763 JOY458763 JYU458763 KIQ458763 KSM458763 LCI458763 LME458763 LWA458763 MFW458763 MPS458763 MZO458763 NJK458763 NTG458763 ODC458763 OMY458763 OWU458763 PGQ458763 PQM458763 QAI458763 QKE458763 QUA458763 RDW458763 RNS458763 RXO458763 SHK458763 SRG458763 TBC458763 TKY458763 TUU458763 UEQ458763 UOM458763 UYI458763 VIE458763 VSA458763 WBW458763 WLS458763 WVO458763 G524299 JC524299 SY524299 ACU524299 AMQ524299 AWM524299 BGI524299 BQE524299 CAA524299 CJW524299 CTS524299 DDO524299 DNK524299 DXG524299 EHC524299 EQY524299 FAU524299 FKQ524299 FUM524299 GEI524299 GOE524299 GYA524299 HHW524299 HRS524299 IBO524299 ILK524299 IVG524299 JFC524299 JOY524299 JYU524299 KIQ524299 KSM524299 LCI524299 LME524299 LWA524299 MFW524299 MPS524299 MZO524299 NJK524299 NTG524299 ODC524299 OMY524299 OWU524299 PGQ524299 PQM524299 QAI524299 QKE524299 QUA524299 RDW524299 RNS524299 RXO524299 SHK524299 SRG524299 TBC524299 TKY524299 TUU524299 UEQ524299 UOM524299 UYI524299 VIE524299 VSA524299 WBW524299 WLS524299 WVO524299 G589835 JC589835 SY589835 ACU589835 AMQ589835 AWM589835 BGI589835 BQE589835 CAA589835 CJW589835 CTS589835 DDO589835 DNK589835 DXG589835 EHC589835 EQY589835 FAU589835 FKQ589835 FUM589835 GEI589835 GOE589835 GYA589835 HHW589835 HRS589835 IBO589835 ILK589835 IVG589835 JFC589835 JOY589835 JYU589835 KIQ589835 KSM589835 LCI589835 LME589835 LWA589835 MFW589835 MPS589835 MZO589835 NJK589835 NTG589835 ODC589835 OMY589835 OWU589835 PGQ589835 PQM589835 QAI589835 QKE589835 QUA589835 RDW589835 RNS589835 RXO589835 SHK589835 SRG589835 TBC589835 TKY589835 TUU589835 UEQ589835 UOM589835 UYI589835 VIE589835 VSA589835 WBW589835 WLS589835 WVO589835 G655371 JC655371 SY655371 ACU655371 AMQ655371 AWM655371 BGI655371 BQE655371 CAA655371 CJW655371 CTS655371 DDO655371 DNK655371 DXG655371 EHC655371 EQY655371 FAU655371 FKQ655371 FUM655371 GEI655371 GOE655371 GYA655371 HHW655371 HRS655371 IBO655371 ILK655371 IVG655371 JFC655371 JOY655371 JYU655371 KIQ655371 KSM655371 LCI655371 LME655371 LWA655371 MFW655371 MPS655371 MZO655371 NJK655371 NTG655371 ODC655371 OMY655371 OWU655371 PGQ655371 PQM655371 QAI655371 QKE655371 QUA655371 RDW655371 RNS655371 RXO655371 SHK655371 SRG655371 TBC655371 TKY655371 TUU655371 UEQ655371 UOM655371 UYI655371 VIE655371 VSA655371 WBW655371 WLS655371 WVO655371 G720907 JC720907 SY720907 ACU720907 AMQ720907 AWM720907 BGI720907 BQE720907 CAA720907 CJW720907 CTS720907 DDO720907 DNK720907 DXG720907 EHC720907 EQY720907 FAU720907 FKQ720907 FUM720907 GEI720907 GOE720907 GYA720907 HHW720907 HRS720907 IBO720907 ILK720907 IVG720907 JFC720907 JOY720907 JYU720907 KIQ720907 KSM720907 LCI720907 LME720907 LWA720907 MFW720907 MPS720907 MZO720907 NJK720907 NTG720907 ODC720907 OMY720907 OWU720907 PGQ720907 PQM720907 QAI720907 QKE720907 QUA720907 RDW720907 RNS720907 RXO720907 SHK720907 SRG720907 TBC720907 TKY720907 TUU720907 UEQ720907 UOM720907 UYI720907 VIE720907 VSA720907 WBW720907 WLS720907 WVO720907 G786443 JC786443 SY786443 ACU786443 AMQ786443 AWM786443 BGI786443 BQE786443 CAA786443 CJW786443 CTS786443 DDO786443 DNK786443 DXG786443 EHC786443 EQY786443 FAU786443 FKQ786443 FUM786443 GEI786443 GOE786443 GYA786443 HHW786443 HRS786443 IBO786443 ILK786443 IVG786443 JFC786443 JOY786443 JYU786443 KIQ786443 KSM786443 LCI786443 LME786443 LWA786443 MFW786443 MPS786443 MZO786443 NJK786443 NTG786443 ODC786443 OMY786443 OWU786443 PGQ786443 PQM786443 QAI786443 QKE786443 QUA786443 RDW786443 RNS786443 RXO786443 SHK786443 SRG786443 TBC786443 TKY786443 TUU786443 UEQ786443 UOM786443 UYI786443 VIE786443 VSA786443 WBW786443 WLS786443 WVO786443 G851979 JC851979 SY851979 ACU851979 AMQ851979 AWM851979 BGI851979 BQE851979 CAA851979 CJW851979 CTS851979 DDO851979 DNK851979 DXG851979 EHC851979 EQY851979 FAU851979 FKQ851979 FUM851979 GEI851979 GOE851979 GYA851979 HHW851979 HRS851979 IBO851979 ILK851979 IVG851979 JFC851979 JOY851979 JYU851979 KIQ851979 KSM851979 LCI851979 LME851979 LWA851979 MFW851979 MPS851979 MZO851979 NJK851979 NTG851979 ODC851979 OMY851979 OWU851979 PGQ851979 PQM851979 QAI851979 QKE851979 QUA851979 RDW851979 RNS851979 RXO851979 SHK851979 SRG851979 TBC851979 TKY851979 TUU851979 UEQ851979 UOM851979 UYI851979 VIE851979 VSA851979 WBW851979 WLS851979 WVO851979 G917515 JC917515 SY917515 ACU917515 AMQ917515 AWM917515 BGI917515 BQE917515 CAA917515 CJW917515 CTS917515 DDO917515 DNK917515 DXG917515 EHC917515 EQY917515 FAU917515 FKQ917515 FUM917515 GEI917515 GOE917515 GYA917515 HHW917515 HRS917515 IBO917515 ILK917515 IVG917515 JFC917515 JOY917515 JYU917515 KIQ917515 KSM917515 LCI917515 LME917515 LWA917515 MFW917515 MPS917515 MZO917515 NJK917515 NTG917515 ODC917515 OMY917515 OWU917515 PGQ917515 PQM917515 QAI917515 QKE917515 QUA917515 RDW917515 RNS917515 RXO917515 SHK917515 SRG917515 TBC917515 TKY917515 TUU917515 UEQ917515 UOM917515 UYI917515 VIE917515 VSA917515 WBW917515 WLS917515 WVO917515 G983051 JC983051 SY983051 ACU983051 AMQ983051 AWM983051 BGI983051 BQE983051 CAA983051 CJW983051 CTS983051 DDO983051 DNK983051 DXG983051 EHC983051 EQY983051 FAU983051 FKQ983051 FUM983051 GEI983051 GOE983051 GYA983051 HHW983051 HRS983051 IBO983051 ILK983051 IVG983051 JFC983051 JOY983051 JYU983051 KIQ983051 KSM983051 LCI983051 LME983051 LWA983051 MFW983051 MPS983051 MZO983051 NJK983051 NTG983051 ODC983051 OMY983051 OWU983051 PGQ983051 PQM983051 QAI983051 QKE983051 QUA983051 RDW983051 RNS983051 RXO983051 SHK983051 SRG983051 TBC983051 TKY983051 TUU983051 UEQ983051 UOM983051 UYI983051 VIE983051 VSA983051 WBW983051 WLS983051 WVO983051 G13:G20 JC13:JC20 SY13:SY20 ACU13:ACU20 AMQ13:AMQ20 AWM13:AWM20 BGI13:BGI20 BQE13:BQE20 CAA13:CAA20 CJW13:CJW20 CTS13:CTS20 DDO13:DDO20 DNK13:DNK20 DXG13:DXG20 EHC13:EHC20 EQY13:EQY20 FAU13:FAU20 FKQ13:FKQ20 FUM13:FUM20 GEI13:GEI20 GOE13:GOE20 GYA13:GYA20 HHW13:HHW20 HRS13:HRS20 IBO13:IBO20 ILK13:ILK20 IVG13:IVG20 JFC13:JFC20 JOY13:JOY20 JYU13:JYU20 KIQ13:KIQ20 KSM13:KSM20 LCI13:LCI20 LME13:LME20 LWA13:LWA20 MFW13:MFW20 MPS13:MPS20 MZO13:MZO20 NJK13:NJK20 NTG13:NTG20 ODC13:ODC20 OMY13:OMY20 OWU13:OWU20 PGQ13:PGQ20 PQM13:PQM20 QAI13:QAI20 QKE13:QKE20 QUA13:QUA20 RDW13:RDW20 RNS13:RNS20 RXO13:RXO20 SHK13:SHK20 SRG13:SRG20 TBC13:TBC20 TKY13:TKY20 TUU13:TUU20 UEQ13:UEQ20 UOM13:UOM20 UYI13:UYI20 VIE13:VIE20 VSA13:VSA20 WBW13:WBW20 WLS13:WLS20 WVO13:WVO20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formula1>0</formula1>
    </dataValidation>
  </dataValidations>
  <pageMargins left="0.75" right="0.75" top="1" bottom="1" header="0.5" footer="0.5"/>
  <headerFooter alignWithMargins="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sheetPr>
  <dimension ref="A1:M31"/>
  <sheetViews>
    <sheetView showGridLines="0" workbookViewId="0">
      <selection activeCell="B7" sqref="B7"/>
    </sheetView>
  </sheetViews>
  <sheetFormatPr defaultRowHeight="16.5" x14ac:dyDescent="0.3"/>
  <cols>
    <col min="1" max="1" width="1.375" style="14" customWidth="1"/>
    <col min="2" max="2" width="11" style="14" customWidth="1"/>
    <col min="3" max="3" width="17.75" style="14" bestFit="1" customWidth="1"/>
    <col min="4" max="4" width="11.625" style="14" bestFit="1" customWidth="1"/>
    <col min="6" max="6" width="10.25" customWidth="1"/>
    <col min="7" max="7" width="6.75" customWidth="1"/>
    <col min="8" max="8" width="10.625" style="14" bestFit="1" customWidth="1"/>
    <col min="9" max="9" width="16.25" style="14" bestFit="1" customWidth="1"/>
    <col min="11" max="11" width="30.625" style="14" customWidth="1"/>
    <col min="12" max="12" width="8" style="14" customWidth="1"/>
    <col min="13" max="13" width="11.875" style="14" customWidth="1"/>
    <col min="14" max="14" width="7.875" style="14" bestFit="1" customWidth="1"/>
    <col min="15" max="15" width="28.375" style="14" customWidth="1"/>
    <col min="16" max="16" width="9.25" style="14" customWidth="1"/>
    <col min="17" max="258" width="9" style="14"/>
    <col min="259" max="259" width="1.375" style="14" customWidth="1"/>
    <col min="260" max="260" width="10.75" style="14" customWidth="1"/>
    <col min="261" max="261" width="17.75" style="14" bestFit="1" customWidth="1"/>
    <col min="262" max="262" width="11.625" style="14" bestFit="1" customWidth="1"/>
    <col min="263" max="263" width="7.625" style="14" customWidth="1"/>
    <col min="264" max="264" width="8" style="14" bestFit="1" customWidth="1"/>
    <col min="265" max="265" width="28.375" style="14" customWidth="1"/>
    <col min="266" max="266" width="8" style="14" bestFit="1" customWidth="1"/>
    <col min="267" max="267" width="9.125" style="14" bestFit="1" customWidth="1"/>
    <col min="268" max="268" width="8.125" style="14" customWidth="1"/>
    <col min="269" max="269" width="7.875" style="14" bestFit="1" customWidth="1"/>
    <col min="270" max="270" width="8.25" style="14" customWidth="1"/>
    <col min="271" max="271" width="8" style="14" customWidth="1"/>
    <col min="272" max="272" width="18.625" style="14" customWidth="1"/>
    <col min="273" max="514" width="9" style="14"/>
    <col min="515" max="515" width="1.375" style="14" customWidth="1"/>
    <col min="516" max="516" width="10.75" style="14" customWidth="1"/>
    <col min="517" max="517" width="17.75" style="14" bestFit="1" customWidth="1"/>
    <col min="518" max="518" width="11.625" style="14" bestFit="1" customWidth="1"/>
    <col min="519" max="519" width="7.625" style="14" customWidth="1"/>
    <col min="520" max="520" width="8" style="14" bestFit="1" customWidth="1"/>
    <col min="521" max="521" width="28.375" style="14" customWidth="1"/>
    <col min="522" max="522" width="8" style="14" bestFit="1" customWidth="1"/>
    <col min="523" max="523" width="9.125" style="14" bestFit="1" customWidth="1"/>
    <col min="524" max="524" width="8.125" style="14" customWidth="1"/>
    <col min="525" max="525" width="7.875" style="14" bestFit="1" customWidth="1"/>
    <col min="526" max="526" width="8.25" style="14" customWidth="1"/>
    <col min="527" max="527" width="8" style="14" customWidth="1"/>
    <col min="528" max="528" width="18.625" style="14" customWidth="1"/>
    <col min="529" max="770" width="9" style="14"/>
    <col min="771" max="771" width="1.375" style="14" customWidth="1"/>
    <col min="772" max="772" width="10.75" style="14" customWidth="1"/>
    <col min="773" max="773" width="17.75" style="14" bestFit="1" customWidth="1"/>
    <col min="774" max="774" width="11.625" style="14" bestFit="1" customWidth="1"/>
    <col min="775" max="775" width="7.625" style="14" customWidth="1"/>
    <col min="776" max="776" width="8" style="14" bestFit="1" customWidth="1"/>
    <col min="777" max="777" width="28.375" style="14" customWidth="1"/>
    <col min="778" max="778" width="8" style="14" bestFit="1" customWidth="1"/>
    <col min="779" max="779" width="9.125" style="14" bestFit="1" customWidth="1"/>
    <col min="780" max="780" width="8.125" style="14" customWidth="1"/>
    <col min="781" max="781" width="7.875" style="14" bestFit="1" customWidth="1"/>
    <col min="782" max="782" width="8.25" style="14" customWidth="1"/>
    <col min="783" max="783" width="8" style="14" customWidth="1"/>
    <col min="784" max="784" width="18.625" style="14" customWidth="1"/>
    <col min="785" max="1026" width="9" style="14"/>
    <col min="1027" max="1027" width="1.375" style="14" customWidth="1"/>
    <col min="1028" max="1028" width="10.75" style="14" customWidth="1"/>
    <col min="1029" max="1029" width="17.75" style="14" bestFit="1" customWidth="1"/>
    <col min="1030" max="1030" width="11.625" style="14" bestFit="1" customWidth="1"/>
    <col min="1031" max="1031" width="7.625" style="14" customWidth="1"/>
    <col min="1032" max="1032" width="8" style="14" bestFit="1" customWidth="1"/>
    <col min="1033" max="1033" width="28.375" style="14" customWidth="1"/>
    <col min="1034" max="1034" width="8" style="14" bestFit="1" customWidth="1"/>
    <col min="1035" max="1035" width="9.125" style="14" bestFit="1" customWidth="1"/>
    <col min="1036" max="1036" width="8.125" style="14" customWidth="1"/>
    <col min="1037" max="1037" width="7.875" style="14" bestFit="1" customWidth="1"/>
    <col min="1038" max="1038" width="8.25" style="14" customWidth="1"/>
    <col min="1039" max="1039" width="8" style="14" customWidth="1"/>
    <col min="1040" max="1040" width="18.625" style="14" customWidth="1"/>
    <col min="1041" max="1282" width="9" style="14"/>
    <col min="1283" max="1283" width="1.375" style="14" customWidth="1"/>
    <col min="1284" max="1284" width="10.75" style="14" customWidth="1"/>
    <col min="1285" max="1285" width="17.75" style="14" bestFit="1" customWidth="1"/>
    <col min="1286" max="1286" width="11.625" style="14" bestFit="1" customWidth="1"/>
    <col min="1287" max="1287" width="7.625" style="14" customWidth="1"/>
    <col min="1288" max="1288" width="8" style="14" bestFit="1" customWidth="1"/>
    <col min="1289" max="1289" width="28.375" style="14" customWidth="1"/>
    <col min="1290" max="1290" width="8" style="14" bestFit="1" customWidth="1"/>
    <col min="1291" max="1291" width="9.125" style="14" bestFit="1" customWidth="1"/>
    <col min="1292" max="1292" width="8.125" style="14" customWidth="1"/>
    <col min="1293" max="1293" width="7.875" style="14" bestFit="1" customWidth="1"/>
    <col min="1294" max="1294" width="8.25" style="14" customWidth="1"/>
    <col min="1295" max="1295" width="8" style="14" customWidth="1"/>
    <col min="1296" max="1296" width="18.625" style="14" customWidth="1"/>
    <col min="1297" max="1538" width="9" style="14"/>
    <col min="1539" max="1539" width="1.375" style="14" customWidth="1"/>
    <col min="1540" max="1540" width="10.75" style="14" customWidth="1"/>
    <col min="1541" max="1541" width="17.75" style="14" bestFit="1" customWidth="1"/>
    <col min="1542" max="1542" width="11.625" style="14" bestFit="1" customWidth="1"/>
    <col min="1543" max="1543" width="7.625" style="14" customWidth="1"/>
    <col min="1544" max="1544" width="8" style="14" bestFit="1" customWidth="1"/>
    <col min="1545" max="1545" width="28.375" style="14" customWidth="1"/>
    <col min="1546" max="1546" width="8" style="14" bestFit="1" customWidth="1"/>
    <col min="1547" max="1547" width="9.125" style="14" bestFit="1" customWidth="1"/>
    <col min="1548" max="1548" width="8.125" style="14" customWidth="1"/>
    <col min="1549" max="1549" width="7.875" style="14" bestFit="1" customWidth="1"/>
    <col min="1550" max="1550" width="8.25" style="14" customWidth="1"/>
    <col min="1551" max="1551" width="8" style="14" customWidth="1"/>
    <col min="1552" max="1552" width="18.625" style="14" customWidth="1"/>
    <col min="1553" max="1794" width="9" style="14"/>
    <col min="1795" max="1795" width="1.375" style="14" customWidth="1"/>
    <col min="1796" max="1796" width="10.75" style="14" customWidth="1"/>
    <col min="1797" max="1797" width="17.75" style="14" bestFit="1" customWidth="1"/>
    <col min="1798" max="1798" width="11.625" style="14" bestFit="1" customWidth="1"/>
    <col min="1799" max="1799" width="7.625" style="14" customWidth="1"/>
    <col min="1800" max="1800" width="8" style="14" bestFit="1" customWidth="1"/>
    <col min="1801" max="1801" width="28.375" style="14" customWidth="1"/>
    <col min="1802" max="1802" width="8" style="14" bestFit="1" customWidth="1"/>
    <col min="1803" max="1803" width="9.125" style="14" bestFit="1" customWidth="1"/>
    <col min="1804" max="1804" width="8.125" style="14" customWidth="1"/>
    <col min="1805" max="1805" width="7.875" style="14" bestFit="1" customWidth="1"/>
    <col min="1806" max="1806" width="8.25" style="14" customWidth="1"/>
    <col min="1807" max="1807" width="8" style="14" customWidth="1"/>
    <col min="1808" max="1808" width="18.625" style="14" customWidth="1"/>
    <col min="1809" max="2050" width="9" style="14"/>
    <col min="2051" max="2051" width="1.375" style="14" customWidth="1"/>
    <col min="2052" max="2052" width="10.75" style="14" customWidth="1"/>
    <col min="2053" max="2053" width="17.75" style="14" bestFit="1" customWidth="1"/>
    <col min="2054" max="2054" width="11.625" style="14" bestFit="1" customWidth="1"/>
    <col min="2055" max="2055" width="7.625" style="14" customWidth="1"/>
    <col min="2056" max="2056" width="8" style="14" bestFit="1" customWidth="1"/>
    <col min="2057" max="2057" width="28.375" style="14" customWidth="1"/>
    <col min="2058" max="2058" width="8" style="14" bestFit="1" customWidth="1"/>
    <col min="2059" max="2059" width="9.125" style="14" bestFit="1" customWidth="1"/>
    <col min="2060" max="2060" width="8.125" style="14" customWidth="1"/>
    <col min="2061" max="2061" width="7.875" style="14" bestFit="1" customWidth="1"/>
    <col min="2062" max="2062" width="8.25" style="14" customWidth="1"/>
    <col min="2063" max="2063" width="8" style="14" customWidth="1"/>
    <col min="2064" max="2064" width="18.625" style="14" customWidth="1"/>
    <col min="2065" max="2306" width="9" style="14"/>
    <col min="2307" max="2307" width="1.375" style="14" customWidth="1"/>
    <col min="2308" max="2308" width="10.75" style="14" customWidth="1"/>
    <col min="2309" max="2309" width="17.75" style="14" bestFit="1" customWidth="1"/>
    <col min="2310" max="2310" width="11.625" style="14" bestFit="1" customWidth="1"/>
    <col min="2311" max="2311" width="7.625" style="14" customWidth="1"/>
    <col min="2312" max="2312" width="8" style="14" bestFit="1" customWidth="1"/>
    <col min="2313" max="2313" width="28.375" style="14" customWidth="1"/>
    <col min="2314" max="2314" width="8" style="14" bestFit="1" customWidth="1"/>
    <col min="2315" max="2315" width="9.125" style="14" bestFit="1" customWidth="1"/>
    <col min="2316" max="2316" width="8.125" style="14" customWidth="1"/>
    <col min="2317" max="2317" width="7.875" style="14" bestFit="1" customWidth="1"/>
    <col min="2318" max="2318" width="8.25" style="14" customWidth="1"/>
    <col min="2319" max="2319" width="8" style="14" customWidth="1"/>
    <col min="2320" max="2320" width="18.625" style="14" customWidth="1"/>
    <col min="2321" max="2562" width="9" style="14"/>
    <col min="2563" max="2563" width="1.375" style="14" customWidth="1"/>
    <col min="2564" max="2564" width="10.75" style="14" customWidth="1"/>
    <col min="2565" max="2565" width="17.75" style="14" bestFit="1" customWidth="1"/>
    <col min="2566" max="2566" width="11.625" style="14" bestFit="1" customWidth="1"/>
    <col min="2567" max="2567" width="7.625" style="14" customWidth="1"/>
    <col min="2568" max="2568" width="8" style="14" bestFit="1" customWidth="1"/>
    <col min="2569" max="2569" width="28.375" style="14" customWidth="1"/>
    <col min="2570" max="2570" width="8" style="14" bestFit="1" customWidth="1"/>
    <col min="2571" max="2571" width="9.125" style="14" bestFit="1" customWidth="1"/>
    <col min="2572" max="2572" width="8.125" style="14" customWidth="1"/>
    <col min="2573" max="2573" width="7.875" style="14" bestFit="1" customWidth="1"/>
    <col min="2574" max="2574" width="8.25" style="14" customWidth="1"/>
    <col min="2575" max="2575" width="8" style="14" customWidth="1"/>
    <col min="2576" max="2576" width="18.625" style="14" customWidth="1"/>
    <col min="2577" max="2818" width="9" style="14"/>
    <col min="2819" max="2819" width="1.375" style="14" customWidth="1"/>
    <col min="2820" max="2820" width="10.75" style="14" customWidth="1"/>
    <col min="2821" max="2821" width="17.75" style="14" bestFit="1" customWidth="1"/>
    <col min="2822" max="2822" width="11.625" style="14" bestFit="1" customWidth="1"/>
    <col min="2823" max="2823" width="7.625" style="14" customWidth="1"/>
    <col min="2824" max="2824" width="8" style="14" bestFit="1" customWidth="1"/>
    <col min="2825" max="2825" width="28.375" style="14" customWidth="1"/>
    <col min="2826" max="2826" width="8" style="14" bestFit="1" customWidth="1"/>
    <col min="2827" max="2827" width="9.125" style="14" bestFit="1" customWidth="1"/>
    <col min="2828" max="2828" width="8.125" style="14" customWidth="1"/>
    <col min="2829" max="2829" width="7.875" style="14" bestFit="1" customWidth="1"/>
    <col min="2830" max="2830" width="8.25" style="14" customWidth="1"/>
    <col min="2831" max="2831" width="8" style="14" customWidth="1"/>
    <col min="2832" max="2832" width="18.625" style="14" customWidth="1"/>
    <col min="2833" max="3074" width="9" style="14"/>
    <col min="3075" max="3075" width="1.375" style="14" customWidth="1"/>
    <col min="3076" max="3076" width="10.75" style="14" customWidth="1"/>
    <col min="3077" max="3077" width="17.75" style="14" bestFit="1" customWidth="1"/>
    <col min="3078" max="3078" width="11.625" style="14" bestFit="1" customWidth="1"/>
    <col min="3079" max="3079" width="7.625" style="14" customWidth="1"/>
    <col min="3080" max="3080" width="8" style="14" bestFit="1" customWidth="1"/>
    <col min="3081" max="3081" width="28.375" style="14" customWidth="1"/>
    <col min="3082" max="3082" width="8" style="14" bestFit="1" customWidth="1"/>
    <col min="3083" max="3083" width="9.125" style="14" bestFit="1" customWidth="1"/>
    <col min="3084" max="3084" width="8.125" style="14" customWidth="1"/>
    <col min="3085" max="3085" width="7.875" style="14" bestFit="1" customWidth="1"/>
    <col min="3086" max="3086" width="8.25" style="14" customWidth="1"/>
    <col min="3087" max="3087" width="8" style="14" customWidth="1"/>
    <col min="3088" max="3088" width="18.625" style="14" customWidth="1"/>
    <col min="3089" max="3330" width="9" style="14"/>
    <col min="3331" max="3331" width="1.375" style="14" customWidth="1"/>
    <col min="3332" max="3332" width="10.75" style="14" customWidth="1"/>
    <col min="3333" max="3333" width="17.75" style="14" bestFit="1" customWidth="1"/>
    <col min="3334" max="3334" width="11.625" style="14" bestFit="1" customWidth="1"/>
    <col min="3335" max="3335" width="7.625" style="14" customWidth="1"/>
    <col min="3336" max="3336" width="8" style="14" bestFit="1" customWidth="1"/>
    <col min="3337" max="3337" width="28.375" style="14" customWidth="1"/>
    <col min="3338" max="3338" width="8" style="14" bestFit="1" customWidth="1"/>
    <col min="3339" max="3339" width="9.125" style="14" bestFit="1" customWidth="1"/>
    <col min="3340" max="3340" width="8.125" style="14" customWidth="1"/>
    <col min="3341" max="3341" width="7.875" style="14" bestFit="1" customWidth="1"/>
    <col min="3342" max="3342" width="8.25" style="14" customWidth="1"/>
    <col min="3343" max="3343" width="8" style="14" customWidth="1"/>
    <col min="3344" max="3344" width="18.625" style="14" customWidth="1"/>
    <col min="3345" max="3586" width="9" style="14"/>
    <col min="3587" max="3587" width="1.375" style="14" customWidth="1"/>
    <col min="3588" max="3588" width="10.75" style="14" customWidth="1"/>
    <col min="3589" max="3589" width="17.75" style="14" bestFit="1" customWidth="1"/>
    <col min="3590" max="3590" width="11.625" style="14" bestFit="1" customWidth="1"/>
    <col min="3591" max="3591" width="7.625" style="14" customWidth="1"/>
    <col min="3592" max="3592" width="8" style="14" bestFit="1" customWidth="1"/>
    <col min="3593" max="3593" width="28.375" style="14" customWidth="1"/>
    <col min="3594" max="3594" width="8" style="14" bestFit="1" customWidth="1"/>
    <col min="3595" max="3595" width="9.125" style="14" bestFit="1" customWidth="1"/>
    <col min="3596" max="3596" width="8.125" style="14" customWidth="1"/>
    <col min="3597" max="3597" width="7.875" style="14" bestFit="1" customWidth="1"/>
    <col min="3598" max="3598" width="8.25" style="14" customWidth="1"/>
    <col min="3599" max="3599" width="8" style="14" customWidth="1"/>
    <col min="3600" max="3600" width="18.625" style="14" customWidth="1"/>
    <col min="3601" max="3842" width="9" style="14"/>
    <col min="3843" max="3843" width="1.375" style="14" customWidth="1"/>
    <col min="3844" max="3844" width="10.75" style="14" customWidth="1"/>
    <col min="3845" max="3845" width="17.75" style="14" bestFit="1" customWidth="1"/>
    <col min="3846" max="3846" width="11.625" style="14" bestFit="1" customWidth="1"/>
    <col min="3847" max="3847" width="7.625" style="14" customWidth="1"/>
    <col min="3848" max="3848" width="8" style="14" bestFit="1" customWidth="1"/>
    <col min="3849" max="3849" width="28.375" style="14" customWidth="1"/>
    <col min="3850" max="3850" width="8" style="14" bestFit="1" customWidth="1"/>
    <col min="3851" max="3851" width="9.125" style="14" bestFit="1" customWidth="1"/>
    <col min="3852" max="3852" width="8.125" style="14" customWidth="1"/>
    <col min="3853" max="3853" width="7.875" style="14" bestFit="1" customWidth="1"/>
    <col min="3854" max="3854" width="8.25" style="14" customWidth="1"/>
    <col min="3855" max="3855" width="8" style="14" customWidth="1"/>
    <col min="3856" max="3856" width="18.625" style="14" customWidth="1"/>
    <col min="3857" max="4098" width="9" style="14"/>
    <col min="4099" max="4099" width="1.375" style="14" customWidth="1"/>
    <col min="4100" max="4100" width="10.75" style="14" customWidth="1"/>
    <col min="4101" max="4101" width="17.75" style="14" bestFit="1" customWidth="1"/>
    <col min="4102" max="4102" width="11.625" style="14" bestFit="1" customWidth="1"/>
    <col min="4103" max="4103" width="7.625" style="14" customWidth="1"/>
    <col min="4104" max="4104" width="8" style="14" bestFit="1" customWidth="1"/>
    <col min="4105" max="4105" width="28.375" style="14" customWidth="1"/>
    <col min="4106" max="4106" width="8" style="14" bestFit="1" customWidth="1"/>
    <col min="4107" max="4107" width="9.125" style="14" bestFit="1" customWidth="1"/>
    <col min="4108" max="4108" width="8.125" style="14" customWidth="1"/>
    <col min="4109" max="4109" width="7.875" style="14" bestFit="1" customWidth="1"/>
    <col min="4110" max="4110" width="8.25" style="14" customWidth="1"/>
    <col min="4111" max="4111" width="8" style="14" customWidth="1"/>
    <col min="4112" max="4112" width="18.625" style="14" customWidth="1"/>
    <col min="4113" max="4354" width="9" style="14"/>
    <col min="4355" max="4355" width="1.375" style="14" customWidth="1"/>
    <col min="4356" max="4356" width="10.75" style="14" customWidth="1"/>
    <col min="4357" max="4357" width="17.75" style="14" bestFit="1" customWidth="1"/>
    <col min="4358" max="4358" width="11.625" style="14" bestFit="1" customWidth="1"/>
    <col min="4359" max="4359" width="7.625" style="14" customWidth="1"/>
    <col min="4360" max="4360" width="8" style="14" bestFit="1" customWidth="1"/>
    <col min="4361" max="4361" width="28.375" style="14" customWidth="1"/>
    <col min="4362" max="4362" width="8" style="14" bestFit="1" customWidth="1"/>
    <col min="4363" max="4363" width="9.125" style="14" bestFit="1" customWidth="1"/>
    <col min="4364" max="4364" width="8.125" style="14" customWidth="1"/>
    <col min="4365" max="4365" width="7.875" style="14" bestFit="1" customWidth="1"/>
    <col min="4366" max="4366" width="8.25" style="14" customWidth="1"/>
    <col min="4367" max="4367" width="8" style="14" customWidth="1"/>
    <col min="4368" max="4368" width="18.625" style="14" customWidth="1"/>
    <col min="4369" max="4610" width="9" style="14"/>
    <col min="4611" max="4611" width="1.375" style="14" customWidth="1"/>
    <col min="4612" max="4612" width="10.75" style="14" customWidth="1"/>
    <col min="4613" max="4613" width="17.75" style="14" bestFit="1" customWidth="1"/>
    <col min="4614" max="4614" width="11.625" style="14" bestFit="1" customWidth="1"/>
    <col min="4615" max="4615" width="7.625" style="14" customWidth="1"/>
    <col min="4616" max="4616" width="8" style="14" bestFit="1" customWidth="1"/>
    <col min="4617" max="4617" width="28.375" style="14" customWidth="1"/>
    <col min="4618" max="4618" width="8" style="14" bestFit="1" customWidth="1"/>
    <col min="4619" max="4619" width="9.125" style="14" bestFit="1" customWidth="1"/>
    <col min="4620" max="4620" width="8.125" style="14" customWidth="1"/>
    <col min="4621" max="4621" width="7.875" style="14" bestFit="1" customWidth="1"/>
    <col min="4622" max="4622" width="8.25" style="14" customWidth="1"/>
    <col min="4623" max="4623" width="8" style="14" customWidth="1"/>
    <col min="4624" max="4624" width="18.625" style="14" customWidth="1"/>
    <col min="4625" max="4866" width="9" style="14"/>
    <col min="4867" max="4867" width="1.375" style="14" customWidth="1"/>
    <col min="4868" max="4868" width="10.75" style="14" customWidth="1"/>
    <col min="4869" max="4869" width="17.75" style="14" bestFit="1" customWidth="1"/>
    <col min="4870" max="4870" width="11.625" style="14" bestFit="1" customWidth="1"/>
    <col min="4871" max="4871" width="7.625" style="14" customWidth="1"/>
    <col min="4872" max="4872" width="8" style="14" bestFit="1" customWidth="1"/>
    <col min="4873" max="4873" width="28.375" style="14" customWidth="1"/>
    <col min="4874" max="4874" width="8" style="14" bestFit="1" customWidth="1"/>
    <col min="4875" max="4875" width="9.125" style="14" bestFit="1" customWidth="1"/>
    <col min="4876" max="4876" width="8.125" style="14" customWidth="1"/>
    <col min="4877" max="4877" width="7.875" style="14" bestFit="1" customWidth="1"/>
    <col min="4878" max="4878" width="8.25" style="14" customWidth="1"/>
    <col min="4879" max="4879" width="8" style="14" customWidth="1"/>
    <col min="4880" max="4880" width="18.625" style="14" customWidth="1"/>
    <col min="4881" max="5122" width="9" style="14"/>
    <col min="5123" max="5123" width="1.375" style="14" customWidth="1"/>
    <col min="5124" max="5124" width="10.75" style="14" customWidth="1"/>
    <col min="5125" max="5125" width="17.75" style="14" bestFit="1" customWidth="1"/>
    <col min="5126" max="5126" width="11.625" style="14" bestFit="1" customWidth="1"/>
    <col min="5127" max="5127" width="7.625" style="14" customWidth="1"/>
    <col min="5128" max="5128" width="8" style="14" bestFit="1" customWidth="1"/>
    <col min="5129" max="5129" width="28.375" style="14" customWidth="1"/>
    <col min="5130" max="5130" width="8" style="14" bestFit="1" customWidth="1"/>
    <col min="5131" max="5131" width="9.125" style="14" bestFit="1" customWidth="1"/>
    <col min="5132" max="5132" width="8.125" style="14" customWidth="1"/>
    <col min="5133" max="5133" width="7.875" style="14" bestFit="1" customWidth="1"/>
    <col min="5134" max="5134" width="8.25" style="14" customWidth="1"/>
    <col min="5135" max="5135" width="8" style="14" customWidth="1"/>
    <col min="5136" max="5136" width="18.625" style="14" customWidth="1"/>
    <col min="5137" max="5378" width="9" style="14"/>
    <col min="5379" max="5379" width="1.375" style="14" customWidth="1"/>
    <col min="5380" max="5380" width="10.75" style="14" customWidth="1"/>
    <col min="5381" max="5381" width="17.75" style="14" bestFit="1" customWidth="1"/>
    <col min="5382" max="5382" width="11.625" style="14" bestFit="1" customWidth="1"/>
    <col min="5383" max="5383" width="7.625" style="14" customWidth="1"/>
    <col min="5384" max="5384" width="8" style="14" bestFit="1" customWidth="1"/>
    <col min="5385" max="5385" width="28.375" style="14" customWidth="1"/>
    <col min="5386" max="5386" width="8" style="14" bestFit="1" customWidth="1"/>
    <col min="5387" max="5387" width="9.125" style="14" bestFit="1" customWidth="1"/>
    <col min="5388" max="5388" width="8.125" style="14" customWidth="1"/>
    <col min="5389" max="5389" width="7.875" style="14" bestFit="1" customWidth="1"/>
    <col min="5390" max="5390" width="8.25" style="14" customWidth="1"/>
    <col min="5391" max="5391" width="8" style="14" customWidth="1"/>
    <col min="5392" max="5392" width="18.625" style="14" customWidth="1"/>
    <col min="5393" max="5634" width="9" style="14"/>
    <col min="5635" max="5635" width="1.375" style="14" customWidth="1"/>
    <col min="5636" max="5636" width="10.75" style="14" customWidth="1"/>
    <col min="5637" max="5637" width="17.75" style="14" bestFit="1" customWidth="1"/>
    <col min="5638" max="5638" width="11.625" style="14" bestFit="1" customWidth="1"/>
    <col min="5639" max="5639" width="7.625" style="14" customWidth="1"/>
    <col min="5640" max="5640" width="8" style="14" bestFit="1" customWidth="1"/>
    <col min="5641" max="5641" width="28.375" style="14" customWidth="1"/>
    <col min="5642" max="5642" width="8" style="14" bestFit="1" customWidth="1"/>
    <col min="5643" max="5643" width="9.125" style="14" bestFit="1" customWidth="1"/>
    <col min="5644" max="5644" width="8.125" style="14" customWidth="1"/>
    <col min="5645" max="5645" width="7.875" style="14" bestFit="1" customWidth="1"/>
    <col min="5646" max="5646" width="8.25" style="14" customWidth="1"/>
    <col min="5647" max="5647" width="8" style="14" customWidth="1"/>
    <col min="5648" max="5648" width="18.625" style="14" customWidth="1"/>
    <col min="5649" max="5890" width="9" style="14"/>
    <col min="5891" max="5891" width="1.375" style="14" customWidth="1"/>
    <col min="5892" max="5892" width="10.75" style="14" customWidth="1"/>
    <col min="5893" max="5893" width="17.75" style="14" bestFit="1" customWidth="1"/>
    <col min="5894" max="5894" width="11.625" style="14" bestFit="1" customWidth="1"/>
    <col min="5895" max="5895" width="7.625" style="14" customWidth="1"/>
    <col min="5896" max="5896" width="8" style="14" bestFit="1" customWidth="1"/>
    <col min="5897" max="5897" width="28.375" style="14" customWidth="1"/>
    <col min="5898" max="5898" width="8" style="14" bestFit="1" customWidth="1"/>
    <col min="5899" max="5899" width="9.125" style="14" bestFit="1" customWidth="1"/>
    <col min="5900" max="5900" width="8.125" style="14" customWidth="1"/>
    <col min="5901" max="5901" width="7.875" style="14" bestFit="1" customWidth="1"/>
    <col min="5902" max="5902" width="8.25" style="14" customWidth="1"/>
    <col min="5903" max="5903" width="8" style="14" customWidth="1"/>
    <col min="5904" max="5904" width="18.625" style="14" customWidth="1"/>
    <col min="5905" max="6146" width="9" style="14"/>
    <col min="6147" max="6147" width="1.375" style="14" customWidth="1"/>
    <col min="6148" max="6148" width="10.75" style="14" customWidth="1"/>
    <col min="6149" max="6149" width="17.75" style="14" bestFit="1" customWidth="1"/>
    <col min="6150" max="6150" width="11.625" style="14" bestFit="1" customWidth="1"/>
    <col min="6151" max="6151" width="7.625" style="14" customWidth="1"/>
    <col min="6152" max="6152" width="8" style="14" bestFit="1" customWidth="1"/>
    <col min="6153" max="6153" width="28.375" style="14" customWidth="1"/>
    <col min="6154" max="6154" width="8" style="14" bestFit="1" customWidth="1"/>
    <col min="6155" max="6155" width="9.125" style="14" bestFit="1" customWidth="1"/>
    <col min="6156" max="6156" width="8.125" style="14" customWidth="1"/>
    <col min="6157" max="6157" width="7.875" style="14" bestFit="1" customWidth="1"/>
    <col min="6158" max="6158" width="8.25" style="14" customWidth="1"/>
    <col min="6159" max="6159" width="8" style="14" customWidth="1"/>
    <col min="6160" max="6160" width="18.625" style="14" customWidth="1"/>
    <col min="6161" max="6402" width="9" style="14"/>
    <col min="6403" max="6403" width="1.375" style="14" customWidth="1"/>
    <col min="6404" max="6404" width="10.75" style="14" customWidth="1"/>
    <col min="6405" max="6405" width="17.75" style="14" bestFit="1" customWidth="1"/>
    <col min="6406" max="6406" width="11.625" style="14" bestFit="1" customWidth="1"/>
    <col min="6407" max="6407" width="7.625" style="14" customWidth="1"/>
    <col min="6408" max="6408" width="8" style="14" bestFit="1" customWidth="1"/>
    <col min="6409" max="6409" width="28.375" style="14" customWidth="1"/>
    <col min="6410" max="6410" width="8" style="14" bestFit="1" customWidth="1"/>
    <col min="6411" max="6411" width="9.125" style="14" bestFit="1" customWidth="1"/>
    <col min="6412" max="6412" width="8.125" style="14" customWidth="1"/>
    <col min="6413" max="6413" width="7.875" style="14" bestFit="1" customWidth="1"/>
    <col min="6414" max="6414" width="8.25" style="14" customWidth="1"/>
    <col min="6415" max="6415" width="8" style="14" customWidth="1"/>
    <col min="6416" max="6416" width="18.625" style="14" customWidth="1"/>
    <col min="6417" max="6658" width="9" style="14"/>
    <col min="6659" max="6659" width="1.375" style="14" customWidth="1"/>
    <col min="6660" max="6660" width="10.75" style="14" customWidth="1"/>
    <col min="6661" max="6661" width="17.75" style="14" bestFit="1" customWidth="1"/>
    <col min="6662" max="6662" width="11.625" style="14" bestFit="1" customWidth="1"/>
    <col min="6663" max="6663" width="7.625" style="14" customWidth="1"/>
    <col min="6664" max="6664" width="8" style="14" bestFit="1" customWidth="1"/>
    <col min="6665" max="6665" width="28.375" style="14" customWidth="1"/>
    <col min="6666" max="6666" width="8" style="14" bestFit="1" customWidth="1"/>
    <col min="6667" max="6667" width="9.125" style="14" bestFit="1" customWidth="1"/>
    <col min="6668" max="6668" width="8.125" style="14" customWidth="1"/>
    <col min="6669" max="6669" width="7.875" style="14" bestFit="1" customWidth="1"/>
    <col min="6670" max="6670" width="8.25" style="14" customWidth="1"/>
    <col min="6671" max="6671" width="8" style="14" customWidth="1"/>
    <col min="6672" max="6672" width="18.625" style="14" customWidth="1"/>
    <col min="6673" max="6914" width="9" style="14"/>
    <col min="6915" max="6915" width="1.375" style="14" customWidth="1"/>
    <col min="6916" max="6916" width="10.75" style="14" customWidth="1"/>
    <col min="6917" max="6917" width="17.75" style="14" bestFit="1" customWidth="1"/>
    <col min="6918" max="6918" width="11.625" style="14" bestFit="1" customWidth="1"/>
    <col min="6919" max="6919" width="7.625" style="14" customWidth="1"/>
    <col min="6920" max="6920" width="8" style="14" bestFit="1" customWidth="1"/>
    <col min="6921" max="6921" width="28.375" style="14" customWidth="1"/>
    <col min="6922" max="6922" width="8" style="14" bestFit="1" customWidth="1"/>
    <col min="6923" max="6923" width="9.125" style="14" bestFit="1" customWidth="1"/>
    <col min="6924" max="6924" width="8.125" style="14" customWidth="1"/>
    <col min="6925" max="6925" width="7.875" style="14" bestFit="1" customWidth="1"/>
    <col min="6926" max="6926" width="8.25" style="14" customWidth="1"/>
    <col min="6927" max="6927" width="8" style="14" customWidth="1"/>
    <col min="6928" max="6928" width="18.625" style="14" customWidth="1"/>
    <col min="6929" max="7170" width="9" style="14"/>
    <col min="7171" max="7171" width="1.375" style="14" customWidth="1"/>
    <col min="7172" max="7172" width="10.75" style="14" customWidth="1"/>
    <col min="7173" max="7173" width="17.75" style="14" bestFit="1" customWidth="1"/>
    <col min="7174" max="7174" width="11.625" style="14" bestFit="1" customWidth="1"/>
    <col min="7175" max="7175" width="7.625" style="14" customWidth="1"/>
    <col min="7176" max="7176" width="8" style="14" bestFit="1" customWidth="1"/>
    <col min="7177" max="7177" width="28.375" style="14" customWidth="1"/>
    <col min="7178" max="7178" width="8" style="14" bestFit="1" customWidth="1"/>
    <col min="7179" max="7179" width="9.125" style="14" bestFit="1" customWidth="1"/>
    <col min="7180" max="7180" width="8.125" style="14" customWidth="1"/>
    <col min="7181" max="7181" width="7.875" style="14" bestFit="1" customWidth="1"/>
    <col min="7182" max="7182" width="8.25" style="14" customWidth="1"/>
    <col min="7183" max="7183" width="8" style="14" customWidth="1"/>
    <col min="7184" max="7184" width="18.625" style="14" customWidth="1"/>
    <col min="7185" max="7426" width="9" style="14"/>
    <col min="7427" max="7427" width="1.375" style="14" customWidth="1"/>
    <col min="7428" max="7428" width="10.75" style="14" customWidth="1"/>
    <col min="7429" max="7429" width="17.75" style="14" bestFit="1" customWidth="1"/>
    <col min="7430" max="7430" width="11.625" style="14" bestFit="1" customWidth="1"/>
    <col min="7431" max="7431" width="7.625" style="14" customWidth="1"/>
    <col min="7432" max="7432" width="8" style="14" bestFit="1" customWidth="1"/>
    <col min="7433" max="7433" width="28.375" style="14" customWidth="1"/>
    <col min="7434" max="7434" width="8" style="14" bestFit="1" customWidth="1"/>
    <col min="7435" max="7435" width="9.125" style="14" bestFit="1" customWidth="1"/>
    <col min="7436" max="7436" width="8.125" style="14" customWidth="1"/>
    <col min="7437" max="7437" width="7.875" style="14" bestFit="1" customWidth="1"/>
    <col min="7438" max="7438" width="8.25" style="14" customWidth="1"/>
    <col min="7439" max="7439" width="8" style="14" customWidth="1"/>
    <col min="7440" max="7440" width="18.625" style="14" customWidth="1"/>
    <col min="7441" max="7682" width="9" style="14"/>
    <col min="7683" max="7683" width="1.375" style="14" customWidth="1"/>
    <col min="7684" max="7684" width="10.75" style="14" customWidth="1"/>
    <col min="7685" max="7685" width="17.75" style="14" bestFit="1" customWidth="1"/>
    <col min="7686" max="7686" width="11.625" style="14" bestFit="1" customWidth="1"/>
    <col min="7687" max="7687" width="7.625" style="14" customWidth="1"/>
    <col min="7688" max="7688" width="8" style="14" bestFit="1" customWidth="1"/>
    <col min="7689" max="7689" width="28.375" style="14" customWidth="1"/>
    <col min="7690" max="7690" width="8" style="14" bestFit="1" customWidth="1"/>
    <col min="7691" max="7691" width="9.125" style="14" bestFit="1" customWidth="1"/>
    <col min="7692" max="7692" width="8.125" style="14" customWidth="1"/>
    <col min="7693" max="7693" width="7.875" style="14" bestFit="1" customWidth="1"/>
    <col min="7694" max="7694" width="8.25" style="14" customWidth="1"/>
    <col min="7695" max="7695" width="8" style="14" customWidth="1"/>
    <col min="7696" max="7696" width="18.625" style="14" customWidth="1"/>
    <col min="7697" max="7938" width="9" style="14"/>
    <col min="7939" max="7939" width="1.375" style="14" customWidth="1"/>
    <col min="7940" max="7940" width="10.75" style="14" customWidth="1"/>
    <col min="7941" max="7941" width="17.75" style="14" bestFit="1" customWidth="1"/>
    <col min="7942" max="7942" width="11.625" style="14" bestFit="1" customWidth="1"/>
    <col min="7943" max="7943" width="7.625" style="14" customWidth="1"/>
    <col min="7944" max="7944" width="8" style="14" bestFit="1" customWidth="1"/>
    <col min="7945" max="7945" width="28.375" style="14" customWidth="1"/>
    <col min="7946" max="7946" width="8" style="14" bestFit="1" customWidth="1"/>
    <col min="7947" max="7947" width="9.125" style="14" bestFit="1" customWidth="1"/>
    <col min="7948" max="7948" width="8.125" style="14" customWidth="1"/>
    <col min="7949" max="7949" width="7.875" style="14" bestFit="1" customWidth="1"/>
    <col min="7950" max="7950" width="8.25" style="14" customWidth="1"/>
    <col min="7951" max="7951" width="8" style="14" customWidth="1"/>
    <col min="7952" max="7952" width="18.625" style="14" customWidth="1"/>
    <col min="7953" max="8194" width="9" style="14"/>
    <col min="8195" max="8195" width="1.375" style="14" customWidth="1"/>
    <col min="8196" max="8196" width="10.75" style="14" customWidth="1"/>
    <col min="8197" max="8197" width="17.75" style="14" bestFit="1" customWidth="1"/>
    <col min="8198" max="8198" width="11.625" style="14" bestFit="1" customWidth="1"/>
    <col min="8199" max="8199" width="7.625" style="14" customWidth="1"/>
    <col min="8200" max="8200" width="8" style="14" bestFit="1" customWidth="1"/>
    <col min="8201" max="8201" width="28.375" style="14" customWidth="1"/>
    <col min="8202" max="8202" width="8" style="14" bestFit="1" customWidth="1"/>
    <col min="8203" max="8203" width="9.125" style="14" bestFit="1" customWidth="1"/>
    <col min="8204" max="8204" width="8.125" style="14" customWidth="1"/>
    <col min="8205" max="8205" width="7.875" style="14" bestFit="1" customWidth="1"/>
    <col min="8206" max="8206" width="8.25" style="14" customWidth="1"/>
    <col min="8207" max="8207" width="8" style="14" customWidth="1"/>
    <col min="8208" max="8208" width="18.625" style="14" customWidth="1"/>
    <col min="8209" max="8450" width="9" style="14"/>
    <col min="8451" max="8451" width="1.375" style="14" customWidth="1"/>
    <col min="8452" max="8452" width="10.75" style="14" customWidth="1"/>
    <col min="8453" max="8453" width="17.75" style="14" bestFit="1" customWidth="1"/>
    <col min="8454" max="8454" width="11.625" style="14" bestFit="1" customWidth="1"/>
    <col min="8455" max="8455" width="7.625" style="14" customWidth="1"/>
    <col min="8456" max="8456" width="8" style="14" bestFit="1" customWidth="1"/>
    <col min="8457" max="8457" width="28.375" style="14" customWidth="1"/>
    <col min="8458" max="8458" width="8" style="14" bestFit="1" customWidth="1"/>
    <col min="8459" max="8459" width="9.125" style="14" bestFit="1" customWidth="1"/>
    <col min="8460" max="8460" width="8.125" style="14" customWidth="1"/>
    <col min="8461" max="8461" width="7.875" style="14" bestFit="1" customWidth="1"/>
    <col min="8462" max="8462" width="8.25" style="14" customWidth="1"/>
    <col min="8463" max="8463" width="8" style="14" customWidth="1"/>
    <col min="8464" max="8464" width="18.625" style="14" customWidth="1"/>
    <col min="8465" max="8706" width="9" style="14"/>
    <col min="8707" max="8707" width="1.375" style="14" customWidth="1"/>
    <col min="8708" max="8708" width="10.75" style="14" customWidth="1"/>
    <col min="8709" max="8709" width="17.75" style="14" bestFit="1" customWidth="1"/>
    <col min="8710" max="8710" width="11.625" style="14" bestFit="1" customWidth="1"/>
    <col min="8711" max="8711" width="7.625" style="14" customWidth="1"/>
    <col min="8712" max="8712" width="8" style="14" bestFit="1" customWidth="1"/>
    <col min="8713" max="8713" width="28.375" style="14" customWidth="1"/>
    <col min="8714" max="8714" width="8" style="14" bestFit="1" customWidth="1"/>
    <col min="8715" max="8715" width="9.125" style="14" bestFit="1" customWidth="1"/>
    <col min="8716" max="8716" width="8.125" style="14" customWidth="1"/>
    <col min="8717" max="8717" width="7.875" style="14" bestFit="1" customWidth="1"/>
    <col min="8718" max="8718" width="8.25" style="14" customWidth="1"/>
    <col min="8719" max="8719" width="8" style="14" customWidth="1"/>
    <col min="8720" max="8720" width="18.625" style="14" customWidth="1"/>
    <col min="8721" max="8962" width="9" style="14"/>
    <col min="8963" max="8963" width="1.375" style="14" customWidth="1"/>
    <col min="8964" max="8964" width="10.75" style="14" customWidth="1"/>
    <col min="8965" max="8965" width="17.75" style="14" bestFit="1" customWidth="1"/>
    <col min="8966" max="8966" width="11.625" style="14" bestFit="1" customWidth="1"/>
    <col min="8967" max="8967" width="7.625" style="14" customWidth="1"/>
    <col min="8968" max="8968" width="8" style="14" bestFit="1" customWidth="1"/>
    <col min="8969" max="8969" width="28.375" style="14" customWidth="1"/>
    <col min="8970" max="8970" width="8" style="14" bestFit="1" customWidth="1"/>
    <col min="8971" max="8971" width="9.125" style="14" bestFit="1" customWidth="1"/>
    <col min="8972" max="8972" width="8.125" style="14" customWidth="1"/>
    <col min="8973" max="8973" width="7.875" style="14" bestFit="1" customWidth="1"/>
    <col min="8974" max="8974" width="8.25" style="14" customWidth="1"/>
    <col min="8975" max="8975" width="8" style="14" customWidth="1"/>
    <col min="8976" max="8976" width="18.625" style="14" customWidth="1"/>
    <col min="8977" max="9218" width="9" style="14"/>
    <col min="9219" max="9219" width="1.375" style="14" customWidth="1"/>
    <col min="9220" max="9220" width="10.75" style="14" customWidth="1"/>
    <col min="9221" max="9221" width="17.75" style="14" bestFit="1" customWidth="1"/>
    <col min="9222" max="9222" width="11.625" style="14" bestFit="1" customWidth="1"/>
    <col min="9223" max="9223" width="7.625" style="14" customWidth="1"/>
    <col min="9224" max="9224" width="8" style="14" bestFit="1" customWidth="1"/>
    <col min="9225" max="9225" width="28.375" style="14" customWidth="1"/>
    <col min="9226" max="9226" width="8" style="14" bestFit="1" customWidth="1"/>
    <col min="9227" max="9227" width="9.125" style="14" bestFit="1" customWidth="1"/>
    <col min="9228" max="9228" width="8.125" style="14" customWidth="1"/>
    <col min="9229" max="9229" width="7.875" style="14" bestFit="1" customWidth="1"/>
    <col min="9230" max="9230" width="8.25" style="14" customWidth="1"/>
    <col min="9231" max="9231" width="8" style="14" customWidth="1"/>
    <col min="9232" max="9232" width="18.625" style="14" customWidth="1"/>
    <col min="9233" max="9474" width="9" style="14"/>
    <col min="9475" max="9475" width="1.375" style="14" customWidth="1"/>
    <col min="9476" max="9476" width="10.75" style="14" customWidth="1"/>
    <col min="9477" max="9477" width="17.75" style="14" bestFit="1" customWidth="1"/>
    <col min="9478" max="9478" width="11.625" style="14" bestFit="1" customWidth="1"/>
    <col min="9479" max="9479" width="7.625" style="14" customWidth="1"/>
    <col min="9480" max="9480" width="8" style="14" bestFit="1" customWidth="1"/>
    <col min="9481" max="9481" width="28.375" style="14" customWidth="1"/>
    <col min="9482" max="9482" width="8" style="14" bestFit="1" customWidth="1"/>
    <col min="9483" max="9483" width="9.125" style="14" bestFit="1" customWidth="1"/>
    <col min="9484" max="9484" width="8.125" style="14" customWidth="1"/>
    <col min="9485" max="9485" width="7.875" style="14" bestFit="1" customWidth="1"/>
    <col min="9486" max="9486" width="8.25" style="14" customWidth="1"/>
    <col min="9487" max="9487" width="8" style="14" customWidth="1"/>
    <col min="9488" max="9488" width="18.625" style="14" customWidth="1"/>
    <col min="9489" max="9730" width="9" style="14"/>
    <col min="9731" max="9731" width="1.375" style="14" customWidth="1"/>
    <col min="9732" max="9732" width="10.75" style="14" customWidth="1"/>
    <col min="9733" max="9733" width="17.75" style="14" bestFit="1" customWidth="1"/>
    <col min="9734" max="9734" width="11.625" style="14" bestFit="1" customWidth="1"/>
    <col min="9735" max="9735" width="7.625" style="14" customWidth="1"/>
    <col min="9736" max="9736" width="8" style="14" bestFit="1" customWidth="1"/>
    <col min="9737" max="9737" width="28.375" style="14" customWidth="1"/>
    <col min="9738" max="9738" width="8" style="14" bestFit="1" customWidth="1"/>
    <col min="9739" max="9739" width="9.125" style="14" bestFit="1" customWidth="1"/>
    <col min="9740" max="9740" width="8.125" style="14" customWidth="1"/>
    <col min="9741" max="9741" width="7.875" style="14" bestFit="1" customWidth="1"/>
    <col min="9742" max="9742" width="8.25" style="14" customWidth="1"/>
    <col min="9743" max="9743" width="8" style="14" customWidth="1"/>
    <col min="9744" max="9744" width="18.625" style="14" customWidth="1"/>
    <col min="9745" max="9986" width="9" style="14"/>
    <col min="9987" max="9987" width="1.375" style="14" customWidth="1"/>
    <col min="9988" max="9988" width="10.75" style="14" customWidth="1"/>
    <col min="9989" max="9989" width="17.75" style="14" bestFit="1" customWidth="1"/>
    <col min="9990" max="9990" width="11.625" style="14" bestFit="1" customWidth="1"/>
    <col min="9991" max="9991" width="7.625" style="14" customWidth="1"/>
    <col min="9992" max="9992" width="8" style="14" bestFit="1" customWidth="1"/>
    <col min="9993" max="9993" width="28.375" style="14" customWidth="1"/>
    <col min="9994" max="9994" width="8" style="14" bestFit="1" customWidth="1"/>
    <col min="9995" max="9995" width="9.125" style="14" bestFit="1" customWidth="1"/>
    <col min="9996" max="9996" width="8.125" style="14" customWidth="1"/>
    <col min="9997" max="9997" width="7.875" style="14" bestFit="1" customWidth="1"/>
    <col min="9998" max="9998" width="8.25" style="14" customWidth="1"/>
    <col min="9999" max="9999" width="8" style="14" customWidth="1"/>
    <col min="10000" max="10000" width="18.625" style="14" customWidth="1"/>
    <col min="10001" max="10242" width="9" style="14"/>
    <col min="10243" max="10243" width="1.375" style="14" customWidth="1"/>
    <col min="10244" max="10244" width="10.75" style="14" customWidth="1"/>
    <col min="10245" max="10245" width="17.75" style="14" bestFit="1" customWidth="1"/>
    <col min="10246" max="10246" width="11.625" style="14" bestFit="1" customWidth="1"/>
    <col min="10247" max="10247" width="7.625" style="14" customWidth="1"/>
    <col min="10248" max="10248" width="8" style="14" bestFit="1" customWidth="1"/>
    <col min="10249" max="10249" width="28.375" style="14" customWidth="1"/>
    <col min="10250" max="10250" width="8" style="14" bestFit="1" customWidth="1"/>
    <col min="10251" max="10251" width="9.125" style="14" bestFit="1" customWidth="1"/>
    <col min="10252" max="10252" width="8.125" style="14" customWidth="1"/>
    <col min="10253" max="10253" width="7.875" style="14" bestFit="1" customWidth="1"/>
    <col min="10254" max="10254" width="8.25" style="14" customWidth="1"/>
    <col min="10255" max="10255" width="8" style="14" customWidth="1"/>
    <col min="10256" max="10256" width="18.625" style="14" customWidth="1"/>
    <col min="10257" max="10498" width="9" style="14"/>
    <col min="10499" max="10499" width="1.375" style="14" customWidth="1"/>
    <col min="10500" max="10500" width="10.75" style="14" customWidth="1"/>
    <col min="10501" max="10501" width="17.75" style="14" bestFit="1" customWidth="1"/>
    <col min="10502" max="10502" width="11.625" style="14" bestFit="1" customWidth="1"/>
    <col min="10503" max="10503" width="7.625" style="14" customWidth="1"/>
    <col min="10504" max="10504" width="8" style="14" bestFit="1" customWidth="1"/>
    <col min="10505" max="10505" width="28.375" style="14" customWidth="1"/>
    <col min="10506" max="10506" width="8" style="14" bestFit="1" customWidth="1"/>
    <col min="10507" max="10507" width="9.125" style="14" bestFit="1" customWidth="1"/>
    <col min="10508" max="10508" width="8.125" style="14" customWidth="1"/>
    <col min="10509" max="10509" width="7.875" style="14" bestFit="1" customWidth="1"/>
    <col min="10510" max="10510" width="8.25" style="14" customWidth="1"/>
    <col min="10511" max="10511" width="8" style="14" customWidth="1"/>
    <col min="10512" max="10512" width="18.625" style="14" customWidth="1"/>
    <col min="10513" max="10754" width="9" style="14"/>
    <col min="10755" max="10755" width="1.375" style="14" customWidth="1"/>
    <col min="10756" max="10756" width="10.75" style="14" customWidth="1"/>
    <col min="10757" max="10757" width="17.75" style="14" bestFit="1" customWidth="1"/>
    <col min="10758" max="10758" width="11.625" style="14" bestFit="1" customWidth="1"/>
    <col min="10759" max="10759" width="7.625" style="14" customWidth="1"/>
    <col min="10760" max="10760" width="8" style="14" bestFit="1" customWidth="1"/>
    <col min="10761" max="10761" width="28.375" style="14" customWidth="1"/>
    <col min="10762" max="10762" width="8" style="14" bestFit="1" customWidth="1"/>
    <col min="10763" max="10763" width="9.125" style="14" bestFit="1" customWidth="1"/>
    <col min="10764" max="10764" width="8.125" style="14" customWidth="1"/>
    <col min="10765" max="10765" width="7.875" style="14" bestFit="1" customWidth="1"/>
    <col min="10766" max="10766" width="8.25" style="14" customWidth="1"/>
    <col min="10767" max="10767" width="8" style="14" customWidth="1"/>
    <col min="10768" max="10768" width="18.625" style="14" customWidth="1"/>
    <col min="10769" max="11010" width="9" style="14"/>
    <col min="11011" max="11011" width="1.375" style="14" customWidth="1"/>
    <col min="11012" max="11012" width="10.75" style="14" customWidth="1"/>
    <col min="11013" max="11013" width="17.75" style="14" bestFit="1" customWidth="1"/>
    <col min="11014" max="11014" width="11.625" style="14" bestFit="1" customWidth="1"/>
    <col min="11015" max="11015" width="7.625" style="14" customWidth="1"/>
    <col min="11016" max="11016" width="8" style="14" bestFit="1" customWidth="1"/>
    <col min="11017" max="11017" width="28.375" style="14" customWidth="1"/>
    <col min="11018" max="11018" width="8" style="14" bestFit="1" customWidth="1"/>
    <col min="11019" max="11019" width="9.125" style="14" bestFit="1" customWidth="1"/>
    <col min="11020" max="11020" width="8.125" style="14" customWidth="1"/>
    <col min="11021" max="11021" width="7.875" style="14" bestFit="1" customWidth="1"/>
    <col min="11022" max="11022" width="8.25" style="14" customWidth="1"/>
    <col min="11023" max="11023" width="8" style="14" customWidth="1"/>
    <col min="11024" max="11024" width="18.625" style="14" customWidth="1"/>
    <col min="11025" max="11266" width="9" style="14"/>
    <col min="11267" max="11267" width="1.375" style="14" customWidth="1"/>
    <col min="11268" max="11268" width="10.75" style="14" customWidth="1"/>
    <col min="11269" max="11269" width="17.75" style="14" bestFit="1" customWidth="1"/>
    <col min="11270" max="11270" width="11.625" style="14" bestFit="1" customWidth="1"/>
    <col min="11271" max="11271" width="7.625" style="14" customWidth="1"/>
    <col min="11272" max="11272" width="8" style="14" bestFit="1" customWidth="1"/>
    <col min="11273" max="11273" width="28.375" style="14" customWidth="1"/>
    <col min="11274" max="11274" width="8" style="14" bestFit="1" customWidth="1"/>
    <col min="11275" max="11275" width="9.125" style="14" bestFit="1" customWidth="1"/>
    <col min="11276" max="11276" width="8.125" style="14" customWidth="1"/>
    <col min="11277" max="11277" width="7.875" style="14" bestFit="1" customWidth="1"/>
    <col min="11278" max="11278" width="8.25" style="14" customWidth="1"/>
    <col min="11279" max="11279" width="8" style="14" customWidth="1"/>
    <col min="11280" max="11280" width="18.625" style="14" customWidth="1"/>
    <col min="11281" max="11522" width="9" style="14"/>
    <col min="11523" max="11523" width="1.375" style="14" customWidth="1"/>
    <col min="11524" max="11524" width="10.75" style="14" customWidth="1"/>
    <col min="11525" max="11525" width="17.75" style="14" bestFit="1" customWidth="1"/>
    <col min="11526" max="11526" width="11.625" style="14" bestFit="1" customWidth="1"/>
    <col min="11527" max="11527" width="7.625" style="14" customWidth="1"/>
    <col min="11528" max="11528" width="8" style="14" bestFit="1" customWidth="1"/>
    <col min="11529" max="11529" width="28.375" style="14" customWidth="1"/>
    <col min="11530" max="11530" width="8" style="14" bestFit="1" customWidth="1"/>
    <col min="11531" max="11531" width="9.125" style="14" bestFit="1" customWidth="1"/>
    <col min="11532" max="11532" width="8.125" style="14" customWidth="1"/>
    <col min="11533" max="11533" width="7.875" style="14" bestFit="1" customWidth="1"/>
    <col min="11534" max="11534" width="8.25" style="14" customWidth="1"/>
    <col min="11535" max="11535" width="8" style="14" customWidth="1"/>
    <col min="11536" max="11536" width="18.625" style="14" customWidth="1"/>
    <col min="11537" max="11778" width="9" style="14"/>
    <col min="11779" max="11779" width="1.375" style="14" customWidth="1"/>
    <col min="11780" max="11780" width="10.75" style="14" customWidth="1"/>
    <col min="11781" max="11781" width="17.75" style="14" bestFit="1" customWidth="1"/>
    <col min="11782" max="11782" width="11.625" style="14" bestFit="1" customWidth="1"/>
    <col min="11783" max="11783" width="7.625" style="14" customWidth="1"/>
    <col min="11784" max="11784" width="8" style="14" bestFit="1" customWidth="1"/>
    <col min="11785" max="11785" width="28.375" style="14" customWidth="1"/>
    <col min="11786" max="11786" width="8" style="14" bestFit="1" customWidth="1"/>
    <col min="11787" max="11787" width="9.125" style="14" bestFit="1" customWidth="1"/>
    <col min="11788" max="11788" width="8.125" style="14" customWidth="1"/>
    <col min="11789" max="11789" width="7.875" style="14" bestFit="1" customWidth="1"/>
    <col min="11790" max="11790" width="8.25" style="14" customWidth="1"/>
    <col min="11791" max="11791" width="8" style="14" customWidth="1"/>
    <col min="11792" max="11792" width="18.625" style="14" customWidth="1"/>
    <col min="11793" max="12034" width="9" style="14"/>
    <col min="12035" max="12035" width="1.375" style="14" customWidth="1"/>
    <col min="12036" max="12036" width="10.75" style="14" customWidth="1"/>
    <col min="12037" max="12037" width="17.75" style="14" bestFit="1" customWidth="1"/>
    <col min="12038" max="12038" width="11.625" style="14" bestFit="1" customWidth="1"/>
    <col min="12039" max="12039" width="7.625" style="14" customWidth="1"/>
    <col min="12040" max="12040" width="8" style="14" bestFit="1" customWidth="1"/>
    <col min="12041" max="12041" width="28.375" style="14" customWidth="1"/>
    <col min="12042" max="12042" width="8" style="14" bestFit="1" customWidth="1"/>
    <col min="12043" max="12043" width="9.125" style="14" bestFit="1" customWidth="1"/>
    <col min="12044" max="12044" width="8.125" style="14" customWidth="1"/>
    <col min="12045" max="12045" width="7.875" style="14" bestFit="1" customWidth="1"/>
    <col min="12046" max="12046" width="8.25" style="14" customWidth="1"/>
    <col min="12047" max="12047" width="8" style="14" customWidth="1"/>
    <col min="12048" max="12048" width="18.625" style="14" customWidth="1"/>
    <col min="12049" max="12290" width="9" style="14"/>
    <col min="12291" max="12291" width="1.375" style="14" customWidth="1"/>
    <col min="12292" max="12292" width="10.75" style="14" customWidth="1"/>
    <col min="12293" max="12293" width="17.75" style="14" bestFit="1" customWidth="1"/>
    <col min="12294" max="12294" width="11.625" style="14" bestFit="1" customWidth="1"/>
    <col min="12295" max="12295" width="7.625" style="14" customWidth="1"/>
    <col min="12296" max="12296" width="8" style="14" bestFit="1" customWidth="1"/>
    <col min="12297" max="12297" width="28.375" style="14" customWidth="1"/>
    <col min="12298" max="12298" width="8" style="14" bestFit="1" customWidth="1"/>
    <col min="12299" max="12299" width="9.125" style="14" bestFit="1" customWidth="1"/>
    <col min="12300" max="12300" width="8.125" style="14" customWidth="1"/>
    <col min="12301" max="12301" width="7.875" style="14" bestFit="1" customWidth="1"/>
    <col min="12302" max="12302" width="8.25" style="14" customWidth="1"/>
    <col min="12303" max="12303" width="8" style="14" customWidth="1"/>
    <col min="12304" max="12304" width="18.625" style="14" customWidth="1"/>
    <col min="12305" max="12546" width="9" style="14"/>
    <col min="12547" max="12547" width="1.375" style="14" customWidth="1"/>
    <col min="12548" max="12548" width="10.75" style="14" customWidth="1"/>
    <col min="12549" max="12549" width="17.75" style="14" bestFit="1" customWidth="1"/>
    <col min="12550" max="12550" width="11.625" style="14" bestFit="1" customWidth="1"/>
    <col min="12551" max="12551" width="7.625" style="14" customWidth="1"/>
    <col min="12552" max="12552" width="8" style="14" bestFit="1" customWidth="1"/>
    <col min="12553" max="12553" width="28.375" style="14" customWidth="1"/>
    <col min="12554" max="12554" width="8" style="14" bestFit="1" customWidth="1"/>
    <col min="12555" max="12555" width="9.125" style="14" bestFit="1" customWidth="1"/>
    <col min="12556" max="12556" width="8.125" style="14" customWidth="1"/>
    <col min="12557" max="12557" width="7.875" style="14" bestFit="1" customWidth="1"/>
    <col min="12558" max="12558" width="8.25" style="14" customWidth="1"/>
    <col min="12559" max="12559" width="8" style="14" customWidth="1"/>
    <col min="12560" max="12560" width="18.625" style="14" customWidth="1"/>
    <col min="12561" max="12802" width="9" style="14"/>
    <col min="12803" max="12803" width="1.375" style="14" customWidth="1"/>
    <col min="12804" max="12804" width="10.75" style="14" customWidth="1"/>
    <col min="12805" max="12805" width="17.75" style="14" bestFit="1" customWidth="1"/>
    <col min="12806" max="12806" width="11.625" style="14" bestFit="1" customWidth="1"/>
    <col min="12807" max="12807" width="7.625" style="14" customWidth="1"/>
    <col min="12808" max="12808" width="8" style="14" bestFit="1" customWidth="1"/>
    <col min="12809" max="12809" width="28.375" style="14" customWidth="1"/>
    <col min="12810" max="12810" width="8" style="14" bestFit="1" customWidth="1"/>
    <col min="12811" max="12811" width="9.125" style="14" bestFit="1" customWidth="1"/>
    <col min="12812" max="12812" width="8.125" style="14" customWidth="1"/>
    <col min="12813" max="12813" width="7.875" style="14" bestFit="1" customWidth="1"/>
    <col min="12814" max="12814" width="8.25" style="14" customWidth="1"/>
    <col min="12815" max="12815" width="8" style="14" customWidth="1"/>
    <col min="12816" max="12816" width="18.625" style="14" customWidth="1"/>
    <col min="12817" max="13058" width="9" style="14"/>
    <col min="13059" max="13059" width="1.375" style="14" customWidth="1"/>
    <col min="13060" max="13060" width="10.75" style="14" customWidth="1"/>
    <col min="13061" max="13061" width="17.75" style="14" bestFit="1" customWidth="1"/>
    <col min="13062" max="13062" width="11.625" style="14" bestFit="1" customWidth="1"/>
    <col min="13063" max="13063" width="7.625" style="14" customWidth="1"/>
    <col min="13064" max="13064" width="8" style="14" bestFit="1" customWidth="1"/>
    <col min="13065" max="13065" width="28.375" style="14" customWidth="1"/>
    <col min="13066" max="13066" width="8" style="14" bestFit="1" customWidth="1"/>
    <col min="13067" max="13067" width="9.125" style="14" bestFit="1" customWidth="1"/>
    <col min="13068" max="13068" width="8.125" style="14" customWidth="1"/>
    <col min="13069" max="13069" width="7.875" style="14" bestFit="1" customWidth="1"/>
    <col min="13070" max="13070" width="8.25" style="14" customWidth="1"/>
    <col min="13071" max="13071" width="8" style="14" customWidth="1"/>
    <col min="13072" max="13072" width="18.625" style="14" customWidth="1"/>
    <col min="13073" max="13314" width="9" style="14"/>
    <col min="13315" max="13315" width="1.375" style="14" customWidth="1"/>
    <col min="13316" max="13316" width="10.75" style="14" customWidth="1"/>
    <col min="13317" max="13317" width="17.75" style="14" bestFit="1" customWidth="1"/>
    <col min="13318" max="13318" width="11.625" style="14" bestFit="1" customWidth="1"/>
    <col min="13319" max="13319" width="7.625" style="14" customWidth="1"/>
    <col min="13320" max="13320" width="8" style="14" bestFit="1" customWidth="1"/>
    <col min="13321" max="13321" width="28.375" style="14" customWidth="1"/>
    <col min="13322" max="13322" width="8" style="14" bestFit="1" customWidth="1"/>
    <col min="13323" max="13323" width="9.125" style="14" bestFit="1" customWidth="1"/>
    <col min="13324" max="13324" width="8.125" style="14" customWidth="1"/>
    <col min="13325" max="13325" width="7.875" style="14" bestFit="1" customWidth="1"/>
    <col min="13326" max="13326" width="8.25" style="14" customWidth="1"/>
    <col min="13327" max="13327" width="8" style="14" customWidth="1"/>
    <col min="13328" max="13328" width="18.625" style="14" customWidth="1"/>
    <col min="13329" max="13570" width="9" style="14"/>
    <col min="13571" max="13571" width="1.375" style="14" customWidth="1"/>
    <col min="13572" max="13572" width="10.75" style="14" customWidth="1"/>
    <col min="13573" max="13573" width="17.75" style="14" bestFit="1" customWidth="1"/>
    <col min="13574" max="13574" width="11.625" style="14" bestFit="1" customWidth="1"/>
    <col min="13575" max="13575" width="7.625" style="14" customWidth="1"/>
    <col min="13576" max="13576" width="8" style="14" bestFit="1" customWidth="1"/>
    <col min="13577" max="13577" width="28.375" style="14" customWidth="1"/>
    <col min="13578" max="13578" width="8" style="14" bestFit="1" customWidth="1"/>
    <col min="13579" max="13579" width="9.125" style="14" bestFit="1" customWidth="1"/>
    <col min="13580" max="13580" width="8.125" style="14" customWidth="1"/>
    <col min="13581" max="13581" width="7.875" style="14" bestFit="1" customWidth="1"/>
    <col min="13582" max="13582" width="8.25" style="14" customWidth="1"/>
    <col min="13583" max="13583" width="8" style="14" customWidth="1"/>
    <col min="13584" max="13584" width="18.625" style="14" customWidth="1"/>
    <col min="13585" max="13826" width="9" style="14"/>
    <col min="13827" max="13827" width="1.375" style="14" customWidth="1"/>
    <col min="13828" max="13828" width="10.75" style="14" customWidth="1"/>
    <col min="13829" max="13829" width="17.75" style="14" bestFit="1" customWidth="1"/>
    <col min="13830" max="13830" width="11.625" style="14" bestFit="1" customWidth="1"/>
    <col min="13831" max="13831" width="7.625" style="14" customWidth="1"/>
    <col min="13832" max="13832" width="8" style="14" bestFit="1" customWidth="1"/>
    <col min="13833" max="13833" width="28.375" style="14" customWidth="1"/>
    <col min="13834" max="13834" width="8" style="14" bestFit="1" customWidth="1"/>
    <col min="13835" max="13835" width="9.125" style="14" bestFit="1" customWidth="1"/>
    <col min="13836" max="13836" width="8.125" style="14" customWidth="1"/>
    <col min="13837" max="13837" width="7.875" style="14" bestFit="1" customWidth="1"/>
    <col min="13838" max="13838" width="8.25" style="14" customWidth="1"/>
    <col min="13839" max="13839" width="8" style="14" customWidth="1"/>
    <col min="13840" max="13840" width="18.625" style="14" customWidth="1"/>
    <col min="13841" max="14082" width="9" style="14"/>
    <col min="14083" max="14083" width="1.375" style="14" customWidth="1"/>
    <col min="14084" max="14084" width="10.75" style="14" customWidth="1"/>
    <col min="14085" max="14085" width="17.75" style="14" bestFit="1" customWidth="1"/>
    <col min="14086" max="14086" width="11.625" style="14" bestFit="1" customWidth="1"/>
    <col min="14087" max="14087" width="7.625" style="14" customWidth="1"/>
    <col min="14088" max="14088" width="8" style="14" bestFit="1" customWidth="1"/>
    <col min="14089" max="14089" width="28.375" style="14" customWidth="1"/>
    <col min="14090" max="14090" width="8" style="14" bestFit="1" customWidth="1"/>
    <col min="14091" max="14091" width="9.125" style="14" bestFit="1" customWidth="1"/>
    <col min="14092" max="14092" width="8.125" style="14" customWidth="1"/>
    <col min="14093" max="14093" width="7.875" style="14" bestFit="1" customWidth="1"/>
    <col min="14094" max="14094" width="8.25" style="14" customWidth="1"/>
    <col min="14095" max="14095" width="8" style="14" customWidth="1"/>
    <col min="14096" max="14096" width="18.625" style="14" customWidth="1"/>
    <col min="14097" max="14338" width="9" style="14"/>
    <col min="14339" max="14339" width="1.375" style="14" customWidth="1"/>
    <col min="14340" max="14340" width="10.75" style="14" customWidth="1"/>
    <col min="14341" max="14341" width="17.75" style="14" bestFit="1" customWidth="1"/>
    <col min="14342" max="14342" width="11.625" style="14" bestFit="1" customWidth="1"/>
    <col min="14343" max="14343" width="7.625" style="14" customWidth="1"/>
    <col min="14344" max="14344" width="8" style="14" bestFit="1" customWidth="1"/>
    <col min="14345" max="14345" width="28.375" style="14" customWidth="1"/>
    <col min="14346" max="14346" width="8" style="14" bestFit="1" customWidth="1"/>
    <col min="14347" max="14347" width="9.125" style="14" bestFit="1" customWidth="1"/>
    <col min="14348" max="14348" width="8.125" style="14" customWidth="1"/>
    <col min="14349" max="14349" width="7.875" style="14" bestFit="1" customWidth="1"/>
    <col min="14350" max="14350" width="8.25" style="14" customWidth="1"/>
    <col min="14351" max="14351" width="8" style="14" customWidth="1"/>
    <col min="14352" max="14352" width="18.625" style="14" customWidth="1"/>
    <col min="14353" max="14594" width="9" style="14"/>
    <col min="14595" max="14595" width="1.375" style="14" customWidth="1"/>
    <col min="14596" max="14596" width="10.75" style="14" customWidth="1"/>
    <col min="14597" max="14597" width="17.75" style="14" bestFit="1" customWidth="1"/>
    <col min="14598" max="14598" width="11.625" style="14" bestFit="1" customWidth="1"/>
    <col min="14599" max="14599" width="7.625" style="14" customWidth="1"/>
    <col min="14600" max="14600" width="8" style="14" bestFit="1" customWidth="1"/>
    <col min="14601" max="14601" width="28.375" style="14" customWidth="1"/>
    <col min="14602" max="14602" width="8" style="14" bestFit="1" customWidth="1"/>
    <col min="14603" max="14603" width="9.125" style="14" bestFit="1" customWidth="1"/>
    <col min="14604" max="14604" width="8.125" style="14" customWidth="1"/>
    <col min="14605" max="14605" width="7.875" style="14" bestFit="1" customWidth="1"/>
    <col min="14606" max="14606" width="8.25" style="14" customWidth="1"/>
    <col min="14607" max="14607" width="8" style="14" customWidth="1"/>
    <col min="14608" max="14608" width="18.625" style="14" customWidth="1"/>
    <col min="14609" max="14850" width="9" style="14"/>
    <col min="14851" max="14851" width="1.375" style="14" customWidth="1"/>
    <col min="14852" max="14852" width="10.75" style="14" customWidth="1"/>
    <col min="14853" max="14853" width="17.75" style="14" bestFit="1" customWidth="1"/>
    <col min="14854" max="14854" width="11.625" style="14" bestFit="1" customWidth="1"/>
    <col min="14855" max="14855" width="7.625" style="14" customWidth="1"/>
    <col min="14856" max="14856" width="8" style="14" bestFit="1" customWidth="1"/>
    <col min="14857" max="14857" width="28.375" style="14" customWidth="1"/>
    <col min="14858" max="14858" width="8" style="14" bestFit="1" customWidth="1"/>
    <col min="14859" max="14859" width="9.125" style="14" bestFit="1" customWidth="1"/>
    <col min="14860" max="14860" width="8.125" style="14" customWidth="1"/>
    <col min="14861" max="14861" width="7.875" style="14" bestFit="1" customWidth="1"/>
    <col min="14862" max="14862" width="8.25" style="14" customWidth="1"/>
    <col min="14863" max="14863" width="8" style="14" customWidth="1"/>
    <col min="14864" max="14864" width="18.625" style="14" customWidth="1"/>
    <col min="14865" max="15106" width="9" style="14"/>
    <col min="15107" max="15107" width="1.375" style="14" customWidth="1"/>
    <col min="15108" max="15108" width="10.75" style="14" customWidth="1"/>
    <col min="15109" max="15109" width="17.75" style="14" bestFit="1" customWidth="1"/>
    <col min="15110" max="15110" width="11.625" style="14" bestFit="1" customWidth="1"/>
    <col min="15111" max="15111" width="7.625" style="14" customWidth="1"/>
    <col min="15112" max="15112" width="8" style="14" bestFit="1" customWidth="1"/>
    <col min="15113" max="15113" width="28.375" style="14" customWidth="1"/>
    <col min="15114" max="15114" width="8" style="14" bestFit="1" customWidth="1"/>
    <col min="15115" max="15115" width="9.125" style="14" bestFit="1" customWidth="1"/>
    <col min="15116" max="15116" width="8.125" style="14" customWidth="1"/>
    <col min="15117" max="15117" width="7.875" style="14" bestFit="1" customWidth="1"/>
    <col min="15118" max="15118" width="8.25" style="14" customWidth="1"/>
    <col min="15119" max="15119" width="8" style="14" customWidth="1"/>
    <col min="15120" max="15120" width="18.625" style="14" customWidth="1"/>
    <col min="15121" max="15362" width="9" style="14"/>
    <col min="15363" max="15363" width="1.375" style="14" customWidth="1"/>
    <col min="15364" max="15364" width="10.75" style="14" customWidth="1"/>
    <col min="15365" max="15365" width="17.75" style="14" bestFit="1" customWidth="1"/>
    <col min="15366" max="15366" width="11.625" style="14" bestFit="1" customWidth="1"/>
    <col min="15367" max="15367" width="7.625" style="14" customWidth="1"/>
    <col min="15368" max="15368" width="8" style="14" bestFit="1" customWidth="1"/>
    <col min="15369" max="15369" width="28.375" style="14" customWidth="1"/>
    <col min="15370" max="15370" width="8" style="14" bestFit="1" customWidth="1"/>
    <col min="15371" max="15371" width="9.125" style="14" bestFit="1" customWidth="1"/>
    <col min="15372" max="15372" width="8.125" style="14" customWidth="1"/>
    <col min="15373" max="15373" width="7.875" style="14" bestFit="1" customWidth="1"/>
    <col min="15374" max="15374" width="8.25" style="14" customWidth="1"/>
    <col min="15375" max="15375" width="8" style="14" customWidth="1"/>
    <col min="15376" max="15376" width="18.625" style="14" customWidth="1"/>
    <col min="15377" max="15618" width="9" style="14"/>
    <col min="15619" max="15619" width="1.375" style="14" customWidth="1"/>
    <col min="15620" max="15620" width="10.75" style="14" customWidth="1"/>
    <col min="15621" max="15621" width="17.75" style="14" bestFit="1" customWidth="1"/>
    <col min="15622" max="15622" width="11.625" style="14" bestFit="1" customWidth="1"/>
    <col min="15623" max="15623" width="7.625" style="14" customWidth="1"/>
    <col min="15624" max="15624" width="8" style="14" bestFit="1" customWidth="1"/>
    <col min="15625" max="15625" width="28.375" style="14" customWidth="1"/>
    <col min="15626" max="15626" width="8" style="14" bestFit="1" customWidth="1"/>
    <col min="15627" max="15627" width="9.125" style="14" bestFit="1" customWidth="1"/>
    <col min="15628" max="15628" width="8.125" style="14" customWidth="1"/>
    <col min="15629" max="15629" width="7.875" style="14" bestFit="1" customWidth="1"/>
    <col min="15630" max="15630" width="8.25" style="14" customWidth="1"/>
    <col min="15631" max="15631" width="8" style="14" customWidth="1"/>
    <col min="15632" max="15632" width="18.625" style="14" customWidth="1"/>
    <col min="15633" max="15874" width="9" style="14"/>
    <col min="15875" max="15875" width="1.375" style="14" customWidth="1"/>
    <col min="15876" max="15876" width="10.75" style="14" customWidth="1"/>
    <col min="15877" max="15877" width="17.75" style="14" bestFit="1" customWidth="1"/>
    <col min="15878" max="15878" width="11.625" style="14" bestFit="1" customWidth="1"/>
    <col min="15879" max="15879" width="7.625" style="14" customWidth="1"/>
    <col min="15880" max="15880" width="8" style="14" bestFit="1" customWidth="1"/>
    <col min="15881" max="15881" width="28.375" style="14" customWidth="1"/>
    <col min="15882" max="15882" width="8" style="14" bestFit="1" customWidth="1"/>
    <col min="15883" max="15883" width="9.125" style="14" bestFit="1" customWidth="1"/>
    <col min="15884" max="15884" width="8.125" style="14" customWidth="1"/>
    <col min="15885" max="15885" width="7.875" style="14" bestFit="1" customWidth="1"/>
    <col min="15886" max="15886" width="8.25" style="14" customWidth="1"/>
    <col min="15887" max="15887" width="8" style="14" customWidth="1"/>
    <col min="15888" max="15888" width="18.625" style="14" customWidth="1"/>
    <col min="15889" max="16130" width="9" style="14"/>
    <col min="16131" max="16131" width="1.375" style="14" customWidth="1"/>
    <col min="16132" max="16132" width="10.75" style="14" customWidth="1"/>
    <col min="16133" max="16133" width="17.75" style="14" bestFit="1" customWidth="1"/>
    <col min="16134" max="16134" width="11.625" style="14" bestFit="1" customWidth="1"/>
    <col min="16135" max="16135" width="7.625" style="14" customWidth="1"/>
    <col min="16136" max="16136" width="8" style="14" bestFit="1" customWidth="1"/>
    <col min="16137" max="16137" width="28.375" style="14" customWidth="1"/>
    <col min="16138" max="16138" width="8" style="14" bestFit="1" customWidth="1"/>
    <col min="16139" max="16139" width="9.125" style="14" bestFit="1" customWidth="1"/>
    <col min="16140" max="16140" width="8.125" style="14" customWidth="1"/>
    <col min="16141" max="16141" width="7.875" style="14" bestFit="1" customWidth="1"/>
    <col min="16142" max="16142" width="8.25" style="14" customWidth="1"/>
    <col min="16143" max="16143" width="8" style="14" customWidth="1"/>
    <col min="16144" max="16144" width="18.625" style="14" customWidth="1"/>
    <col min="16145" max="16384" width="9" style="14"/>
  </cols>
  <sheetData>
    <row r="1" spans="1:13" ht="13.5" x14ac:dyDescent="0.3">
      <c r="A1" s="25" t="s">
        <v>41</v>
      </c>
      <c r="B1" s="25"/>
      <c r="C1" s="25" t="s">
        <v>81</v>
      </c>
      <c r="D1" s="27"/>
      <c r="E1" s="27"/>
      <c r="F1" s="27"/>
      <c r="G1" s="27"/>
      <c r="H1" s="27"/>
      <c r="I1" s="27"/>
      <c r="J1" s="27"/>
      <c r="K1" s="27"/>
      <c r="L1" s="27"/>
      <c r="M1" s="27"/>
    </row>
    <row r="2" spans="1:13" ht="13.5" x14ac:dyDescent="0.3">
      <c r="A2" s="25" t="s">
        <v>241</v>
      </c>
      <c r="B2" s="25"/>
      <c r="C2" s="27" t="s">
        <v>82</v>
      </c>
      <c r="D2" s="27"/>
      <c r="E2" s="27"/>
      <c r="F2" s="27"/>
      <c r="G2" s="27"/>
      <c r="H2" s="27"/>
      <c r="I2" s="27"/>
      <c r="J2" s="27"/>
      <c r="K2" s="27"/>
      <c r="L2" s="27"/>
      <c r="M2" s="27"/>
    </row>
    <row r="3" spans="1:13" ht="13.5" x14ac:dyDescent="0.3">
      <c r="A3" s="25" t="s">
        <v>242</v>
      </c>
      <c r="B3" s="25"/>
      <c r="C3" s="27" t="s">
        <v>243</v>
      </c>
      <c r="D3" s="27"/>
      <c r="E3" s="27"/>
      <c r="F3" s="27"/>
      <c r="G3" s="27"/>
      <c r="H3" s="27"/>
      <c r="I3" s="27"/>
      <c r="J3" s="27"/>
      <c r="K3" s="27"/>
      <c r="L3" s="27"/>
      <c r="M3" s="27"/>
    </row>
    <row r="4" spans="1:13" ht="13.5" x14ac:dyDescent="0.3">
      <c r="A4" s="1"/>
      <c r="B4" s="33"/>
      <c r="C4" s="34"/>
      <c r="D4" s="35"/>
      <c r="E4" s="37"/>
      <c r="F4" s="1"/>
      <c r="G4" s="38"/>
      <c r="H4" s="38"/>
      <c r="I4" s="1"/>
      <c r="J4" s="35"/>
      <c r="K4" s="36"/>
      <c r="L4" s="36"/>
      <c r="M4" s="1"/>
    </row>
    <row r="5" spans="1:13" ht="20.100000000000001" customHeight="1" x14ac:dyDescent="0.3">
      <c r="A5" s="16"/>
      <c r="B5" s="60" t="s">
        <v>83</v>
      </c>
      <c r="C5" s="61" t="s">
        <v>84</v>
      </c>
      <c r="D5" s="61" t="s">
        <v>2</v>
      </c>
      <c r="E5" s="62" t="s">
        <v>88</v>
      </c>
      <c r="F5" s="63" t="s">
        <v>89</v>
      </c>
      <c r="G5" s="61" t="s">
        <v>90</v>
      </c>
      <c r="H5" s="61" t="s">
        <v>240</v>
      </c>
      <c r="I5" s="61" t="s">
        <v>385</v>
      </c>
      <c r="J5" s="60" t="s">
        <v>85</v>
      </c>
      <c r="K5" s="62" t="s">
        <v>86</v>
      </c>
      <c r="L5" s="62" t="s">
        <v>87</v>
      </c>
      <c r="M5" s="61" t="s">
        <v>50</v>
      </c>
    </row>
    <row r="6" spans="1:13" ht="13.5" x14ac:dyDescent="0.3">
      <c r="A6" s="16"/>
      <c r="B6" s="48">
        <v>1</v>
      </c>
      <c r="C6" s="44" t="s">
        <v>91</v>
      </c>
      <c r="D6" s="45" t="s">
        <v>293</v>
      </c>
      <c r="E6" s="44" t="s">
        <v>95</v>
      </c>
      <c r="F6" s="44" t="s">
        <v>96</v>
      </c>
      <c r="G6" s="44" t="s">
        <v>97</v>
      </c>
      <c r="H6" s="47" t="s">
        <v>318</v>
      </c>
      <c r="I6" s="47" t="s">
        <v>346</v>
      </c>
      <c r="J6" s="45" t="s">
        <v>92</v>
      </c>
      <c r="K6" s="44" t="s">
        <v>93</v>
      </c>
      <c r="L6" s="45" t="s">
        <v>94</v>
      </c>
      <c r="M6" s="44"/>
    </row>
    <row r="7" spans="1:13" ht="13.5" x14ac:dyDescent="0.3">
      <c r="A7" s="16"/>
      <c r="B7" s="48">
        <v>2</v>
      </c>
      <c r="C7" s="44" t="s">
        <v>98</v>
      </c>
      <c r="D7" s="45" t="s">
        <v>294</v>
      </c>
      <c r="E7" s="44" t="s">
        <v>102</v>
      </c>
      <c r="F7" s="44" t="s">
        <v>103</v>
      </c>
      <c r="G7" s="44" t="s">
        <v>104</v>
      </c>
      <c r="H7" s="47" t="s">
        <v>319</v>
      </c>
      <c r="I7" s="47" t="s">
        <v>347</v>
      </c>
      <c r="J7" s="45" t="s">
        <v>99</v>
      </c>
      <c r="K7" s="44" t="s">
        <v>100</v>
      </c>
      <c r="L7" s="45" t="s">
        <v>101</v>
      </c>
      <c r="M7" s="44"/>
    </row>
    <row r="8" spans="1:13" ht="13.5" x14ac:dyDescent="0.3">
      <c r="A8" s="16"/>
      <c r="B8" s="48">
        <v>3</v>
      </c>
      <c r="C8" s="44" t="s">
        <v>105</v>
      </c>
      <c r="D8" s="45" t="s">
        <v>295</v>
      </c>
      <c r="E8" s="44" t="s">
        <v>108</v>
      </c>
      <c r="F8" s="44" t="s">
        <v>109</v>
      </c>
      <c r="G8" s="44" t="s">
        <v>110</v>
      </c>
      <c r="H8" s="47" t="s">
        <v>320</v>
      </c>
      <c r="I8" s="47" t="s">
        <v>348</v>
      </c>
      <c r="J8" s="45" t="s">
        <v>106</v>
      </c>
      <c r="K8" s="44" t="s">
        <v>107</v>
      </c>
      <c r="L8" s="45" t="s">
        <v>101</v>
      </c>
      <c r="M8" s="44"/>
    </row>
    <row r="9" spans="1:13" ht="13.5" x14ac:dyDescent="0.3">
      <c r="A9" s="16"/>
      <c r="B9" s="48">
        <v>4</v>
      </c>
      <c r="C9" s="44" t="s">
        <v>111</v>
      </c>
      <c r="D9" s="45" t="s">
        <v>296</v>
      </c>
      <c r="E9" s="44" t="s">
        <v>115</v>
      </c>
      <c r="F9" s="44" t="s">
        <v>116</v>
      </c>
      <c r="G9" s="44" t="s">
        <v>117</v>
      </c>
      <c r="H9" s="47" t="s">
        <v>321</v>
      </c>
      <c r="I9" s="47" t="s">
        <v>349</v>
      </c>
      <c r="J9" s="45" t="s">
        <v>112</v>
      </c>
      <c r="K9" s="44" t="s">
        <v>113</v>
      </c>
      <c r="L9" s="45" t="s">
        <v>114</v>
      </c>
      <c r="M9" s="44"/>
    </row>
    <row r="10" spans="1:13" ht="13.5" x14ac:dyDescent="0.3">
      <c r="A10" s="16"/>
      <c r="B10" s="48">
        <v>5</v>
      </c>
      <c r="C10" s="44" t="s">
        <v>118</v>
      </c>
      <c r="D10" s="45" t="s">
        <v>297</v>
      </c>
      <c r="E10" s="44" t="s">
        <v>122</v>
      </c>
      <c r="F10" s="44" t="s">
        <v>123</v>
      </c>
      <c r="G10" s="44" t="s">
        <v>124</v>
      </c>
      <c r="H10" s="47" t="s">
        <v>345</v>
      </c>
      <c r="I10" s="47" t="s">
        <v>350</v>
      </c>
      <c r="J10" s="45" t="s">
        <v>119</v>
      </c>
      <c r="K10" s="44" t="s">
        <v>120</v>
      </c>
      <c r="L10" s="45" t="s">
        <v>121</v>
      </c>
      <c r="M10" s="44"/>
    </row>
    <row r="11" spans="1:13" ht="13.5" x14ac:dyDescent="0.3">
      <c r="A11" s="16"/>
      <c r="B11" s="48">
        <v>6</v>
      </c>
      <c r="C11" s="44" t="s">
        <v>339</v>
      </c>
      <c r="D11" s="45" t="s">
        <v>298</v>
      </c>
      <c r="E11" s="44" t="s">
        <v>102</v>
      </c>
      <c r="F11" s="44" t="s">
        <v>128</v>
      </c>
      <c r="G11" s="44" t="s">
        <v>337</v>
      </c>
      <c r="H11" s="47" t="s">
        <v>322</v>
      </c>
      <c r="I11" s="47" t="s">
        <v>351</v>
      </c>
      <c r="J11" s="45" t="s">
        <v>125</v>
      </c>
      <c r="K11" s="44" t="s">
        <v>126</v>
      </c>
      <c r="L11" s="45" t="s">
        <v>127</v>
      </c>
      <c r="M11" s="44"/>
    </row>
    <row r="12" spans="1:13" ht="13.5" x14ac:dyDescent="0.3">
      <c r="A12" s="16"/>
      <c r="B12" s="48">
        <v>7</v>
      </c>
      <c r="C12" s="44" t="s">
        <v>129</v>
      </c>
      <c r="D12" s="45" t="s">
        <v>299</v>
      </c>
      <c r="E12" s="44" t="s">
        <v>132</v>
      </c>
      <c r="F12" s="44" t="s">
        <v>133</v>
      </c>
      <c r="G12" s="44" t="s">
        <v>134</v>
      </c>
      <c r="H12" s="47" t="s">
        <v>323</v>
      </c>
      <c r="I12" s="47" t="s">
        <v>352</v>
      </c>
      <c r="J12" s="45" t="s">
        <v>130</v>
      </c>
      <c r="K12" s="44" t="s">
        <v>131</v>
      </c>
      <c r="L12" s="45" t="s">
        <v>101</v>
      </c>
      <c r="M12" s="44"/>
    </row>
    <row r="13" spans="1:13" ht="13.5" x14ac:dyDescent="0.3">
      <c r="A13" s="16"/>
      <c r="B13" s="48">
        <v>8</v>
      </c>
      <c r="C13" s="44" t="s">
        <v>135</v>
      </c>
      <c r="D13" s="45" t="s">
        <v>300</v>
      </c>
      <c r="E13" s="44" t="s">
        <v>102</v>
      </c>
      <c r="F13" s="44" t="s">
        <v>139</v>
      </c>
      <c r="G13" s="44" t="s">
        <v>140</v>
      </c>
      <c r="H13" s="47" t="s">
        <v>324</v>
      </c>
      <c r="I13" s="47" t="s">
        <v>353</v>
      </c>
      <c r="J13" s="45" t="s">
        <v>136</v>
      </c>
      <c r="K13" s="44" t="s">
        <v>137</v>
      </c>
      <c r="L13" s="45" t="s">
        <v>138</v>
      </c>
      <c r="M13" s="44"/>
    </row>
    <row r="14" spans="1:13" ht="13.5" x14ac:dyDescent="0.3">
      <c r="A14" s="16"/>
      <c r="B14" s="48">
        <v>9</v>
      </c>
      <c r="C14" s="44" t="s">
        <v>141</v>
      </c>
      <c r="D14" s="45" t="s">
        <v>301</v>
      </c>
      <c r="E14" s="44" t="s">
        <v>144</v>
      </c>
      <c r="F14" s="44" t="s">
        <v>145</v>
      </c>
      <c r="G14" s="44" t="s">
        <v>146</v>
      </c>
      <c r="H14" s="47" t="s">
        <v>325</v>
      </c>
      <c r="I14" s="47" t="s">
        <v>354</v>
      </c>
      <c r="J14" s="45" t="s">
        <v>254</v>
      </c>
      <c r="K14" s="44" t="s">
        <v>142</v>
      </c>
      <c r="L14" s="45" t="s">
        <v>143</v>
      </c>
      <c r="M14" s="44"/>
    </row>
    <row r="15" spans="1:13" ht="13.5" x14ac:dyDescent="0.3">
      <c r="A15" s="16"/>
      <c r="B15" s="48">
        <v>10</v>
      </c>
      <c r="C15" s="44" t="s">
        <v>147</v>
      </c>
      <c r="D15" s="45" t="s">
        <v>302</v>
      </c>
      <c r="E15" s="44" t="s">
        <v>150</v>
      </c>
      <c r="F15" s="44" t="s">
        <v>151</v>
      </c>
      <c r="G15" s="44" t="s">
        <v>152</v>
      </c>
      <c r="H15" s="47" t="s">
        <v>326</v>
      </c>
      <c r="I15" s="47" t="s">
        <v>355</v>
      </c>
      <c r="J15" s="45" t="s">
        <v>148</v>
      </c>
      <c r="K15" s="44" t="s">
        <v>149</v>
      </c>
      <c r="L15" s="45" t="s">
        <v>101</v>
      </c>
      <c r="M15" s="44"/>
    </row>
    <row r="16" spans="1:13" ht="13.5" x14ac:dyDescent="0.3">
      <c r="A16" s="16"/>
      <c r="B16" s="48">
        <v>11</v>
      </c>
      <c r="C16" s="44" t="s">
        <v>153</v>
      </c>
      <c r="D16" s="45" t="s">
        <v>303</v>
      </c>
      <c r="E16" s="44" t="s">
        <v>157</v>
      </c>
      <c r="F16" s="44" t="s">
        <v>158</v>
      </c>
      <c r="G16" s="44" t="s">
        <v>159</v>
      </c>
      <c r="H16" s="47" t="s">
        <v>342</v>
      </c>
      <c r="I16" s="47" t="s">
        <v>356</v>
      </c>
      <c r="J16" s="45" t="s">
        <v>154</v>
      </c>
      <c r="K16" s="44" t="s">
        <v>155</v>
      </c>
      <c r="L16" s="45" t="s">
        <v>156</v>
      </c>
      <c r="M16" s="44"/>
    </row>
    <row r="17" spans="1:13" ht="13.5" x14ac:dyDescent="0.3">
      <c r="A17" s="16"/>
      <c r="B17" s="48">
        <v>12</v>
      </c>
      <c r="C17" s="44" t="s">
        <v>160</v>
      </c>
      <c r="D17" s="45" t="s">
        <v>304</v>
      </c>
      <c r="E17" s="44" t="s">
        <v>102</v>
      </c>
      <c r="F17" s="44" t="s">
        <v>164</v>
      </c>
      <c r="G17" s="44" t="s">
        <v>165</v>
      </c>
      <c r="H17" s="47" t="s">
        <v>327</v>
      </c>
      <c r="I17" s="47" t="s">
        <v>357</v>
      </c>
      <c r="J17" s="45" t="s">
        <v>161</v>
      </c>
      <c r="K17" s="44" t="s">
        <v>162</v>
      </c>
      <c r="L17" s="45" t="s">
        <v>163</v>
      </c>
      <c r="M17" s="44"/>
    </row>
    <row r="18" spans="1:13" ht="13.5" x14ac:dyDescent="0.3">
      <c r="A18" s="16"/>
      <c r="B18" s="48">
        <v>13</v>
      </c>
      <c r="C18" s="44" t="s">
        <v>166</v>
      </c>
      <c r="D18" s="45" t="s">
        <v>305</v>
      </c>
      <c r="E18" s="44" t="s">
        <v>102</v>
      </c>
      <c r="F18" s="44" t="s">
        <v>170</v>
      </c>
      <c r="G18" s="44" t="s">
        <v>171</v>
      </c>
      <c r="H18" s="47" t="s">
        <v>328</v>
      </c>
      <c r="I18" s="47" t="s">
        <v>358</v>
      </c>
      <c r="J18" s="45" t="s">
        <v>167</v>
      </c>
      <c r="K18" s="44" t="s">
        <v>168</v>
      </c>
      <c r="L18" s="45" t="s">
        <v>169</v>
      </c>
      <c r="M18" s="44"/>
    </row>
    <row r="19" spans="1:13" ht="13.5" x14ac:dyDescent="0.3">
      <c r="A19" s="16"/>
      <c r="B19" s="48">
        <v>14</v>
      </c>
      <c r="C19" s="44" t="s">
        <v>172</v>
      </c>
      <c r="D19" s="46" t="s">
        <v>306</v>
      </c>
      <c r="E19" s="44" t="s">
        <v>122</v>
      </c>
      <c r="F19" s="44" t="s">
        <v>176</v>
      </c>
      <c r="G19" s="44" t="s">
        <v>177</v>
      </c>
      <c r="H19" s="47" t="s">
        <v>329</v>
      </c>
      <c r="I19" s="47" t="s">
        <v>359</v>
      </c>
      <c r="J19" s="46" t="s">
        <v>173</v>
      </c>
      <c r="K19" s="44" t="s">
        <v>174</v>
      </c>
      <c r="L19" s="45" t="s">
        <v>175</v>
      </c>
      <c r="M19" s="44"/>
    </row>
    <row r="20" spans="1:13" ht="13.5" x14ac:dyDescent="0.3">
      <c r="A20" s="16"/>
      <c r="B20" s="48">
        <v>15</v>
      </c>
      <c r="C20" s="44" t="s">
        <v>178</v>
      </c>
      <c r="D20" s="46" t="s">
        <v>307</v>
      </c>
      <c r="E20" s="44" t="s">
        <v>182</v>
      </c>
      <c r="F20" s="44" t="s">
        <v>183</v>
      </c>
      <c r="G20" s="44" t="s">
        <v>184</v>
      </c>
      <c r="H20" s="47" t="s">
        <v>330</v>
      </c>
      <c r="I20" s="47" t="s">
        <v>360</v>
      </c>
      <c r="J20" s="46" t="s">
        <v>179</v>
      </c>
      <c r="K20" s="44" t="s">
        <v>180</v>
      </c>
      <c r="L20" s="45" t="s">
        <v>181</v>
      </c>
      <c r="M20" s="44"/>
    </row>
    <row r="21" spans="1:13" ht="13.5" x14ac:dyDescent="0.3">
      <c r="A21" s="16"/>
      <c r="B21" s="48">
        <v>16</v>
      </c>
      <c r="C21" s="44" t="s">
        <v>185</v>
      </c>
      <c r="D21" s="46" t="s">
        <v>308</v>
      </c>
      <c r="E21" s="44" t="s">
        <v>188</v>
      </c>
      <c r="F21" s="44" t="s">
        <v>189</v>
      </c>
      <c r="G21" s="44" t="s">
        <v>190</v>
      </c>
      <c r="H21" s="47" t="s">
        <v>331</v>
      </c>
      <c r="I21" s="47" t="s">
        <v>361</v>
      </c>
      <c r="J21" s="46" t="s">
        <v>253</v>
      </c>
      <c r="K21" s="44" t="s">
        <v>186</v>
      </c>
      <c r="L21" s="45" t="s">
        <v>187</v>
      </c>
      <c r="M21" s="44"/>
    </row>
    <row r="22" spans="1:13" ht="13.5" x14ac:dyDescent="0.3">
      <c r="A22" s="16"/>
      <c r="B22" s="48">
        <v>17</v>
      </c>
      <c r="C22" s="44" t="s">
        <v>191</v>
      </c>
      <c r="D22" s="46" t="s">
        <v>309</v>
      </c>
      <c r="E22" s="44" t="s">
        <v>195</v>
      </c>
      <c r="F22" s="44" t="s">
        <v>151</v>
      </c>
      <c r="G22" s="44" t="s">
        <v>196</v>
      </c>
      <c r="H22" s="47" t="s">
        <v>343</v>
      </c>
      <c r="I22" s="47" t="s">
        <v>362</v>
      </c>
      <c r="J22" s="46" t="s">
        <v>192</v>
      </c>
      <c r="K22" s="44" t="s">
        <v>193</v>
      </c>
      <c r="L22" s="45" t="s">
        <v>194</v>
      </c>
      <c r="M22" s="44"/>
    </row>
    <row r="23" spans="1:13" ht="13.5" x14ac:dyDescent="0.3">
      <c r="A23" s="16"/>
      <c r="B23" s="48">
        <v>18</v>
      </c>
      <c r="C23" s="44" t="s">
        <v>197</v>
      </c>
      <c r="D23" s="46" t="s">
        <v>310</v>
      </c>
      <c r="E23" s="44" t="s">
        <v>201</v>
      </c>
      <c r="F23" s="44" t="s">
        <v>202</v>
      </c>
      <c r="G23" s="44" t="s">
        <v>203</v>
      </c>
      <c r="H23" s="47" t="s">
        <v>332</v>
      </c>
      <c r="I23" s="47" t="s">
        <v>363</v>
      </c>
      <c r="J23" s="46" t="s">
        <v>198</v>
      </c>
      <c r="K23" s="44" t="s">
        <v>199</v>
      </c>
      <c r="L23" s="45" t="s">
        <v>200</v>
      </c>
      <c r="M23" s="44"/>
    </row>
    <row r="24" spans="1:13" ht="13.5" x14ac:dyDescent="0.3">
      <c r="A24" s="16"/>
      <c r="B24" s="48">
        <v>19</v>
      </c>
      <c r="C24" s="44" t="s">
        <v>204</v>
      </c>
      <c r="D24" s="46" t="s">
        <v>311</v>
      </c>
      <c r="E24" s="44" t="s">
        <v>207</v>
      </c>
      <c r="F24" s="44" t="s">
        <v>208</v>
      </c>
      <c r="G24" s="44" t="s">
        <v>209</v>
      </c>
      <c r="H24" s="47" t="s">
        <v>333</v>
      </c>
      <c r="I24" s="47" t="s">
        <v>364</v>
      </c>
      <c r="J24" s="46" t="s">
        <v>205</v>
      </c>
      <c r="K24" s="44" t="s">
        <v>206</v>
      </c>
      <c r="L24" s="45" t="s">
        <v>143</v>
      </c>
      <c r="M24" s="44"/>
    </row>
    <row r="25" spans="1:13" ht="13.5" x14ac:dyDescent="0.3">
      <c r="A25" s="16"/>
      <c r="B25" s="48">
        <v>20</v>
      </c>
      <c r="C25" s="44" t="s">
        <v>210</v>
      </c>
      <c r="D25" s="46" t="s">
        <v>312</v>
      </c>
      <c r="E25" s="44" t="s">
        <v>214</v>
      </c>
      <c r="F25" s="44" t="s">
        <v>215</v>
      </c>
      <c r="G25" s="44" t="s">
        <v>216</v>
      </c>
      <c r="H25" s="47" t="s">
        <v>334</v>
      </c>
      <c r="I25" s="47" t="s">
        <v>365</v>
      </c>
      <c r="J25" s="46" t="s">
        <v>211</v>
      </c>
      <c r="K25" s="44" t="s">
        <v>212</v>
      </c>
      <c r="L25" s="45" t="s">
        <v>213</v>
      </c>
      <c r="M25" s="44"/>
    </row>
    <row r="26" spans="1:13" ht="13.5" x14ac:dyDescent="0.3">
      <c r="A26" s="16"/>
      <c r="B26" s="48">
        <v>21</v>
      </c>
      <c r="C26" s="44" t="s">
        <v>217</v>
      </c>
      <c r="D26" s="46" t="s">
        <v>313</v>
      </c>
      <c r="E26" s="44" t="s">
        <v>122</v>
      </c>
      <c r="F26" s="44" t="s">
        <v>221</v>
      </c>
      <c r="G26" s="44" t="s">
        <v>338</v>
      </c>
      <c r="H26" s="47" t="s">
        <v>335</v>
      </c>
      <c r="I26" s="47" t="s">
        <v>366</v>
      </c>
      <c r="J26" s="46" t="s">
        <v>218</v>
      </c>
      <c r="K26" s="44" t="s">
        <v>219</v>
      </c>
      <c r="L26" s="45" t="s">
        <v>220</v>
      </c>
      <c r="M26" s="44"/>
    </row>
    <row r="27" spans="1:13" ht="13.5" x14ac:dyDescent="0.3">
      <c r="A27" s="16"/>
      <c r="B27" s="48">
        <v>22</v>
      </c>
      <c r="C27" s="44" t="s">
        <v>222</v>
      </c>
      <c r="D27" s="46" t="s">
        <v>314</v>
      </c>
      <c r="E27" s="44" t="s">
        <v>122</v>
      </c>
      <c r="F27" s="44" t="s">
        <v>226</v>
      </c>
      <c r="G27" s="44" t="s">
        <v>227</v>
      </c>
      <c r="H27" s="47" t="s">
        <v>336</v>
      </c>
      <c r="I27" s="47" t="s">
        <v>367</v>
      </c>
      <c r="J27" s="46" t="s">
        <v>223</v>
      </c>
      <c r="K27" s="44" t="s">
        <v>224</v>
      </c>
      <c r="L27" s="45" t="s">
        <v>225</v>
      </c>
      <c r="M27" s="44"/>
    </row>
    <row r="28" spans="1:13" ht="13.5" x14ac:dyDescent="0.3">
      <c r="A28" s="16"/>
      <c r="B28" s="48">
        <v>23</v>
      </c>
      <c r="C28" s="44" t="s">
        <v>484</v>
      </c>
      <c r="D28" s="46" t="s">
        <v>315</v>
      </c>
      <c r="E28" s="44"/>
      <c r="F28" s="44"/>
      <c r="G28" s="44" t="s">
        <v>230</v>
      </c>
      <c r="H28" s="47" t="s">
        <v>344</v>
      </c>
      <c r="I28" s="47" t="s">
        <v>368</v>
      </c>
      <c r="J28" s="46" t="s">
        <v>255</v>
      </c>
      <c r="K28" s="44" t="s">
        <v>228</v>
      </c>
      <c r="L28" s="45" t="s">
        <v>229</v>
      </c>
      <c r="M28" s="44"/>
    </row>
    <row r="29" spans="1:13" ht="13.5" x14ac:dyDescent="0.3">
      <c r="A29" s="16"/>
      <c r="B29" s="48">
        <v>24</v>
      </c>
      <c r="C29" s="44" t="s">
        <v>482</v>
      </c>
      <c r="D29" s="46" t="s">
        <v>316</v>
      </c>
      <c r="E29" s="44" t="s">
        <v>102</v>
      </c>
      <c r="F29" s="44" t="s">
        <v>233</v>
      </c>
      <c r="G29" s="44" t="s">
        <v>92</v>
      </c>
      <c r="H29" s="47" t="s">
        <v>340</v>
      </c>
      <c r="I29" s="47" t="s">
        <v>369</v>
      </c>
      <c r="J29" s="46" t="s">
        <v>231</v>
      </c>
      <c r="K29" s="44" t="s">
        <v>483</v>
      </c>
      <c r="L29" s="45" t="s">
        <v>232</v>
      </c>
      <c r="M29" s="44" t="s">
        <v>234</v>
      </c>
    </row>
    <row r="30" spans="1:13" ht="13.5" x14ac:dyDescent="0.3">
      <c r="A30" s="16"/>
      <c r="B30" s="48">
        <v>25</v>
      </c>
      <c r="C30" s="44" t="s">
        <v>235</v>
      </c>
      <c r="D30" s="46" t="s">
        <v>317</v>
      </c>
      <c r="E30" s="44" t="s">
        <v>102</v>
      </c>
      <c r="F30" s="44" t="s">
        <v>238</v>
      </c>
      <c r="G30" s="44" t="s">
        <v>254</v>
      </c>
      <c r="H30" s="47" t="s">
        <v>341</v>
      </c>
      <c r="I30" s="47" t="s">
        <v>370</v>
      </c>
      <c r="J30" s="46" t="s">
        <v>92</v>
      </c>
      <c r="K30" s="44" t="s">
        <v>236</v>
      </c>
      <c r="L30" s="45" t="s">
        <v>237</v>
      </c>
      <c r="M30" s="44" t="s">
        <v>234</v>
      </c>
    </row>
    <row r="31" spans="1:13" ht="13.5" x14ac:dyDescent="0.3">
      <c r="A31" s="16"/>
      <c r="B31" s="48"/>
      <c r="C31" s="44"/>
      <c r="D31" s="46"/>
      <c r="E31" s="44"/>
      <c r="F31" s="44"/>
      <c r="G31" s="44"/>
      <c r="H31" s="47"/>
      <c r="I31" s="47"/>
      <c r="J31" s="46"/>
      <c r="K31" s="44"/>
      <c r="L31" s="45"/>
      <c r="M31" s="44"/>
    </row>
  </sheetData>
  <phoneticPr fontId="4" type="noConversion"/>
  <conditionalFormatting sqref="G26:G31 B6:F31 J19:J31 H6:I31 K6:M31">
    <cfRule type="expression" dxfId="15" priority="2" stopIfTrue="1">
      <formula>$C5&lt;&gt;""</formula>
    </cfRule>
  </conditionalFormatting>
  <conditionalFormatting sqref="J6:J18 G6:G25">
    <cfRule type="expression" dxfId="14" priority="1" stopIfTrue="1">
      <formula>$C11&lt;&gt;""</formula>
    </cfRule>
  </conditionalFormatting>
  <pageMargins left="0.75" right="0.75" top="1" bottom="1" header="0.5" footer="0.5"/>
  <headerFooter alignWithMargins="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AM30"/>
  <sheetViews>
    <sheetView showGridLines="0" workbookViewId="0">
      <selection activeCell="A15" sqref="A15"/>
    </sheetView>
  </sheetViews>
  <sheetFormatPr defaultRowHeight="16.5" x14ac:dyDescent="0.3"/>
  <cols>
    <col min="1" max="1" width="11.5" customWidth="1"/>
    <col min="2" max="2" width="2.75" customWidth="1"/>
    <col min="4" max="4" width="2.75" customWidth="1"/>
    <col min="5" max="5" width="10.25" customWidth="1"/>
    <col min="6" max="6" width="9.625" bestFit="1" customWidth="1"/>
    <col min="7" max="7" width="14" customWidth="1"/>
    <col min="8" max="8" width="8.75" bestFit="1" customWidth="1"/>
    <col min="9" max="9" width="9.25" customWidth="1"/>
    <col min="10" max="10" width="13" customWidth="1"/>
    <col min="11" max="11" width="9.875" customWidth="1"/>
    <col min="12" max="12" width="11.5" customWidth="1"/>
    <col min="13" max="13" width="9.875" customWidth="1"/>
    <col min="15" max="15" width="10.25" bestFit="1" customWidth="1"/>
    <col min="16" max="17" width="11.375" bestFit="1" customWidth="1"/>
    <col min="18" max="18" width="18.125" bestFit="1" customWidth="1"/>
    <col min="19" max="19" width="14.375" customWidth="1"/>
    <col min="20" max="20" width="2.75" customWidth="1"/>
    <col min="22" max="22" width="2.75" customWidth="1"/>
    <col min="23" max="23" width="11.125" customWidth="1"/>
    <col min="24" max="24" width="11.25" customWidth="1"/>
    <col min="25" max="25" width="29.25" bestFit="1" customWidth="1"/>
    <col min="26" max="26" width="4.75" bestFit="1" customWidth="1"/>
    <col min="27" max="28" width="7.875" customWidth="1"/>
    <col min="29" max="29" width="2.5" customWidth="1"/>
    <col min="31" max="31" width="2.75" customWidth="1"/>
    <col min="32" max="32" width="11" customWidth="1"/>
    <col min="33" max="33" width="17.75" bestFit="1" customWidth="1"/>
    <col min="34" max="34" width="11.625" bestFit="1" customWidth="1"/>
    <col min="36" max="36" width="10.25" customWidth="1"/>
    <col min="37" max="37" width="6.75" customWidth="1"/>
    <col min="38" max="38" width="10.625" bestFit="1" customWidth="1"/>
    <col min="39" max="39" width="16.25" bestFit="1" customWidth="1"/>
  </cols>
  <sheetData>
    <row r="1" spans="1:39" x14ac:dyDescent="0.3">
      <c r="A1" s="41" t="s">
        <v>244</v>
      </c>
    </row>
    <row r="2" spans="1:39" ht="9" customHeight="1" x14ac:dyDescent="0.3">
      <c r="A2" s="41"/>
    </row>
    <row r="3" spans="1:39" x14ac:dyDescent="0.3">
      <c r="A3" t="s">
        <v>267</v>
      </c>
      <c r="C3" t="s">
        <v>256</v>
      </c>
      <c r="E3" t="s">
        <v>257</v>
      </c>
      <c r="U3" t="s">
        <v>256</v>
      </c>
      <c r="W3" t="s">
        <v>258</v>
      </c>
      <c r="AD3" t="s">
        <v>245</v>
      </c>
      <c r="AF3" t="s">
        <v>246</v>
      </c>
    </row>
    <row r="4" spans="1:39" ht="10.5" customHeight="1" thickBot="1" x14ac:dyDescent="0.35"/>
    <row r="5" spans="1:39" ht="24.75" customHeight="1" x14ac:dyDescent="0.3">
      <c r="A5" s="74" t="s">
        <v>247</v>
      </c>
      <c r="C5" s="76" t="s">
        <v>0</v>
      </c>
      <c r="E5" s="69" t="s">
        <v>266</v>
      </c>
      <c r="F5" s="70" t="s">
        <v>16</v>
      </c>
      <c r="G5" s="70" t="s">
        <v>17</v>
      </c>
      <c r="H5" s="70" t="s">
        <v>10</v>
      </c>
      <c r="I5" s="71" t="s">
        <v>268</v>
      </c>
      <c r="J5" s="72" t="s">
        <v>384</v>
      </c>
      <c r="K5" s="72" t="s">
        <v>260</v>
      </c>
      <c r="L5" s="72" t="s">
        <v>280</v>
      </c>
      <c r="M5" s="71" t="s">
        <v>259</v>
      </c>
      <c r="N5" s="73" t="s">
        <v>18</v>
      </c>
      <c r="O5" s="73" t="s">
        <v>282</v>
      </c>
      <c r="P5" s="73" t="s">
        <v>284</v>
      </c>
      <c r="Q5" s="73" t="s">
        <v>283</v>
      </c>
      <c r="R5" s="73" t="s">
        <v>285</v>
      </c>
      <c r="S5" s="71" t="s">
        <v>13</v>
      </c>
      <c r="U5" s="78" t="s">
        <v>266</v>
      </c>
      <c r="W5" s="81" t="s">
        <v>252</v>
      </c>
      <c r="X5" s="82" t="s">
        <v>249</v>
      </c>
      <c r="Y5" s="82" t="s">
        <v>29</v>
      </c>
      <c r="Z5" s="82" t="s">
        <v>30</v>
      </c>
      <c r="AA5" s="83" t="s">
        <v>31</v>
      </c>
      <c r="AB5" s="82" t="s">
        <v>261</v>
      </c>
      <c r="AD5" s="89" t="s">
        <v>0</v>
      </c>
      <c r="AF5" s="88" t="s">
        <v>83</v>
      </c>
      <c r="AG5" s="89" t="s">
        <v>84</v>
      </c>
      <c r="AH5" s="89" t="s">
        <v>2</v>
      </c>
      <c r="AI5" s="90" t="s">
        <v>88</v>
      </c>
      <c r="AJ5" s="91" t="s">
        <v>89</v>
      </c>
      <c r="AK5" s="89" t="s">
        <v>90</v>
      </c>
      <c r="AL5" s="89" t="s">
        <v>240</v>
      </c>
      <c r="AM5" s="89" t="s">
        <v>386</v>
      </c>
    </row>
    <row r="6" spans="1:39" x14ac:dyDescent="0.3">
      <c r="A6" s="77" t="str">
        <f t="array" aca="1" ref="A6" ca="1">YEAR(TODAY())&amp;"-"&amp;TEXT(MAX(RIGHT(tbl견적서발급[문서번호],3)*1)+1,"000")</f>
        <v>2014-007</v>
      </c>
      <c r="C6" s="75" t="s">
        <v>532</v>
      </c>
      <c r="E6" s="43" t="s">
        <v>276</v>
      </c>
      <c r="F6" s="43">
        <v>11</v>
      </c>
      <c r="G6" s="42" t="s">
        <v>533</v>
      </c>
      <c r="H6" s="27" t="s">
        <v>19</v>
      </c>
      <c r="I6" s="27" t="s">
        <v>20</v>
      </c>
      <c r="J6" s="100" t="s">
        <v>278</v>
      </c>
      <c r="K6" s="49">
        <v>41960</v>
      </c>
      <c r="L6" s="49">
        <v>41963</v>
      </c>
      <c r="M6" s="43" t="s">
        <v>21</v>
      </c>
      <c r="N6" s="28">
        <v>1416000</v>
      </c>
      <c r="O6" s="28" t="s">
        <v>286</v>
      </c>
      <c r="P6" s="28" t="s">
        <v>287</v>
      </c>
      <c r="Q6" s="28" t="s">
        <v>289</v>
      </c>
      <c r="R6" t="s">
        <v>291</v>
      </c>
      <c r="S6" s="27"/>
      <c r="U6" s="77" t="s">
        <v>544</v>
      </c>
      <c r="W6" s="43">
        <v>1</v>
      </c>
      <c r="X6" s="27" t="s">
        <v>34</v>
      </c>
      <c r="Y6" s="42" t="s">
        <v>534</v>
      </c>
      <c r="Z6" s="27">
        <v>20</v>
      </c>
      <c r="AA6" s="50">
        <v>25000</v>
      </c>
      <c r="AB6" s="27" t="s">
        <v>265</v>
      </c>
      <c r="AD6" s="75" t="s">
        <v>532</v>
      </c>
      <c r="AF6" s="52">
        <v>1</v>
      </c>
      <c r="AG6" s="53" t="s">
        <v>91</v>
      </c>
      <c r="AH6" s="54" t="s">
        <v>293</v>
      </c>
      <c r="AI6" s="53" t="s">
        <v>95</v>
      </c>
      <c r="AJ6" s="53" t="s">
        <v>96</v>
      </c>
      <c r="AK6" s="53" t="s">
        <v>97</v>
      </c>
      <c r="AL6" s="92" t="s">
        <v>318</v>
      </c>
      <c r="AM6" s="92" t="s">
        <v>346</v>
      </c>
    </row>
    <row r="7" spans="1:39" x14ac:dyDescent="0.3">
      <c r="E7" s="43" t="s">
        <v>277</v>
      </c>
      <c r="F7" s="43">
        <v>17</v>
      </c>
      <c r="G7" s="42" t="s">
        <v>22</v>
      </c>
      <c r="H7" s="27" t="s">
        <v>23</v>
      </c>
      <c r="I7" s="27" t="s">
        <v>24</v>
      </c>
      <c r="J7" s="100" t="s">
        <v>279</v>
      </c>
      <c r="K7" s="49">
        <v>41961</v>
      </c>
      <c r="L7" s="49">
        <v>41968</v>
      </c>
      <c r="M7" s="43" t="s">
        <v>25</v>
      </c>
      <c r="N7" s="28">
        <v>1720000</v>
      </c>
      <c r="O7" s="28" t="s">
        <v>281</v>
      </c>
      <c r="P7" s="28" t="s">
        <v>288</v>
      </c>
      <c r="Q7" s="28" t="s">
        <v>290</v>
      </c>
      <c r="R7" t="s">
        <v>292</v>
      </c>
      <c r="S7" s="27" t="s">
        <v>389</v>
      </c>
      <c r="W7" s="43">
        <v>2</v>
      </c>
      <c r="X7" s="27" t="s">
        <v>36</v>
      </c>
      <c r="Y7" s="42" t="s">
        <v>374</v>
      </c>
      <c r="Z7" s="27">
        <v>10</v>
      </c>
      <c r="AA7" s="50">
        <v>23000</v>
      </c>
      <c r="AB7" s="27"/>
      <c r="AF7" s="52">
        <v>2</v>
      </c>
      <c r="AG7" s="53" t="s">
        <v>98</v>
      </c>
      <c r="AH7" s="54" t="s">
        <v>294</v>
      </c>
      <c r="AI7" s="53" t="s">
        <v>102</v>
      </c>
      <c r="AJ7" s="53" t="s">
        <v>103</v>
      </c>
      <c r="AK7" s="53" t="s">
        <v>104</v>
      </c>
      <c r="AL7" s="92" t="s">
        <v>319</v>
      </c>
      <c r="AM7" s="92" t="s">
        <v>347</v>
      </c>
    </row>
    <row r="8" spans="1:39" x14ac:dyDescent="0.3">
      <c r="E8" s="43" t="s">
        <v>526</v>
      </c>
      <c r="F8" s="43">
        <v>15</v>
      </c>
      <c r="G8" s="42" t="s">
        <v>527</v>
      </c>
      <c r="H8" s="27" t="s">
        <v>528</v>
      </c>
      <c r="I8" s="27" t="s">
        <v>529</v>
      </c>
      <c r="J8" s="100" t="s">
        <v>530</v>
      </c>
      <c r="K8" s="49">
        <v>41961</v>
      </c>
      <c r="L8" s="49">
        <v>41969</v>
      </c>
      <c r="M8" s="43" t="s">
        <v>531</v>
      </c>
      <c r="N8" s="28">
        <v>2765400</v>
      </c>
      <c r="O8" s="28" t="s">
        <v>286</v>
      </c>
      <c r="P8" s="28" t="s">
        <v>524</v>
      </c>
      <c r="Q8" s="28" t="s">
        <v>523</v>
      </c>
      <c r="R8" t="s">
        <v>525</v>
      </c>
      <c r="S8" s="27"/>
      <c r="W8" s="43">
        <v>3</v>
      </c>
      <c r="X8" s="27" t="s">
        <v>37</v>
      </c>
      <c r="Y8" s="42" t="s">
        <v>376</v>
      </c>
      <c r="Z8" s="27">
        <v>20</v>
      </c>
      <c r="AA8" s="50">
        <v>19800</v>
      </c>
      <c r="AB8" s="27"/>
      <c r="AF8" s="52">
        <v>3</v>
      </c>
      <c r="AG8" s="53" t="s">
        <v>105</v>
      </c>
      <c r="AH8" s="54" t="s">
        <v>295</v>
      </c>
      <c r="AI8" s="53" t="s">
        <v>108</v>
      </c>
      <c r="AJ8" s="53" t="s">
        <v>109</v>
      </c>
      <c r="AK8" s="53" t="s">
        <v>110</v>
      </c>
      <c r="AL8" s="92" t="s">
        <v>320</v>
      </c>
      <c r="AM8" s="92" t="s">
        <v>348</v>
      </c>
    </row>
    <row r="9" spans="1:39" x14ac:dyDescent="0.3">
      <c r="E9" s="43" t="s">
        <v>392</v>
      </c>
      <c r="F9" s="43">
        <v>17</v>
      </c>
      <c r="G9" s="42" t="s">
        <v>22</v>
      </c>
      <c r="H9" s="27" t="s">
        <v>23</v>
      </c>
      <c r="I9" s="27" t="s">
        <v>501</v>
      </c>
      <c r="J9" s="100" t="s">
        <v>362</v>
      </c>
      <c r="K9" s="49">
        <v>41771</v>
      </c>
      <c r="L9" s="49">
        <v>41722</v>
      </c>
      <c r="M9" s="43" t="s">
        <v>502</v>
      </c>
      <c r="N9" s="28">
        <v>1233100</v>
      </c>
      <c r="O9" s="28" t="s">
        <v>503</v>
      </c>
      <c r="P9" s="28" t="s">
        <v>504</v>
      </c>
      <c r="Q9" s="28" t="s">
        <v>505</v>
      </c>
      <c r="R9" s="28" t="s">
        <v>506</v>
      </c>
      <c r="S9" s="28"/>
      <c r="W9" s="43">
        <v>4</v>
      </c>
      <c r="X9" s="27" t="s">
        <v>38</v>
      </c>
      <c r="Y9" s="42" t="s">
        <v>372</v>
      </c>
      <c r="Z9" s="27">
        <v>30</v>
      </c>
      <c r="AA9" s="50">
        <v>19800</v>
      </c>
      <c r="AB9" s="27"/>
      <c r="AF9" s="52">
        <v>4</v>
      </c>
      <c r="AG9" s="53" t="s">
        <v>111</v>
      </c>
      <c r="AH9" s="54" t="s">
        <v>296</v>
      </c>
      <c r="AI9" s="53" t="s">
        <v>115</v>
      </c>
      <c r="AJ9" s="53" t="s">
        <v>116</v>
      </c>
      <c r="AK9" s="53" t="s">
        <v>117</v>
      </c>
      <c r="AL9" s="92" t="s">
        <v>321</v>
      </c>
      <c r="AM9" s="92" t="s">
        <v>349</v>
      </c>
    </row>
    <row r="10" spans="1:39" x14ac:dyDescent="0.3">
      <c r="E10" s="43" t="s">
        <v>512</v>
      </c>
      <c r="F10" s="43">
        <v>24</v>
      </c>
      <c r="G10" s="42" t="s">
        <v>513</v>
      </c>
      <c r="H10" s="27" t="s">
        <v>514</v>
      </c>
      <c r="I10" s="27" t="s">
        <v>515</v>
      </c>
      <c r="J10" s="100" t="s">
        <v>516</v>
      </c>
      <c r="K10" s="49">
        <v>41772</v>
      </c>
      <c r="L10" s="49">
        <v>41787</v>
      </c>
      <c r="M10" s="43" t="s">
        <v>517</v>
      </c>
      <c r="N10" s="28">
        <v>2789622</v>
      </c>
      <c r="O10" s="28" t="s">
        <v>518</v>
      </c>
      <c r="P10" s="28" t="s">
        <v>519</v>
      </c>
      <c r="Q10" s="28" t="s">
        <v>520</v>
      </c>
      <c r="R10" s="28" t="s">
        <v>521</v>
      </c>
      <c r="S10" s="28"/>
      <c r="W10" s="43"/>
      <c r="X10" s="27"/>
      <c r="Y10" s="42"/>
      <c r="Z10" s="27"/>
      <c r="AA10" s="50"/>
      <c r="AB10" s="27"/>
      <c r="AF10" s="52">
        <v>5</v>
      </c>
      <c r="AG10" s="53" t="s">
        <v>118</v>
      </c>
      <c r="AH10" s="54" t="s">
        <v>297</v>
      </c>
      <c r="AI10" s="53" t="s">
        <v>122</v>
      </c>
      <c r="AJ10" s="53" t="s">
        <v>123</v>
      </c>
      <c r="AK10" s="53" t="s">
        <v>124</v>
      </c>
      <c r="AL10" s="92" t="s">
        <v>345</v>
      </c>
      <c r="AM10" s="92" t="s">
        <v>350</v>
      </c>
    </row>
    <row r="11" spans="1:39" x14ac:dyDescent="0.3">
      <c r="E11" s="43" t="s">
        <v>535</v>
      </c>
      <c r="F11" s="43">
        <v>19</v>
      </c>
      <c r="G11" s="42" t="s">
        <v>536</v>
      </c>
      <c r="H11" s="27" t="s">
        <v>537</v>
      </c>
      <c r="I11" s="27" t="s">
        <v>333</v>
      </c>
      <c r="J11" s="100" t="s">
        <v>364</v>
      </c>
      <c r="K11" s="49">
        <v>41687</v>
      </c>
      <c r="L11" s="49">
        <v>41691</v>
      </c>
      <c r="M11" s="43" t="s">
        <v>538</v>
      </c>
      <c r="N11" s="28">
        <v>871200</v>
      </c>
      <c r="O11" s="28" t="s">
        <v>539</v>
      </c>
      <c r="P11" s="28" t="s">
        <v>540</v>
      </c>
      <c r="Q11" s="28" t="s">
        <v>541</v>
      </c>
      <c r="R11" s="28" t="s">
        <v>542</v>
      </c>
      <c r="S11" s="28"/>
      <c r="W11" s="43"/>
      <c r="X11" s="27"/>
      <c r="Y11" s="42"/>
      <c r="Z11" s="27"/>
      <c r="AA11" s="50"/>
      <c r="AB11" s="27"/>
      <c r="AF11" s="52">
        <v>6</v>
      </c>
      <c r="AG11" s="53" t="s">
        <v>339</v>
      </c>
      <c r="AH11" s="54" t="s">
        <v>298</v>
      </c>
      <c r="AI11" s="53" t="s">
        <v>102</v>
      </c>
      <c r="AJ11" s="53" t="s">
        <v>128</v>
      </c>
      <c r="AK11" s="53" t="s">
        <v>337</v>
      </c>
      <c r="AL11" s="92" t="s">
        <v>322</v>
      </c>
      <c r="AM11" s="92" t="s">
        <v>351</v>
      </c>
    </row>
    <row r="12" spans="1:39" x14ac:dyDescent="0.3">
      <c r="W12" s="43"/>
      <c r="X12" s="27"/>
      <c r="AF12" s="52">
        <v>7</v>
      </c>
      <c r="AG12" s="53" t="s">
        <v>129</v>
      </c>
      <c r="AH12" s="54" t="s">
        <v>299</v>
      </c>
      <c r="AI12" s="53" t="s">
        <v>132</v>
      </c>
      <c r="AJ12" s="53" t="s">
        <v>133</v>
      </c>
      <c r="AK12" s="53" t="s">
        <v>134</v>
      </c>
      <c r="AL12" s="92" t="s">
        <v>323</v>
      </c>
      <c r="AM12" s="92" t="s">
        <v>352</v>
      </c>
    </row>
    <row r="13" spans="1:39" x14ac:dyDescent="0.3">
      <c r="AF13" s="52">
        <v>8</v>
      </c>
      <c r="AG13" s="53" t="s">
        <v>135</v>
      </c>
      <c r="AH13" s="54" t="s">
        <v>300</v>
      </c>
      <c r="AI13" s="53" t="s">
        <v>102</v>
      </c>
      <c r="AJ13" s="53" t="s">
        <v>139</v>
      </c>
      <c r="AK13" s="53" t="s">
        <v>140</v>
      </c>
      <c r="AL13" s="92" t="s">
        <v>324</v>
      </c>
      <c r="AM13" s="92" t="s">
        <v>353</v>
      </c>
    </row>
    <row r="14" spans="1:39" x14ac:dyDescent="0.3">
      <c r="AF14" s="52">
        <v>9</v>
      </c>
      <c r="AG14" s="53" t="s">
        <v>141</v>
      </c>
      <c r="AH14" s="54" t="s">
        <v>301</v>
      </c>
      <c r="AI14" s="53" t="s">
        <v>144</v>
      </c>
      <c r="AJ14" s="53" t="s">
        <v>145</v>
      </c>
      <c r="AK14" s="53" t="s">
        <v>146</v>
      </c>
      <c r="AL14" s="92" t="s">
        <v>325</v>
      </c>
      <c r="AM14" s="92" t="s">
        <v>354</v>
      </c>
    </row>
    <row r="15" spans="1:39" x14ac:dyDescent="0.3">
      <c r="AF15" s="52">
        <v>10</v>
      </c>
      <c r="AG15" s="53" t="s">
        <v>147</v>
      </c>
      <c r="AH15" s="54" t="s">
        <v>302</v>
      </c>
      <c r="AI15" s="53" t="s">
        <v>150</v>
      </c>
      <c r="AJ15" s="53" t="s">
        <v>151</v>
      </c>
      <c r="AK15" s="53" t="s">
        <v>152</v>
      </c>
      <c r="AL15" s="92" t="s">
        <v>326</v>
      </c>
      <c r="AM15" s="92" t="s">
        <v>355</v>
      </c>
    </row>
    <row r="16" spans="1:39" x14ac:dyDescent="0.3">
      <c r="AF16" s="52">
        <v>11</v>
      </c>
      <c r="AG16" s="53" t="s">
        <v>153</v>
      </c>
      <c r="AH16" s="54" t="s">
        <v>303</v>
      </c>
      <c r="AI16" s="53" t="s">
        <v>157</v>
      </c>
      <c r="AJ16" s="53" t="s">
        <v>158</v>
      </c>
      <c r="AK16" s="53" t="s">
        <v>159</v>
      </c>
      <c r="AL16" s="92" t="s">
        <v>342</v>
      </c>
      <c r="AM16" s="92" t="s">
        <v>356</v>
      </c>
    </row>
    <row r="17" spans="32:39" x14ac:dyDescent="0.3">
      <c r="AF17" s="52">
        <v>12</v>
      </c>
      <c r="AG17" s="53" t="s">
        <v>160</v>
      </c>
      <c r="AH17" s="54" t="s">
        <v>304</v>
      </c>
      <c r="AI17" s="53" t="s">
        <v>102</v>
      </c>
      <c r="AJ17" s="53" t="s">
        <v>164</v>
      </c>
      <c r="AK17" s="53" t="s">
        <v>165</v>
      </c>
      <c r="AL17" s="92" t="s">
        <v>327</v>
      </c>
      <c r="AM17" s="92" t="s">
        <v>357</v>
      </c>
    </row>
    <row r="18" spans="32:39" x14ac:dyDescent="0.3">
      <c r="AF18" s="52">
        <v>13</v>
      </c>
      <c r="AG18" s="53" t="s">
        <v>166</v>
      </c>
      <c r="AH18" s="54" t="s">
        <v>305</v>
      </c>
      <c r="AI18" s="53" t="s">
        <v>102</v>
      </c>
      <c r="AJ18" s="53" t="s">
        <v>170</v>
      </c>
      <c r="AK18" s="53" t="s">
        <v>171</v>
      </c>
      <c r="AL18" s="92" t="s">
        <v>328</v>
      </c>
      <c r="AM18" s="92" t="s">
        <v>358</v>
      </c>
    </row>
    <row r="19" spans="32:39" x14ac:dyDescent="0.3">
      <c r="AF19" s="52">
        <v>14</v>
      </c>
      <c r="AG19" s="53" t="s">
        <v>172</v>
      </c>
      <c r="AH19" s="55" t="s">
        <v>306</v>
      </c>
      <c r="AI19" s="53" t="s">
        <v>122</v>
      </c>
      <c r="AJ19" s="53" t="s">
        <v>176</v>
      </c>
      <c r="AK19" s="53" t="s">
        <v>177</v>
      </c>
      <c r="AL19" s="92" t="s">
        <v>329</v>
      </c>
      <c r="AM19" s="92" t="s">
        <v>359</v>
      </c>
    </row>
    <row r="20" spans="32:39" x14ac:dyDescent="0.3">
      <c r="AF20" s="52">
        <v>15</v>
      </c>
      <c r="AG20" s="53" t="s">
        <v>178</v>
      </c>
      <c r="AH20" s="55" t="s">
        <v>307</v>
      </c>
      <c r="AI20" s="53" t="s">
        <v>182</v>
      </c>
      <c r="AJ20" s="53" t="s">
        <v>183</v>
      </c>
      <c r="AK20" s="53" t="s">
        <v>184</v>
      </c>
      <c r="AL20" s="92" t="s">
        <v>330</v>
      </c>
      <c r="AM20" s="92" t="s">
        <v>360</v>
      </c>
    </row>
    <row r="21" spans="32:39" x14ac:dyDescent="0.3">
      <c r="AF21" s="52">
        <v>16</v>
      </c>
      <c r="AG21" s="53" t="s">
        <v>185</v>
      </c>
      <c r="AH21" s="55" t="s">
        <v>308</v>
      </c>
      <c r="AI21" s="53" t="s">
        <v>188</v>
      </c>
      <c r="AJ21" s="53" t="s">
        <v>189</v>
      </c>
      <c r="AK21" s="53" t="s">
        <v>190</v>
      </c>
      <c r="AL21" s="92" t="s">
        <v>331</v>
      </c>
      <c r="AM21" s="92" t="s">
        <v>361</v>
      </c>
    </row>
    <row r="22" spans="32:39" x14ac:dyDescent="0.3">
      <c r="AF22" s="52">
        <v>17</v>
      </c>
      <c r="AG22" s="53" t="s">
        <v>191</v>
      </c>
      <c r="AH22" s="55" t="s">
        <v>309</v>
      </c>
      <c r="AI22" s="53" t="s">
        <v>195</v>
      </c>
      <c r="AJ22" s="53" t="s">
        <v>151</v>
      </c>
      <c r="AK22" s="53" t="s">
        <v>196</v>
      </c>
      <c r="AL22" s="92" t="s">
        <v>343</v>
      </c>
      <c r="AM22" s="92" t="s">
        <v>362</v>
      </c>
    </row>
    <row r="23" spans="32:39" x14ac:dyDescent="0.3">
      <c r="AF23" s="52">
        <v>18</v>
      </c>
      <c r="AG23" s="53" t="s">
        <v>197</v>
      </c>
      <c r="AH23" s="55" t="s">
        <v>310</v>
      </c>
      <c r="AI23" s="53" t="s">
        <v>201</v>
      </c>
      <c r="AJ23" s="53" t="s">
        <v>202</v>
      </c>
      <c r="AK23" s="53" t="s">
        <v>203</v>
      </c>
      <c r="AL23" s="92" t="s">
        <v>332</v>
      </c>
      <c r="AM23" s="92" t="s">
        <v>363</v>
      </c>
    </row>
    <row r="24" spans="32:39" x14ac:dyDescent="0.3">
      <c r="AF24" s="52">
        <v>19</v>
      </c>
      <c r="AG24" s="53" t="s">
        <v>204</v>
      </c>
      <c r="AH24" s="55" t="s">
        <v>311</v>
      </c>
      <c r="AI24" s="53" t="s">
        <v>207</v>
      </c>
      <c r="AJ24" s="53" t="s">
        <v>208</v>
      </c>
      <c r="AK24" s="53" t="s">
        <v>209</v>
      </c>
      <c r="AL24" s="92" t="s">
        <v>333</v>
      </c>
      <c r="AM24" s="92" t="s">
        <v>364</v>
      </c>
    </row>
    <row r="25" spans="32:39" x14ac:dyDescent="0.3">
      <c r="AF25" s="52">
        <v>20</v>
      </c>
      <c r="AG25" s="53" t="s">
        <v>210</v>
      </c>
      <c r="AH25" s="55" t="s">
        <v>312</v>
      </c>
      <c r="AI25" s="53" t="s">
        <v>214</v>
      </c>
      <c r="AJ25" s="53" t="s">
        <v>215</v>
      </c>
      <c r="AK25" s="53" t="s">
        <v>216</v>
      </c>
      <c r="AL25" s="92" t="s">
        <v>334</v>
      </c>
      <c r="AM25" s="92" t="s">
        <v>365</v>
      </c>
    </row>
    <row r="26" spans="32:39" x14ac:dyDescent="0.3">
      <c r="AF26" s="52">
        <v>21</v>
      </c>
      <c r="AG26" s="53" t="s">
        <v>217</v>
      </c>
      <c r="AH26" s="55" t="s">
        <v>313</v>
      </c>
      <c r="AI26" s="53" t="s">
        <v>122</v>
      </c>
      <c r="AJ26" s="53" t="s">
        <v>221</v>
      </c>
      <c r="AK26" s="53" t="s">
        <v>338</v>
      </c>
      <c r="AL26" s="92" t="s">
        <v>335</v>
      </c>
      <c r="AM26" s="92" t="s">
        <v>366</v>
      </c>
    </row>
    <row r="27" spans="32:39" x14ac:dyDescent="0.3">
      <c r="AF27" s="52">
        <v>22</v>
      </c>
      <c r="AG27" s="53" t="s">
        <v>222</v>
      </c>
      <c r="AH27" s="55" t="s">
        <v>314</v>
      </c>
      <c r="AI27" s="53" t="s">
        <v>122</v>
      </c>
      <c r="AJ27" s="53" t="s">
        <v>226</v>
      </c>
      <c r="AK27" s="53" t="s">
        <v>227</v>
      </c>
      <c r="AL27" s="92" t="s">
        <v>336</v>
      </c>
      <c r="AM27" s="92" t="s">
        <v>367</v>
      </c>
    </row>
    <row r="28" spans="32:39" x14ac:dyDescent="0.3">
      <c r="AF28" s="52">
        <v>23</v>
      </c>
      <c r="AG28" s="53" t="s">
        <v>484</v>
      </c>
      <c r="AH28" s="55" t="s">
        <v>315</v>
      </c>
      <c r="AI28" s="53"/>
      <c r="AJ28" s="53"/>
      <c r="AK28" s="53" t="s">
        <v>230</v>
      </c>
      <c r="AL28" s="92" t="s">
        <v>344</v>
      </c>
      <c r="AM28" s="92" t="s">
        <v>368</v>
      </c>
    </row>
    <row r="29" spans="32:39" x14ac:dyDescent="0.3">
      <c r="AF29" s="52">
        <v>24</v>
      </c>
      <c r="AG29" s="53" t="s">
        <v>482</v>
      </c>
      <c r="AH29" s="55" t="s">
        <v>316</v>
      </c>
      <c r="AI29" s="53" t="s">
        <v>102</v>
      </c>
      <c r="AJ29" s="53" t="s">
        <v>233</v>
      </c>
      <c r="AK29" s="53" t="s">
        <v>92</v>
      </c>
      <c r="AL29" s="92" t="s">
        <v>340</v>
      </c>
      <c r="AM29" s="92" t="s">
        <v>369</v>
      </c>
    </row>
    <row r="30" spans="32:39" x14ac:dyDescent="0.3">
      <c r="AF30" s="52">
        <v>25</v>
      </c>
      <c r="AG30" s="53" t="s">
        <v>235</v>
      </c>
      <c r="AH30" s="55" t="s">
        <v>317</v>
      </c>
      <c r="AI30" s="53" t="s">
        <v>102</v>
      </c>
      <c r="AJ30" s="53" t="s">
        <v>238</v>
      </c>
      <c r="AK30" s="53" t="s">
        <v>254</v>
      </c>
      <c r="AL30" s="92" t="s">
        <v>341</v>
      </c>
      <c r="AM30" s="92" t="s">
        <v>370</v>
      </c>
    </row>
  </sheetData>
  <phoneticPr fontId="1" type="noConversion"/>
  <dataValidations count="1">
    <dataValidation imeMode="halfHangul" allowBlank="1" showInputMessage="1" showErrorMessage="1" sqref="U5 W5:Y5"/>
  </dataValidations>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26</vt:i4>
      </vt:variant>
    </vt:vector>
  </HeadingPairs>
  <TitlesOfParts>
    <vt:vector size="33" baseType="lpstr">
      <vt:lpstr>사용도움말</vt:lpstr>
      <vt:lpstr>Main</vt:lpstr>
      <vt:lpstr>견적서발급</vt:lpstr>
      <vt:lpstr>견적서세부내용</vt:lpstr>
      <vt:lpstr>제품목록</vt:lpstr>
      <vt:lpstr>거래처목록</vt:lpstr>
      <vt:lpstr>@작업시트</vt:lpstr>
      <vt:lpstr>'@작업시트'!Criteria</vt:lpstr>
      <vt:lpstr>'@작업시트'!Extract</vt:lpstr>
      <vt:lpstr>nmD_EMail</vt:lpstr>
      <vt:lpstr>nmD_거래처명</vt:lpstr>
      <vt:lpstr>nmD_거래처코드</vt:lpstr>
      <vt:lpstr>nmD_견적세부시작셀</vt:lpstr>
      <vt:lpstr>nmD_견적일자</vt:lpstr>
      <vt:lpstr>nmD_공급가액</vt:lpstr>
      <vt:lpstr>nmD_납품예정일</vt:lpstr>
      <vt:lpstr>nmD_납품장소</vt:lpstr>
      <vt:lpstr>nmD_담당자</vt:lpstr>
      <vt:lpstr>nmD_문서번호</vt:lpstr>
      <vt:lpstr>nmD_본사Email</vt:lpstr>
      <vt:lpstr>nmD_본사담당자</vt:lpstr>
      <vt:lpstr>nmD_본사연락처1</vt:lpstr>
      <vt:lpstr>nmD_본사연락처2</vt:lpstr>
      <vt:lpstr>nmD_비고</vt:lpstr>
      <vt:lpstr>nmD_연락처</vt:lpstr>
      <vt:lpstr>nmMax코드</vt:lpstr>
      <vt:lpstr>nm거래처_조건</vt:lpstr>
      <vt:lpstr>nm거래처_출력</vt:lpstr>
      <vt:lpstr>nm견적_조건</vt:lpstr>
      <vt:lpstr>nm견적_출력</vt:lpstr>
      <vt:lpstr>nm견적세부_조건</vt:lpstr>
      <vt:lpstr>nm견적세부_출력</vt:lpstr>
      <vt:lpstr>Main!Print_Area</vt:lpstr>
    </vt:vector>
  </TitlesOfParts>
  <Manager>이동숙</Manager>
  <Company>도서출판 길벗</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길벗 엑셀 2013 매크로와 VBA</dc:title>
  <dc:subject>길벗 엑셀 2013 매크로와 VBA</dc:subject>
  <dc:creator>DSLee</dc:creator>
  <cp:keywords>길벗 엑셀 2013 매크로와 VBA</cp:keywords>
  <cp:lastModifiedBy>DSLee</cp:lastModifiedBy>
  <cp:lastPrinted>2014-05-17T09:26:45Z</cp:lastPrinted>
  <dcterms:created xsi:type="dcterms:W3CDTF">2013-11-01T06:50:11Z</dcterms:created>
  <dcterms:modified xsi:type="dcterms:W3CDTF">2014-05-17T09:26:50Z</dcterms:modified>
  <cp:category>엑셀 매크로</cp:category>
</cp:coreProperties>
</file>