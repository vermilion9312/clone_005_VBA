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'@작업시트'!$C$5:$C$6</definedName>
    <definedName name="_xlnm.Extract" localSheetId="6">'@작업시트'!$E$5:$S$5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<sst xmlns="http://schemas.openxmlformats.org/spreadsheetml/2006/main" count="899" uniqueCount="543">
  <si>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</si>
  <si>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</si>
  <si>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</si>
  <si>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</si>
  <si>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</si>
  <si>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</si>
  <si>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</si>
  <si>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</si>
  <si>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</si>
  <si>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</si>
  <si>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</si>
  <si>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</si>
  <si>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</si>
  <si>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</si>
  <si>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</si>
  <si>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</si>
  <si>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</si>
  <si>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</si>
  <si>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</si>
  <si>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</si>
  <si>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</si>
  <si>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</si>
  <si>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</si>
  <si>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</si>
  <si>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</si>
  <si>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</si>
  <si>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</si>
  <si>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</si>
  <si>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</si>
  <si>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</si>
  <si>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</si>
  <si>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</si>
  <si>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</si>
  <si>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</si>
  <si>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</si>
  <si>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</si>
  <si>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</si>
  <si>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</si>
  <si>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</si>
  <si>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</si>
  <si>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</si>
  <si>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</si>
  <si>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</si>
  <si>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</si>
  <si>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</si>
  <si>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</si>
  <si>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</si>
  <si>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</si>
  <si>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</si>
  <si>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</si>
  <si>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</si>
  <si>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</si>
  <si>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</si>
  <si>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</si>
  <si>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</si>
  <si>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</si>
  <si>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</si>
  <si>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</si>
  <si>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</si>
  <si>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</si>
  <si>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</si>
  <si>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</si>
  <si>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</si>
  <si>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</si>
  <si>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</si>
  <si>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</si>
  <si>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</si>
  <si>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</si>
  <si>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</si>
  <si>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</si>
  <si>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</si>
  <si>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</si>
  <si>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</si>
  <si>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</si>
  <si>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</si>
  <si>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</si>
  <si>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</si>
  <si>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</si>
  <si>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</si>
  <si>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</si>
  <si>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</si>
  <si>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</si>
  <si>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</si>
  <si>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</si>
  <si>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</si>
  <si>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</si>
  <si>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</si>
  <si>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</si>
  <si>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</si>
  <si>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</si>
  <si>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</si>
  <si>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</si>
  <si>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</si>
  <si>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</si>
  <si>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</si>
  <si>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</si>
  <si>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</si>
  <si>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</si>
  <si>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</si>
  <si>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</si>
  <si>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</si>
  <si>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</si>
  <si>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</si>
  <si>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</si>
  <si>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</si>
  <si>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</si>
  <si>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</si>
  <si>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</si>
  <si>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</si>
  <si>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</si>
  <si>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</si>
  <si>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</si>
  <si>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</si>
  <si>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</si>
  <si>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</si>
  <si>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</si>
  <si>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</si>
  <si>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</si>
  <si>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</si>
  <si>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</si>
  <si>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</si>
  <si>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</si>
  <si>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</si>
  <si>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</si>
  <si>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</si>
  <si>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</si>
  <si>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</si>
  <si>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</si>
  <si>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</si>
  <si>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</si>
  <si>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</si>
  <si>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</si>
  <si>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</si>
  <si>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</si>
  <si>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</si>
  <si>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</si>
  <si>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</si>
  <si>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</si>
  <si>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</si>
  <si>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</si>
  <si>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</si>
  <si>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</si>
  <si>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</si>
  <si>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</si>
  <si>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</si>
  <si>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</si>
  <si>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</si>
  <si>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</si>
  <si>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</si>
  <si>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</si>
  <si>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</si>
  <si>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</si>
  <si>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</si>
  <si>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</si>
  <si>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</si>
  <si>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</si>
  <si>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</si>
  <si>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</si>
  <si>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</si>
  <si>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</si>
  <si>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</si>
  <si>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</si>
  <si>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</si>
  <si>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</si>
  <si>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</si>
  <si>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</si>
  <si>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</si>
  <si>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</si>
  <si>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</si>
  <si>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</si>
  <si>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</si>
  <si>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</si>
  <si>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</si>
  <si>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</si>
  <si>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</si>
  <si>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</si>
  <si>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</si>
  <si>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</si>
  <si>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</si>
  <si>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</si>
  <si>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</si>
  <si>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</si>
  <si>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</si>
  <si>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</si>
  <si>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</si>
  <si>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</si>
  <si>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</si>
  <si>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</si>
  <si>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</si>
  <si>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</si>
  <si>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</si>
  <si>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</si>
  <si>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</si>
  <si>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</si>
  <si>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</si>
  <si>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</si>
  <si>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</si>
  <si>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</si>
  <si>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</si>
  <si>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</si>
  <si>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</si>
  <si>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</si>
  <si>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</si>
  <si>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</si>
  <si>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</si>
  <si>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</si>
  <si>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</si>
  <si>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</si>
  <si>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</si>
  <si>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</si>
  <si>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</si>
  <si>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</si>
  <si>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</si>
  <si>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</si>
  <si>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</si>
  <si>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</si>
  <si>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</si>
  <si>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</si>
  <si>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</si>
  <si>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</si>
  <si>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</si>
  <si>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</si>
  <si>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</si>
  <si>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</si>
  <si>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</si>
  <si>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</si>
  <si>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</si>
  <si>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</si>
  <si>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</si>
  <si>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</si>
  <si>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</si>
  <si>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</si>
  <si>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</si>
  <si>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</si>
  <si>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</si>
  <si>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</si>
  <si>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</si>
  <si>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</si>
  <si>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</si>
  <si>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</si>
  <si>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</si>
  <si>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</si>
  <si>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</si>
  <si>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</si>
  <si>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</si>
  <si>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</si>
  <si>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</si>
  <si>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</si>
  <si>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</si>
  <si>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</si>
  <si>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</si>
  <si>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</si>
  <si>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</si>
  <si>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</si>
  <si>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</si>
  <si>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</si>
  <si>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</si>
  <si>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</si>
  <si>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</si>
  <si>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</si>
  <si>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</si>
  <si>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</si>
  <si>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</si>
  <si>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</si>
  <si>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</si>
  <si>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</si>
  <si>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</si>
  <si>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</si>
  <si>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</si>
  <si>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</si>
  <si>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</si>
  <si>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</si>
  <si>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</si>
  <si>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</si>
  <si>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</si>
  <si>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</si>
  <si>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</si>
  <si>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</si>
  <si>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</si>
  <si>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</si>
  <si>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</si>
  <si>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</si>
  <si>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</si>
  <si>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</si>
  <si>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</si>
  <si>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</si>
  <si>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</si>
  <si>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</si>
  <si>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</si>
  <si>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</si>
  <si>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</si>
  <si>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</si>
  <si>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</si>
  <si>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</si>
  <si>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</si>
  <si>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</si>
  <si>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</si>
  <si>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</si>
  <si>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</si>
  <si>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</si>
  <si>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</si>
  <si>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</si>
  <si>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</si>
  <si>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</si>
  <si>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</si>
  <si>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</si>
  <si>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</si>
  <si>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</si>
  <si>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</si>
  <si>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</si>
  <si>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</si>
  <si>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</si>
  <si>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</si>
  <si>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</si>
  <si>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</si>
  <si>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</si>
  <si>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</si>
  <si>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</si>
  <si>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</si>
  <si>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</si>
  <si>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</si>
  <si>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</si>
  <si>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</si>
  <si>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</si>
  <si>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</si>
  <si>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</si>
  <si>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</si>
  <si>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</si>
  <si>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</si>
  <si>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</si>
  <si>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</si>
  <si>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</si>
  <si>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</si>
  <si>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</si>
  <si>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</si>
  <si>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</si>
  <si>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</si>
  <si>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</si>
  <si>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</si>
  <si>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</si>
  <si>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</si>
  <si>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</si>
  <si>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</si>
  <si>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</si>
  <si>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</si>
  <si>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</si>
  <si>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</si>
  <si>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</si>
  <si>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</si>
  <si>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</si>
  <si>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</si>
  <si>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</si>
  <si>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</si>
  <si>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</si>
  <si>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</si>
  <si>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</si>
  <si>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</si>
  <si>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</si>
  <si>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</si>
  <si>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</si>
  <si>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</si>
  <si>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</si>
  <si>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</si>
  <si>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</si>
  <si>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</si>
  <si>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</si>
  <si>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</si>
  <si>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</si>
  <si>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</si>
  <si>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</si>
  <si>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</si>
  <si>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</si>
  <si>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</si>
  <si>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</si>
  <si>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</si>
  <si>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</si>
  <si>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</si>
  <si>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</si>
  <si>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</si>
  <si>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</si>
  <si>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</si>
  <si>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</si>
  <si>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</si>
  <si>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</si>
  <si>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</si>
  <si>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</si>
  <si>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</si>
  <si>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</si>
  <si>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</si>
  <si>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</si>
  <si>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</si>
  <si>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</si>
  <si>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</si>
  <si>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</si>
  <si>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</si>
  <si>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</si>
  <si>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</si>
  <si>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</si>
  <si>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</si>
  <si>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</si>
  <si>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</si>
  <si>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</si>
  <si>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</si>
  <si>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</si>
  <si>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</si>
  <si>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</si>
  <si>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</si>
  <si>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</si>
  <si>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</si>
  <si>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</si>
  <si>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</si>
  <si>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</si>
  <si>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</si>
  <si>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</si>
  <si>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</si>
  <si>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</si>
  <si>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</si>
  <si>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</si>
  <si>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</si>
  <si>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</si>
  <si>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</si>
  <si>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</si>
  <si>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</si>
  <si>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</si>
  <si>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</si>
  <si>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</si>
  <si>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</si>
  <si>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</si>
  <si>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</si>
  <si>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</si>
  <si>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</si>
  <si>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</si>
  <si>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</si>
  <si>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</si>
  <si>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</si>
  <si>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</si>
  <si>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</si>
  <si>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</si>
  <si>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</si>
  <si>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</si>
  <si>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</si>
  <si>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</si>
  <si>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</si>
  <si>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031-822-0000</t>
  </si>
  <si>
    <t>천안 교육장</t>
  </si>
  <si>
    <t>김미려</t>
  </si>
  <si>
    <t>02-111-2225</t>
  </si>
  <si>
    <t>010-111-1234</t>
  </si>
  <si>
    <t>ddd@gilbut.co.kr</t>
  </si>
  <si>
    <t>2014-005</t>
  </si>
  <si>
    <t>2014-005</t>
    <phoneticPr fontId="1" type="noConversion"/>
  </si>
  <si>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</si>
  <si>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</si>
  <si>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</si>
  <si>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</si>
  <si>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</si>
  <si>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</si>
  <si>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</si>
  <si>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</si>
  <si>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</si>
  <si>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</si>
  <si>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</si>
  <si>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</si>
  <si>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</si>
  <si>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</si>
  <si>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</si>
  <si>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</si>
  <si>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</si>
  <si>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</si>
  <si>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</si>
  <si>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</si>
  <si>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</si>
  <si>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</si>
  <si>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</si>
  <si>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</si>
  <si>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t>
    <phoneticPr fontId="1" type="noConversion"/>
  </si>
  <si>
    <t>**</t>
    <phoneticPr fontId="1" type="noConversion"/>
  </si>
  <si>
    <t>동서석유화학㈜</t>
  </si>
  <si>
    <t>010-111-1111</t>
    <phoneticPr fontId="1" type="noConversion"/>
  </si>
  <si>
    <t>aaa@gilbut.co.kr</t>
    <phoneticPr fontId="1" type="noConversion"/>
  </si>
  <si>
    <t>2014-001</t>
    <phoneticPr fontId="1" type="noConversion"/>
  </si>
  <si>
    <t>장미가족의 내맘대로 포토샵</t>
  </si>
  <si>
    <t>정유진</t>
    <phoneticPr fontId="1" type="noConversion"/>
  </si>
  <si>
    <t>02-111-2222</t>
    <phoneticPr fontId="1" type="noConversion"/>
  </si>
  <si>
    <t>2014-006</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</si>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</sst>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8" fillId="0" borderId="0" xfId="0" applyFont="1" applyBorder="1" applyAlignment="1">
      <alignment horizontal="center" vertical="center" wrapText="1"/>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Font="1" applyBorder="1" applyAlignment="1">
      <alignment horizontal="left" vertical="center"/>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21" fillId="0" borderId="0" xfId="0" applyFont="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10" fillId="12" borderId="0" xfId="0" applyFont="1" applyFill="1" applyAlignment="1">
      <alignment horizontal="lef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macro="[0]!sb견적찾기">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3</xdr:row>
          <xdr:rowOff>95250</xdr:rowOff>
        </xdr:from>
        <xdr:to>
          <xdr:col>14</xdr:col>
          <xdr:colOff>19050</xdr:colOff>
          <xdr:row>4</xdr:row>
          <xdr:rowOff>266700</xdr:rowOff>
        </xdr:to>
        <xdr:sp macro="" textlink="">
          <xdr:nvSpPr>
            <xdr:cNvPr id="2053" name="cmd삭제"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276225</xdr:rowOff>
        </xdr:from>
        <xdr:to>
          <xdr:col>14</xdr:col>
          <xdr:colOff>19050</xdr:colOff>
          <xdr:row>6</xdr:row>
          <xdr:rowOff>219075</xdr:rowOff>
        </xdr:to>
        <xdr:sp macro="" textlink="">
          <xdr:nvSpPr>
            <xdr:cNvPr id="2054" name="cmd저장"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14</xdr:col>
          <xdr:colOff>19050</xdr:colOff>
          <xdr:row>8</xdr:row>
          <xdr:rowOff>76200</xdr:rowOff>
        </xdr:to>
        <xdr:sp macro="" textlink="">
          <xdr:nvSpPr>
            <xdr:cNvPr id="2055" name="cmd신규"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xdr:row>
          <xdr:rowOff>171450</xdr:rowOff>
        </xdr:from>
        <xdr:to>
          <xdr:col>14</xdr:col>
          <xdr:colOff>276225</xdr:colOff>
          <xdr:row>3</xdr:row>
          <xdr:rowOff>0</xdr:rowOff>
        </xdr:to>
        <xdr:sp macro="" textlink="">
          <xdr:nvSpPr>
            <xdr:cNvPr id="2056" name="cmd시트보호"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autoFilter ref="B5:H30">
    <filterColumn colId="0">
      <filters>
        <filter val="2014-006"/>
      </filters>
    </filterColumn>
  </autoFilter>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drawing" Target="../drawings/drawing2.xml"/><Relationship Id="rId7" Type="http://schemas.openxmlformats.org/officeDocument/2006/relationships/control" Target="../activeX/activeX2.xml"/><Relationship Id="rId12" Type="http://schemas.openxmlformats.org/officeDocument/2006/relationships/image" Target="../media/image9.emf"/><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 Id="rId6" Type="http://schemas.openxmlformats.org/officeDocument/2006/relationships/image" Target="../media/image6.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8.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80" activePane="bottomLeft" state="frozen"/>
      <selection activeCell="M57" sqref="M57"/>
      <selection pane="bottomLeft" activeCell="A80" sqref="A80"/>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485</v>
      </c>
    </row>
    <row r="4" spans="2:19" ht="24.75" customHeight="1" x14ac:dyDescent="0.3">
      <c r="B4" s="112" t="s">
        <v>486</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487</v>
      </c>
      <c r="D6" s="114"/>
      <c r="E6" s="114"/>
      <c r="F6" s="114"/>
      <c r="G6" s="114"/>
      <c r="H6" s="114"/>
      <c r="I6" s="114"/>
      <c r="J6" s="114"/>
      <c r="K6" s="114"/>
      <c r="L6" s="114"/>
      <c r="M6" s="114"/>
      <c r="N6" s="114"/>
      <c r="O6" s="114"/>
      <c r="P6" s="114"/>
      <c r="Q6" s="114"/>
      <c r="R6" s="114"/>
      <c r="S6" s="114"/>
    </row>
    <row r="7" spans="2:19" x14ac:dyDescent="0.3">
      <c r="B7" s="114"/>
      <c r="D7" s="115" t="s">
        <v>488</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489</v>
      </c>
      <c r="D46" s="115"/>
      <c r="E46" s="114"/>
      <c r="F46" s="114"/>
      <c r="G46" s="114"/>
      <c r="H46" s="114"/>
      <c r="I46" s="114"/>
      <c r="J46" s="114"/>
      <c r="K46" s="114"/>
      <c r="L46" s="114"/>
      <c r="M46" s="114"/>
      <c r="N46" s="114"/>
      <c r="O46" s="114"/>
      <c r="P46" s="114"/>
      <c r="Q46" s="114"/>
      <c r="R46" s="114"/>
      <c r="S46" s="114"/>
    </row>
    <row r="47" spans="2:19" x14ac:dyDescent="0.3">
      <c r="B47" s="114"/>
      <c r="D47" s="115" t="s">
        <v>490</v>
      </c>
      <c r="E47" s="114"/>
      <c r="F47" s="114"/>
      <c r="G47" s="114"/>
      <c r="H47" s="114"/>
      <c r="I47" s="114"/>
      <c r="J47" s="114"/>
      <c r="K47" s="114"/>
      <c r="L47" s="114"/>
      <c r="M47" s="114"/>
      <c r="N47" s="114"/>
      <c r="O47" s="114"/>
      <c r="P47" s="114"/>
      <c r="Q47" s="114"/>
      <c r="R47" s="114"/>
      <c r="S47" s="114"/>
    </row>
    <row r="48" spans="2:19" x14ac:dyDescent="0.3">
      <c r="B48" s="114"/>
      <c r="D48" s="115" t="s">
        <v>491</v>
      </c>
      <c r="E48" s="114"/>
      <c r="F48" s="114"/>
      <c r="G48" s="114"/>
      <c r="H48" s="114"/>
      <c r="I48" s="114"/>
      <c r="J48" s="114"/>
      <c r="K48" s="114"/>
      <c r="L48" s="114"/>
      <c r="M48" s="114"/>
      <c r="N48" s="114"/>
      <c r="O48" s="114"/>
      <c r="P48" s="114"/>
      <c r="Q48" s="114"/>
      <c r="R48" s="114"/>
      <c r="S48" s="114"/>
    </row>
    <row r="49" spans="2:19" x14ac:dyDescent="0.3">
      <c r="B49" s="114"/>
      <c r="D49" s="115" t="s">
        <v>492</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493</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494</v>
      </c>
      <c r="D82" s="114"/>
      <c r="E82" s="114"/>
      <c r="F82" s="114"/>
      <c r="G82" s="114"/>
      <c r="H82" s="114"/>
      <c r="I82" s="114"/>
      <c r="J82" s="114"/>
      <c r="K82" s="114"/>
      <c r="L82" s="114"/>
      <c r="M82" s="114"/>
      <c r="N82" s="114"/>
      <c r="O82" s="114"/>
      <c r="P82" s="114"/>
      <c r="Q82" s="114"/>
      <c r="R82" s="114"/>
    </row>
    <row r="83" spans="3:18" ht="13.5" customHeight="1" x14ac:dyDescent="0.3">
      <c r="D83" s="115" t="s">
        <v>495</v>
      </c>
      <c r="E83" s="114"/>
      <c r="F83" s="114"/>
      <c r="G83" s="114"/>
      <c r="H83" s="114"/>
      <c r="I83" s="114"/>
      <c r="J83" s="114"/>
      <c r="K83" s="114"/>
      <c r="L83" s="114"/>
      <c r="M83" s="114"/>
      <c r="N83" s="114"/>
      <c r="O83" s="114"/>
      <c r="P83" s="114"/>
      <c r="Q83" s="114"/>
      <c r="R83" s="114"/>
    </row>
    <row r="84" spans="3:18" ht="13.5" customHeight="1" x14ac:dyDescent="0.3">
      <c r="C84" s="114"/>
      <c r="D84" s="115" t="s">
        <v>496</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497</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498</v>
      </c>
    </row>
    <row r="119" spans="3:18" customFormat="1" ht="16.5" x14ac:dyDescent="0.3">
      <c r="C119" s="111"/>
      <c r="D119" s="125" t="s">
        <v>499</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500</v>
      </c>
      <c r="D140" s="114"/>
      <c r="E140" s="114"/>
      <c r="F140" s="114"/>
      <c r="G140" s="114"/>
      <c r="H140" s="114"/>
      <c r="I140" s="114"/>
      <c r="J140" s="114"/>
      <c r="K140" s="114"/>
      <c r="L140" s="114"/>
      <c r="M140" s="114"/>
      <c r="N140" s="114"/>
      <c r="O140" s="114"/>
      <c r="P140" s="114"/>
      <c r="Q140" s="114"/>
      <c r="R140" s="114"/>
    </row>
    <row r="141" spans="3:18" x14ac:dyDescent="0.3">
      <c r="D141" s="115" t="s">
        <v>501</v>
      </c>
      <c r="E141" s="114"/>
      <c r="F141" s="114"/>
      <c r="G141" s="114"/>
      <c r="H141" s="114"/>
      <c r="I141" s="114"/>
      <c r="J141" s="114"/>
      <c r="K141" s="114"/>
      <c r="L141" s="114"/>
      <c r="M141" s="114"/>
      <c r="N141" s="114"/>
      <c r="O141" s="114"/>
      <c r="P141" s="114"/>
      <c r="Q141" s="114"/>
      <c r="R141" s="114"/>
    </row>
    <row r="142" spans="3:18" x14ac:dyDescent="0.3">
      <c r="C142" s="114"/>
      <c r="D142" s="114" t="s">
        <v>502</v>
      </c>
      <c r="E142" s="114"/>
      <c r="F142" s="114"/>
      <c r="G142" s="114"/>
      <c r="H142" s="114"/>
      <c r="I142" s="114"/>
      <c r="J142" s="114"/>
      <c r="K142" s="114"/>
      <c r="L142" s="114"/>
      <c r="M142" s="114"/>
      <c r="N142" s="114"/>
      <c r="O142" s="114"/>
      <c r="P142" s="114"/>
      <c r="Q142" s="114"/>
      <c r="R142" s="114"/>
    </row>
    <row r="143" spans="3:18" x14ac:dyDescent="0.3">
      <c r="C143" s="114"/>
      <c r="D143" s="114" t="s">
        <v>503</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504</v>
      </c>
    </row>
    <row r="184" spans="2:18" ht="7.5" customHeight="1" x14ac:dyDescent="0.3">
      <c r="D184" s="114"/>
      <c r="E184" s="114"/>
      <c r="F184" s="114"/>
      <c r="G184" s="114"/>
      <c r="H184" s="114"/>
      <c r="I184" s="114"/>
      <c r="J184" s="114"/>
      <c r="K184" s="114"/>
    </row>
    <row r="185" spans="2:18" ht="16.5" x14ac:dyDescent="0.3">
      <c r="C185" s="113" t="s">
        <v>505</v>
      </c>
      <c r="D185" s="114"/>
      <c r="E185" s="114"/>
      <c r="F185" s="114"/>
      <c r="G185" s="114"/>
      <c r="H185" s="114"/>
      <c r="I185" s="114"/>
      <c r="J185" s="114"/>
      <c r="K185" s="114"/>
    </row>
    <row r="186" spans="2:18" x14ac:dyDescent="0.3">
      <c r="D186" s="114" t="s">
        <v>506</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507</v>
      </c>
      <c r="E188" s="157"/>
      <c r="F188" s="144" t="s">
        <v>508</v>
      </c>
      <c r="G188" s="145"/>
      <c r="H188" s="145"/>
      <c r="I188" s="145"/>
      <c r="J188" s="145"/>
      <c r="K188" s="146"/>
    </row>
    <row r="189" spans="2:18" ht="28.5" customHeight="1" x14ac:dyDescent="0.3">
      <c r="D189" s="156" t="s">
        <v>509</v>
      </c>
      <c r="E189" s="156"/>
      <c r="F189" s="141" t="s">
        <v>510</v>
      </c>
      <c r="G189" s="142"/>
      <c r="H189" s="142"/>
      <c r="I189" s="142"/>
      <c r="J189" s="142"/>
      <c r="K189" s="142"/>
    </row>
    <row r="190" spans="2:18" ht="31.5" customHeight="1" x14ac:dyDescent="0.3">
      <c r="D190" s="156" t="s">
        <v>511</v>
      </c>
      <c r="E190" s="156"/>
      <c r="F190" s="141" t="s">
        <v>512</v>
      </c>
      <c r="G190" s="142"/>
      <c r="H190" s="142"/>
      <c r="I190" s="142"/>
      <c r="J190" s="142"/>
      <c r="K190" s="142"/>
    </row>
    <row r="191" spans="2:18" ht="29.25" customHeight="1" x14ac:dyDescent="0.3">
      <c r="D191" s="156" t="s">
        <v>513</v>
      </c>
      <c r="E191" s="156"/>
      <c r="F191" s="141" t="s">
        <v>514</v>
      </c>
      <c r="G191" s="142"/>
      <c r="H191" s="142"/>
      <c r="I191" s="142"/>
      <c r="J191" s="142"/>
      <c r="K191" s="142"/>
    </row>
    <row r="192" spans="2:18" ht="27.75" customHeight="1" x14ac:dyDescent="0.3">
      <c r="D192" s="156" t="s">
        <v>515</v>
      </c>
      <c r="E192" s="156"/>
      <c r="F192" s="141" t="s">
        <v>516</v>
      </c>
      <c r="G192" s="142"/>
      <c r="H192" s="142"/>
      <c r="I192" s="142"/>
      <c r="J192" s="142"/>
      <c r="K192" s="142"/>
    </row>
    <row r="193" spans="3:14" ht="27.75" customHeight="1" x14ac:dyDescent="0.3">
      <c r="D193" s="156" t="s">
        <v>517</v>
      </c>
      <c r="E193" s="156"/>
      <c r="F193" s="141" t="s">
        <v>518</v>
      </c>
      <c r="G193" s="142"/>
      <c r="H193" s="142"/>
      <c r="I193" s="142"/>
      <c r="J193" s="142"/>
      <c r="K193" s="142"/>
    </row>
    <row r="194" spans="3:14" ht="30.75" customHeight="1" x14ac:dyDescent="0.3">
      <c r="D194" s="140" t="s">
        <v>519</v>
      </c>
      <c r="E194" s="140"/>
      <c r="F194" s="141" t="s">
        <v>520</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521</v>
      </c>
      <c r="D197" s="114"/>
      <c r="E197" s="114"/>
      <c r="F197" s="114"/>
      <c r="G197" s="114"/>
      <c r="H197" s="114"/>
      <c r="I197" s="114"/>
      <c r="J197" s="114"/>
      <c r="K197" s="114"/>
    </row>
    <row r="198" spans="3:14" x14ac:dyDescent="0.3">
      <c r="D198" s="114" t="s">
        <v>522</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523</v>
      </c>
      <c r="E200" s="143"/>
      <c r="F200" s="143"/>
      <c r="G200" s="144" t="s">
        <v>524</v>
      </c>
      <c r="H200" s="145"/>
      <c r="I200" s="145"/>
      <c r="J200" s="146"/>
      <c r="K200" s="143" t="s">
        <v>525</v>
      </c>
      <c r="L200" s="143"/>
      <c r="M200" s="143"/>
      <c r="N200" s="143"/>
    </row>
    <row r="201" spans="3:14" ht="16.5" x14ac:dyDescent="0.3">
      <c r="D201" s="136" t="s">
        <v>393</v>
      </c>
      <c r="E201" s="136"/>
      <c r="F201" s="136"/>
      <c r="G201" s="137" t="s">
        <v>394</v>
      </c>
      <c r="H201" s="138"/>
      <c r="I201" s="138"/>
      <c r="J201" s="139"/>
      <c r="K201" s="147" t="s">
        <v>526</v>
      </c>
      <c r="L201" s="148"/>
      <c r="M201" s="148"/>
      <c r="N201" s="149"/>
    </row>
    <row r="202" spans="3:14" ht="16.5" x14ac:dyDescent="0.3">
      <c r="D202" s="136" t="s">
        <v>395</v>
      </c>
      <c r="E202" s="136"/>
      <c r="F202" s="136"/>
      <c r="G202" s="137" t="s">
        <v>396</v>
      </c>
      <c r="H202" s="138"/>
      <c r="I202" s="138"/>
      <c r="J202" s="139"/>
      <c r="K202" s="150"/>
      <c r="L202" s="151"/>
      <c r="M202" s="151"/>
      <c r="N202" s="152"/>
    </row>
    <row r="203" spans="3:14" ht="16.5" x14ac:dyDescent="0.3">
      <c r="D203" s="136" t="s">
        <v>397</v>
      </c>
      <c r="E203" s="136"/>
      <c r="F203" s="136"/>
      <c r="G203" s="137" t="s">
        <v>398</v>
      </c>
      <c r="H203" s="138"/>
      <c r="I203" s="138"/>
      <c r="J203" s="139"/>
      <c r="K203" s="150"/>
      <c r="L203" s="151"/>
      <c r="M203" s="151"/>
      <c r="N203" s="152"/>
    </row>
    <row r="204" spans="3:14" ht="16.5" x14ac:dyDescent="0.3">
      <c r="D204" s="136" t="s">
        <v>399</v>
      </c>
      <c r="E204" s="136"/>
      <c r="F204" s="136"/>
      <c r="G204" s="137" t="s">
        <v>400</v>
      </c>
      <c r="H204" s="138"/>
      <c r="I204" s="138"/>
      <c r="J204" s="139"/>
      <c r="K204" s="150"/>
      <c r="L204" s="151"/>
      <c r="M204" s="151"/>
      <c r="N204" s="152"/>
    </row>
    <row r="205" spans="3:14" ht="16.5" x14ac:dyDescent="0.3">
      <c r="D205" s="136" t="s">
        <v>401</v>
      </c>
      <c r="E205" s="136"/>
      <c r="F205" s="136"/>
      <c r="G205" s="137" t="s">
        <v>402</v>
      </c>
      <c r="H205" s="138"/>
      <c r="I205" s="138"/>
      <c r="J205" s="139"/>
      <c r="K205" s="150"/>
      <c r="L205" s="151"/>
      <c r="M205" s="151"/>
      <c r="N205" s="152"/>
    </row>
    <row r="206" spans="3:14" ht="16.5" x14ac:dyDescent="0.3">
      <c r="D206" s="136" t="s">
        <v>403</v>
      </c>
      <c r="E206" s="136"/>
      <c r="F206" s="136"/>
      <c r="G206" s="137" t="s">
        <v>404</v>
      </c>
      <c r="H206" s="138"/>
      <c r="I206" s="138"/>
      <c r="J206" s="139"/>
      <c r="K206" s="150"/>
      <c r="L206" s="151"/>
      <c r="M206" s="151"/>
      <c r="N206" s="152"/>
    </row>
    <row r="207" spans="3:14" ht="16.5" x14ac:dyDescent="0.3">
      <c r="D207" s="136" t="s">
        <v>405</v>
      </c>
      <c r="E207" s="136"/>
      <c r="F207" s="136"/>
      <c r="G207" s="137" t="s">
        <v>406</v>
      </c>
      <c r="H207" s="138"/>
      <c r="I207" s="138"/>
      <c r="J207" s="139"/>
      <c r="K207" s="150"/>
      <c r="L207" s="151"/>
      <c r="M207" s="151"/>
      <c r="N207" s="152"/>
    </row>
    <row r="208" spans="3:14" ht="16.5" x14ac:dyDescent="0.3">
      <c r="D208" s="136" t="s">
        <v>407</v>
      </c>
      <c r="E208" s="136"/>
      <c r="F208" s="136"/>
      <c r="G208" s="137" t="s">
        <v>408</v>
      </c>
      <c r="H208" s="138"/>
      <c r="I208" s="138"/>
      <c r="J208" s="139"/>
      <c r="K208" s="150"/>
      <c r="L208" s="151"/>
      <c r="M208" s="151"/>
      <c r="N208" s="152"/>
    </row>
    <row r="209" spans="4:14" ht="16.5" x14ac:dyDescent="0.3">
      <c r="D209" s="136" t="s">
        <v>409</v>
      </c>
      <c r="E209" s="136"/>
      <c r="F209" s="136"/>
      <c r="G209" s="137" t="s">
        <v>410</v>
      </c>
      <c r="H209" s="138"/>
      <c r="I209" s="138"/>
      <c r="J209" s="139"/>
      <c r="K209" s="150"/>
      <c r="L209" s="151"/>
      <c r="M209" s="151"/>
      <c r="N209" s="152"/>
    </row>
    <row r="210" spans="4:14" ht="16.5" x14ac:dyDescent="0.3">
      <c r="D210" s="136" t="s">
        <v>411</v>
      </c>
      <c r="E210" s="136"/>
      <c r="F210" s="136"/>
      <c r="G210" s="137" t="s">
        <v>412</v>
      </c>
      <c r="H210" s="138"/>
      <c r="I210" s="138"/>
      <c r="J210" s="139"/>
      <c r="K210" s="150"/>
      <c r="L210" s="151"/>
      <c r="M210" s="151"/>
      <c r="N210" s="152"/>
    </row>
    <row r="211" spans="4:14" ht="16.5" x14ac:dyDescent="0.3">
      <c r="D211" s="136" t="s">
        <v>413</v>
      </c>
      <c r="E211" s="136"/>
      <c r="F211" s="136"/>
      <c r="G211" s="137" t="s">
        <v>414</v>
      </c>
      <c r="H211" s="138"/>
      <c r="I211" s="138"/>
      <c r="J211" s="139"/>
      <c r="K211" s="150"/>
      <c r="L211" s="151"/>
      <c r="M211" s="151"/>
      <c r="N211" s="152"/>
    </row>
    <row r="212" spans="4:14" ht="16.5" x14ac:dyDescent="0.3">
      <c r="D212" s="136" t="s">
        <v>415</v>
      </c>
      <c r="E212" s="136"/>
      <c r="F212" s="136"/>
      <c r="G212" s="137" t="s">
        <v>416</v>
      </c>
      <c r="H212" s="138"/>
      <c r="I212" s="138"/>
      <c r="J212" s="139"/>
      <c r="K212" s="150"/>
      <c r="L212" s="151"/>
      <c r="M212" s="151"/>
      <c r="N212" s="152"/>
    </row>
    <row r="213" spans="4:14" ht="16.5" x14ac:dyDescent="0.3">
      <c r="D213" s="136" t="s">
        <v>417</v>
      </c>
      <c r="E213" s="136"/>
      <c r="F213" s="136"/>
      <c r="G213" s="137" t="s">
        <v>418</v>
      </c>
      <c r="H213" s="138"/>
      <c r="I213" s="138"/>
      <c r="J213" s="139"/>
      <c r="K213" s="150"/>
      <c r="L213" s="151"/>
      <c r="M213" s="151"/>
      <c r="N213" s="152"/>
    </row>
    <row r="214" spans="4:14" ht="16.5" x14ac:dyDescent="0.3">
      <c r="D214" s="136" t="s">
        <v>419</v>
      </c>
      <c r="E214" s="136"/>
      <c r="F214" s="136"/>
      <c r="G214" s="137" t="s">
        <v>420</v>
      </c>
      <c r="H214" s="138"/>
      <c r="I214" s="138"/>
      <c r="J214" s="139"/>
      <c r="K214" s="150"/>
      <c r="L214" s="151"/>
      <c r="M214" s="151"/>
      <c r="N214" s="152"/>
    </row>
    <row r="215" spans="4:14" ht="16.5" x14ac:dyDescent="0.3">
      <c r="D215" s="136" t="s">
        <v>421</v>
      </c>
      <c r="E215" s="136"/>
      <c r="F215" s="136"/>
      <c r="G215" s="137" t="s">
        <v>422</v>
      </c>
      <c r="H215" s="138"/>
      <c r="I215" s="138"/>
      <c r="J215" s="139"/>
      <c r="K215" s="150"/>
      <c r="L215" s="151"/>
      <c r="M215" s="151"/>
      <c r="N215" s="152"/>
    </row>
    <row r="216" spans="4:14" ht="16.5" x14ac:dyDescent="0.3">
      <c r="D216" s="136" t="s">
        <v>423</v>
      </c>
      <c r="E216" s="136"/>
      <c r="F216" s="136"/>
      <c r="G216" s="137" t="s">
        <v>424</v>
      </c>
      <c r="H216" s="138"/>
      <c r="I216" s="138"/>
      <c r="J216" s="139"/>
      <c r="K216" s="153"/>
      <c r="L216" s="154"/>
      <c r="M216" s="154"/>
      <c r="N216" s="155"/>
    </row>
    <row r="217" spans="4:14" ht="51" customHeight="1" x14ac:dyDescent="0.3">
      <c r="D217" s="131" t="s">
        <v>425</v>
      </c>
      <c r="E217" s="131"/>
      <c r="F217" s="131"/>
      <c r="G217" s="132" t="s">
        <v>426</v>
      </c>
      <c r="H217" s="133"/>
      <c r="I217" s="133"/>
      <c r="J217" s="134"/>
      <c r="K217" s="135" t="s">
        <v>527</v>
      </c>
      <c r="L217" s="135"/>
      <c r="M217" s="135"/>
      <c r="N217" s="135"/>
    </row>
    <row r="218" spans="4:14" ht="16.5" x14ac:dyDescent="0.3">
      <c r="D218" s="131" t="s">
        <v>427</v>
      </c>
      <c r="E218" s="131"/>
      <c r="F218" s="131"/>
      <c r="G218" s="132" t="s">
        <v>428</v>
      </c>
      <c r="H218" s="133"/>
      <c r="I218" s="133"/>
      <c r="J218" s="134"/>
      <c r="K218" s="135" t="s">
        <v>528</v>
      </c>
      <c r="L218" s="135"/>
      <c r="M218" s="135"/>
      <c r="N218" s="135"/>
    </row>
    <row r="219" spans="4:14" ht="16.5" x14ac:dyDescent="0.3">
      <c r="D219" s="131" t="s">
        <v>429</v>
      </c>
      <c r="E219" s="131"/>
      <c r="F219" s="131"/>
      <c r="G219" s="132" t="s">
        <v>430</v>
      </c>
      <c r="H219" s="133"/>
      <c r="I219" s="133"/>
      <c r="J219" s="134"/>
      <c r="K219" s="135" t="s">
        <v>529</v>
      </c>
      <c r="L219" s="135"/>
      <c r="M219" s="135"/>
      <c r="N219" s="135"/>
    </row>
    <row r="220" spans="4:14" ht="16.5" x14ac:dyDescent="0.3">
      <c r="D220" s="131" t="s">
        <v>431</v>
      </c>
      <c r="E220" s="131"/>
      <c r="F220" s="131"/>
      <c r="G220" s="132" t="s">
        <v>432</v>
      </c>
      <c r="H220" s="133"/>
      <c r="I220" s="133"/>
      <c r="J220" s="134"/>
      <c r="K220" s="135" t="s">
        <v>530</v>
      </c>
      <c r="L220" s="135"/>
      <c r="M220" s="135"/>
      <c r="N220" s="135"/>
    </row>
    <row r="221" spans="4:14" ht="16.5" x14ac:dyDescent="0.3">
      <c r="D221" s="131" t="s">
        <v>433</v>
      </c>
      <c r="E221" s="131"/>
      <c r="F221" s="131"/>
      <c r="G221" s="132" t="s">
        <v>434</v>
      </c>
      <c r="H221" s="133"/>
      <c r="I221" s="133"/>
      <c r="J221" s="134"/>
      <c r="K221" s="135" t="s">
        <v>531</v>
      </c>
      <c r="L221" s="135"/>
      <c r="M221" s="135"/>
      <c r="N221" s="135"/>
    </row>
    <row r="222" spans="4:14" ht="16.5" x14ac:dyDescent="0.3">
      <c r="D222" s="131" t="s">
        <v>435</v>
      </c>
      <c r="E222" s="131"/>
      <c r="F222" s="131"/>
      <c r="G222" s="132" t="s">
        <v>436</v>
      </c>
      <c r="H222" s="133"/>
      <c r="I222" s="133"/>
      <c r="J222" s="134"/>
      <c r="K222" s="135" t="s">
        <v>532</v>
      </c>
      <c r="L222" s="135"/>
      <c r="M222" s="135"/>
      <c r="N222" s="135"/>
    </row>
    <row r="223" spans="4:14" ht="16.5" x14ac:dyDescent="0.3">
      <c r="D223" s="131" t="s">
        <v>437</v>
      </c>
      <c r="E223" s="131"/>
      <c r="F223" s="131"/>
      <c r="G223" s="132" t="s">
        <v>438</v>
      </c>
      <c r="H223" s="133"/>
      <c r="I223" s="133"/>
      <c r="J223" s="134"/>
      <c r="K223" s="135" t="s">
        <v>533</v>
      </c>
      <c r="L223" s="135"/>
      <c r="M223" s="135"/>
      <c r="N223" s="135"/>
    </row>
    <row r="224" spans="4:14" ht="16.5" x14ac:dyDescent="0.3">
      <c r="D224" s="126" t="s">
        <v>534</v>
      </c>
      <c r="E224" s="126"/>
      <c r="F224" s="126"/>
      <c r="G224" s="127" t="s">
        <v>535</v>
      </c>
      <c r="H224" s="128"/>
      <c r="I224" s="128"/>
      <c r="J224" s="129"/>
      <c r="K224" s="130" t="s">
        <v>536</v>
      </c>
      <c r="L224" s="130"/>
      <c r="M224" s="130"/>
      <c r="N224" s="130"/>
    </row>
    <row r="225" spans="3:18" ht="16.5" x14ac:dyDescent="0.3">
      <c r="D225" s="126" t="s">
        <v>537</v>
      </c>
      <c r="E225" s="126"/>
      <c r="F225" s="126"/>
      <c r="G225" s="127" t="s">
        <v>535</v>
      </c>
      <c r="H225" s="128"/>
      <c r="I225" s="128"/>
      <c r="J225" s="129"/>
      <c r="K225" s="130" t="s">
        <v>538</v>
      </c>
      <c r="L225" s="130"/>
      <c r="M225" s="130"/>
      <c r="N225" s="130"/>
    </row>
    <row r="226" spans="3:18" ht="16.5" x14ac:dyDescent="0.3">
      <c r="D226" s="126" t="s">
        <v>539</v>
      </c>
      <c r="E226" s="126"/>
      <c r="F226" s="126"/>
      <c r="G226" s="127" t="s">
        <v>535</v>
      </c>
      <c r="H226" s="128"/>
      <c r="I226" s="128"/>
      <c r="J226" s="129"/>
      <c r="K226" s="130" t="s">
        <v>540</v>
      </c>
      <c r="L226" s="130"/>
      <c r="M226" s="130"/>
      <c r="N226" s="130"/>
    </row>
    <row r="227" spans="3:18" ht="16.5" x14ac:dyDescent="0.3">
      <c r="D227" s="126" t="s">
        <v>541</v>
      </c>
      <c r="E227" s="126"/>
      <c r="F227" s="126"/>
      <c r="G227" s="127" t="s">
        <v>535</v>
      </c>
      <c r="H227" s="128"/>
      <c r="I227" s="128"/>
      <c r="J227" s="129"/>
      <c r="K227" s="130" t="s">
        <v>542</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219" t="str">
        <f>IF(COUNTIF(tbl견적서발급[문서번호],nmD_문서번호)=0,"신규등록","수정")</f>
        <v>신규등록</v>
      </c>
      <c r="D1" s="219"/>
      <c r="E1" s="219"/>
      <c r="F1" s="219"/>
      <c r="G1" s="219"/>
      <c r="H1" s="219"/>
      <c r="I1" s="219"/>
      <c r="J1" s="219"/>
      <c r="K1" s="219"/>
    </row>
    <row r="2" spans="2:26" ht="15" customHeight="1" x14ac:dyDescent="0.25">
      <c r="I2" s="172" t="s">
        <v>266</v>
      </c>
      <c r="J2" s="172"/>
      <c r="K2" s="105" t="s">
        <v>484</v>
      </c>
    </row>
    <row r="3" spans="2:26" ht="37.5" customHeight="1" x14ac:dyDescent="0.7">
      <c r="C3" s="173" t="s">
        <v>6</v>
      </c>
      <c r="D3" s="173"/>
      <c r="E3" s="173"/>
      <c r="F3" s="173"/>
      <c r="G3" s="173"/>
      <c r="H3" s="173"/>
      <c r="I3" s="173"/>
      <c r="J3" s="173"/>
      <c r="K3" s="173"/>
    </row>
    <row r="4" spans="2:26" s="3" customFormat="1" ht="12" customHeight="1" x14ac:dyDescent="0.3">
      <c r="B4" s="85" t="s">
        <v>239</v>
      </c>
      <c r="C4" s="174"/>
      <c r="D4" s="174"/>
      <c r="E4" s="174"/>
      <c r="F4" s="174"/>
      <c r="G4" s="174"/>
      <c r="H4" s="174"/>
      <c r="I4" s="174"/>
      <c r="J4" s="174"/>
      <c r="K4" s="174"/>
      <c r="L4" s="4"/>
      <c r="M4" s="4"/>
      <c r="N4" s="4"/>
      <c r="O4" s="4"/>
      <c r="P4" s="4"/>
      <c r="Q4" s="4"/>
      <c r="R4" s="4"/>
      <c r="S4" s="4"/>
      <c r="T4" s="4"/>
      <c r="U4" s="4"/>
      <c r="V4" s="4"/>
      <c r="W4" s="4"/>
      <c r="X4" s="4"/>
      <c r="Y4" s="4"/>
    </row>
    <row r="5" spans="2:26" ht="22.5" customHeight="1" x14ac:dyDescent="0.3">
      <c r="B5" s="86"/>
      <c r="C5" s="220"/>
      <c r="D5" s="220"/>
      <c r="E5" s="220"/>
      <c r="F5" s="94" t="s">
        <v>7</v>
      </c>
      <c r="G5" s="96"/>
      <c r="H5" s="175" t="s">
        <v>270</v>
      </c>
      <c r="I5" s="175"/>
      <c r="J5" s="175"/>
      <c r="K5" s="175"/>
      <c r="L5" s="4"/>
      <c r="M5" s="4"/>
      <c r="N5" s="4"/>
      <c r="O5" s="4"/>
      <c r="P5" s="4"/>
      <c r="Q5" s="4"/>
      <c r="R5" s="4"/>
      <c r="S5" s="4"/>
      <c r="T5" s="4"/>
      <c r="U5" s="4"/>
      <c r="V5" s="4"/>
      <c r="W5" s="4"/>
      <c r="X5" s="4"/>
      <c r="Y5" s="4"/>
    </row>
    <row r="6" spans="2:26" ht="8.25" customHeight="1" thickBot="1" x14ac:dyDescent="0.35">
      <c r="C6"/>
      <c r="D6"/>
      <c r="E6"/>
      <c r="F6"/>
      <c r="G6" s="96"/>
      <c r="H6" s="98"/>
      <c r="I6" s="98"/>
      <c r="J6" s="192"/>
      <c r="K6" s="192"/>
      <c r="L6" s="4"/>
      <c r="M6" s="4"/>
      <c r="N6" s="4"/>
      <c r="O6" s="4"/>
      <c r="P6" s="4"/>
      <c r="Q6" s="4"/>
      <c r="R6" s="4"/>
      <c r="S6" s="4"/>
      <c r="T6" s="4"/>
      <c r="U6" s="4"/>
      <c r="V6" s="4"/>
      <c r="W6" s="4"/>
      <c r="X6" s="4"/>
      <c r="Y6" s="4"/>
      <c r="Z6" s="3"/>
    </row>
    <row r="7" spans="2:26" ht="18" customHeight="1" x14ac:dyDescent="0.3">
      <c r="C7" s="180" t="s">
        <v>10</v>
      </c>
      <c r="D7" s="181"/>
      <c r="E7" s="182"/>
      <c r="F7" s="183"/>
      <c r="G7" s="97"/>
      <c r="H7" s="184" t="s">
        <v>271</v>
      </c>
      <c r="I7" s="184"/>
      <c r="J7" s="184"/>
      <c r="K7" s="184"/>
      <c r="L7" s="4"/>
      <c r="M7" s="4"/>
      <c r="N7" s="4"/>
      <c r="O7" s="4"/>
      <c r="P7" s="4"/>
      <c r="Q7" s="4"/>
      <c r="R7" s="4"/>
      <c r="S7" s="3"/>
      <c r="T7" s="3"/>
      <c r="U7" s="3"/>
      <c r="V7" s="3"/>
      <c r="W7" s="4"/>
      <c r="X7" s="4"/>
      <c r="Y7" s="4"/>
      <c r="Z7" s="3"/>
    </row>
    <row r="8" spans="2:26" ht="18" customHeight="1" x14ac:dyDescent="0.3">
      <c r="C8" s="190" t="s">
        <v>268</v>
      </c>
      <c r="D8" s="191"/>
      <c r="E8" s="195"/>
      <c r="F8" s="196"/>
      <c r="G8" s="97"/>
      <c r="H8" s="184" t="s">
        <v>272</v>
      </c>
      <c r="I8" s="184"/>
      <c r="J8" s="184"/>
      <c r="K8" s="184"/>
      <c r="L8" s="5"/>
      <c r="M8" s="4"/>
      <c r="N8" s="4"/>
      <c r="O8" s="4"/>
      <c r="P8" s="4"/>
      <c r="Q8" s="4"/>
      <c r="R8" s="4"/>
      <c r="S8" s="4"/>
      <c r="T8" s="4"/>
      <c r="U8" s="4"/>
      <c r="V8" s="4"/>
      <c r="W8" s="4"/>
      <c r="X8" s="4"/>
      <c r="Y8" s="4"/>
      <c r="Z8" s="3"/>
    </row>
    <row r="9" spans="2:26" ht="18" customHeight="1" thickBot="1" x14ac:dyDescent="0.35">
      <c r="C9" s="193" t="s">
        <v>269</v>
      </c>
      <c r="D9" s="194"/>
      <c r="E9" s="197"/>
      <c r="F9" s="198"/>
      <c r="G9" s="97"/>
      <c r="H9" s="185" t="s">
        <v>273</v>
      </c>
      <c r="I9" s="185"/>
      <c r="J9" s="185"/>
      <c r="K9" s="185"/>
      <c r="L9" s="5"/>
      <c r="M9" s="87"/>
      <c r="N9" s="87"/>
      <c r="O9" s="87"/>
      <c r="P9" s="87"/>
      <c r="Q9" s="87"/>
      <c r="R9" s="87"/>
      <c r="S9" s="87"/>
      <c r="T9" s="87"/>
      <c r="U9" s="87"/>
      <c r="V9" s="87"/>
      <c r="W9" s="87"/>
      <c r="X9" s="87"/>
      <c r="Y9" s="87"/>
      <c r="Z9" s="3"/>
    </row>
    <row r="10" spans="2:26" ht="5.25" customHeight="1" thickBot="1" x14ac:dyDescent="0.35">
      <c r="G10" s="96"/>
      <c r="H10" s="186"/>
      <c r="I10" s="186"/>
      <c r="J10" s="186"/>
      <c r="K10" s="186"/>
      <c r="L10" s="4"/>
      <c r="M10" s="4"/>
      <c r="N10" s="4"/>
      <c r="O10" s="4"/>
      <c r="P10" s="4"/>
      <c r="Q10" s="4"/>
      <c r="R10" s="4"/>
      <c r="S10" s="6"/>
      <c r="T10" s="4"/>
      <c r="U10" s="4"/>
      <c r="V10" s="4"/>
      <c r="W10" s="4"/>
      <c r="X10" s="4"/>
      <c r="Y10" s="4"/>
      <c r="Z10" s="3"/>
    </row>
    <row r="11" spans="2:26" ht="18" customHeight="1" thickBot="1" x14ac:dyDescent="0.35">
      <c r="C11" s="189" t="s">
        <v>8</v>
      </c>
      <c r="D11" s="189"/>
      <c r="E11" s="189"/>
      <c r="F11" s="189"/>
      <c r="G11" s="4"/>
      <c r="H11" s="93" t="s">
        <v>10</v>
      </c>
      <c r="I11" s="187" t="s">
        <v>482</v>
      </c>
      <c r="J11" s="187"/>
      <c r="K11" s="188"/>
      <c r="L11" s="4"/>
      <c r="M11" s="4"/>
      <c r="N11" s="4"/>
      <c r="O11" s="4"/>
      <c r="P11" s="4"/>
      <c r="Q11" s="4"/>
      <c r="R11" s="4"/>
      <c r="S11" s="6"/>
      <c r="T11" s="4"/>
      <c r="U11" s="4"/>
      <c r="V11" s="4"/>
      <c r="W11" s="4"/>
      <c r="X11" s="4"/>
      <c r="Y11" s="4"/>
      <c r="Z11" s="3"/>
    </row>
    <row r="12" spans="2:26" ht="18" customHeight="1" x14ac:dyDescent="0.3">
      <c r="C12" s="176" t="s">
        <v>3</v>
      </c>
      <c r="D12" s="177"/>
      <c r="E12" s="178"/>
      <c r="F12" s="179"/>
      <c r="H12" s="204" t="s">
        <v>268</v>
      </c>
      <c r="I12" s="202" t="s">
        <v>483</v>
      </c>
      <c r="J12" s="202"/>
      <c r="K12" s="203"/>
      <c r="L12" s="4"/>
      <c r="M12" s="4"/>
      <c r="N12" s="4"/>
      <c r="O12" s="4"/>
      <c r="P12" s="4"/>
      <c r="Q12" s="4"/>
      <c r="R12" s="4"/>
      <c r="S12" s="6"/>
      <c r="T12" s="4"/>
      <c r="U12" s="4"/>
      <c r="V12" s="4"/>
      <c r="W12" s="4"/>
      <c r="X12" s="4"/>
      <c r="Y12" s="4"/>
      <c r="Z12" s="3"/>
    </row>
    <row r="13" spans="2:26" ht="18" customHeight="1" x14ac:dyDescent="0.3">
      <c r="C13" s="217" t="s">
        <v>9</v>
      </c>
      <c r="D13" s="218"/>
      <c r="E13" s="215"/>
      <c r="F13" s="216"/>
      <c r="H13" s="205"/>
      <c r="I13" s="215" t="s">
        <v>478</v>
      </c>
      <c r="J13" s="215"/>
      <c r="K13" s="216"/>
      <c r="L13" s="4"/>
      <c r="M13" s="4"/>
      <c r="N13" s="4"/>
      <c r="O13" s="4"/>
      <c r="P13" s="4"/>
      <c r="Q13" s="4"/>
      <c r="R13" s="4"/>
      <c r="S13" s="6"/>
      <c r="T13" s="4"/>
      <c r="U13" s="4"/>
      <c r="V13" s="4"/>
      <c r="W13" s="158"/>
      <c r="X13" s="158"/>
      <c r="Y13" s="158"/>
      <c r="Z13" s="3"/>
    </row>
    <row r="14" spans="2:26" ht="18" customHeight="1" thickBot="1" x14ac:dyDescent="0.35">
      <c r="C14" s="211" t="s">
        <v>1</v>
      </c>
      <c r="D14" s="212"/>
      <c r="E14" s="213"/>
      <c r="F14" s="214"/>
      <c r="H14" s="99" t="s">
        <v>269</v>
      </c>
      <c r="I14" s="206" t="s">
        <v>479</v>
      </c>
      <c r="J14" s="207"/>
      <c r="K14" s="208"/>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163" t="s">
        <v>275</v>
      </c>
      <c r="D16" s="164"/>
      <c r="E16" s="221" t="str">
        <f>"一金" &amp; NUMBERSTRING($I$16,1) &amp; "원정"</f>
        <v>一金영원정</v>
      </c>
      <c r="F16" s="222"/>
      <c r="G16" s="222"/>
      <c r="H16" s="222"/>
      <c r="I16" s="165">
        <f>SUM(H18:J32)</f>
        <v>0</v>
      </c>
      <c r="J16" s="165"/>
      <c r="K16" s="166"/>
      <c r="M16" s="4"/>
      <c r="N16" s="4"/>
      <c r="O16" s="4"/>
      <c r="P16" s="4"/>
      <c r="Q16" s="4"/>
      <c r="R16" s="4"/>
      <c r="S16" s="4"/>
      <c r="T16" s="4"/>
      <c r="U16" s="4"/>
      <c r="V16" s="4"/>
      <c r="W16" s="4"/>
      <c r="X16" s="4"/>
      <c r="Y16" s="4"/>
      <c r="Z16" s="3"/>
    </row>
    <row r="17" spans="1:26" ht="21" customHeight="1" x14ac:dyDescent="0.3">
      <c r="A17" s="7"/>
      <c r="B17" s="122" t="s">
        <v>263</v>
      </c>
      <c r="C17" s="106" t="s">
        <v>28</v>
      </c>
      <c r="D17" s="169" t="s">
        <v>262</v>
      </c>
      <c r="E17" s="168"/>
      <c r="F17" s="107" t="s">
        <v>11</v>
      </c>
      <c r="G17" s="107" t="s">
        <v>12</v>
      </c>
      <c r="H17" s="107" t="s">
        <v>4</v>
      </c>
      <c r="I17" s="167" t="s">
        <v>5</v>
      </c>
      <c r="J17" s="168"/>
      <c r="K17" s="95" t="s">
        <v>13</v>
      </c>
      <c r="L17" s="4"/>
      <c r="M17" s="4"/>
      <c r="N17" s="4"/>
      <c r="O17" s="4"/>
      <c r="P17" s="4"/>
      <c r="Q17" s="4"/>
      <c r="R17" s="4"/>
      <c r="S17" s="4"/>
      <c r="T17" s="4"/>
      <c r="U17" s="4"/>
      <c r="V17" s="4"/>
      <c r="W17" s="4"/>
      <c r="X17" s="4"/>
      <c r="Y17" s="4"/>
      <c r="Z17" s="3"/>
    </row>
    <row r="18" spans="1:26" ht="18" customHeight="1" x14ac:dyDescent="0.3">
      <c r="B18" s="123"/>
      <c r="C18" s="103" t="str">
        <f>IF(D18="","",COUNTA($D$18:E18))</f>
        <v/>
      </c>
      <c r="D18" s="170" t="str">
        <f>IFERROR(INDEX(tbl제품[품목],MATCH(Main!B18,tbl제품[품목코드],0)),"")</f>
        <v/>
      </c>
      <c r="E18" s="171"/>
      <c r="F18" s="101"/>
      <c r="G18" s="104" t="str">
        <f>IFERROR(INDEX(tbl제품[단가],MATCH(Main!B18,tbl제품[품목코드],0)),"")</f>
        <v/>
      </c>
      <c r="H18" s="104" t="str">
        <f t="shared" ref="H18:H32" si="0">IFERROR(IF(F18="","",F18*G18),"")</f>
        <v/>
      </c>
      <c r="I18" s="159" t="str">
        <f t="shared" ref="I18:I32" si="1">IF(F18="","",H18*10%)</f>
        <v/>
      </c>
      <c r="J18" s="160"/>
      <c r="K18" s="102"/>
      <c r="L18" s="4"/>
      <c r="M18" s="4"/>
      <c r="N18" s="4"/>
      <c r="O18" s="4"/>
      <c r="P18" s="4"/>
      <c r="Q18" s="4"/>
      <c r="R18" s="4"/>
      <c r="S18" s="4"/>
      <c r="T18" s="4"/>
      <c r="U18" s="4"/>
      <c r="V18" s="4"/>
      <c r="W18" s="4"/>
      <c r="X18" s="4"/>
      <c r="Y18" s="4"/>
      <c r="Z18" s="3"/>
    </row>
    <row r="19" spans="1:26" ht="18" customHeight="1" x14ac:dyDescent="0.3">
      <c r="B19" s="123"/>
      <c r="C19" s="103" t="str">
        <f>IF(D19="","",COUNTA($D$18:E19))</f>
        <v/>
      </c>
      <c r="D19" s="170" t="str">
        <f>IFERROR(INDEX(tbl제품[품목],MATCH(Main!B19,tbl제품[품목코드],0)),"")</f>
        <v/>
      </c>
      <c r="E19" s="171"/>
      <c r="F19" s="101"/>
      <c r="G19" s="104" t="str">
        <f>IFERROR(INDEX(tbl제품[단가],MATCH(Main!B19,tbl제품[품목코드],0)),"")</f>
        <v/>
      </c>
      <c r="H19" s="104" t="str">
        <f t="shared" ref="H19:H23" si="2">IFERROR(IF(F19="","",F19*G19),"")</f>
        <v/>
      </c>
      <c r="I19" s="159" t="str">
        <f t="shared" ref="I19:I23" si="3">IF(F19="","",H19*10%)</f>
        <v/>
      </c>
      <c r="J19" s="160"/>
      <c r="K19" s="102"/>
      <c r="L19" s="108"/>
      <c r="M19" s="108"/>
      <c r="N19" s="108"/>
      <c r="O19" s="108"/>
      <c r="P19" s="108"/>
      <c r="Q19" s="108"/>
      <c r="R19" s="108"/>
      <c r="S19" s="108"/>
      <c r="T19" s="108"/>
      <c r="U19" s="108"/>
      <c r="V19" s="108"/>
      <c r="W19" s="108"/>
      <c r="X19" s="108"/>
      <c r="Y19" s="108"/>
      <c r="Z19" s="3"/>
    </row>
    <row r="20" spans="1:26" ht="18" customHeight="1" x14ac:dyDescent="0.3">
      <c r="B20" s="123"/>
      <c r="C20" s="103" t="str">
        <f>IF(D20="","",COUNTA($D$18:E20))</f>
        <v/>
      </c>
      <c r="D20" s="170" t="str">
        <f>IFERROR(INDEX(tbl제품[품목],MATCH(Main!B20,tbl제품[품목코드],0)),"")</f>
        <v/>
      </c>
      <c r="E20" s="171"/>
      <c r="F20" s="101"/>
      <c r="G20" s="104" t="str">
        <f>IFERROR(INDEX(tbl제품[단가],MATCH(Main!B20,tbl제품[품목코드],0)),"")</f>
        <v/>
      </c>
      <c r="H20" s="104" t="str">
        <f t="shared" si="2"/>
        <v/>
      </c>
      <c r="I20" s="159" t="str">
        <f t="shared" si="3"/>
        <v/>
      </c>
      <c r="J20" s="160"/>
      <c r="K20" s="102"/>
      <c r="L20" s="108"/>
      <c r="M20" s="108"/>
      <c r="N20" s="108"/>
      <c r="O20" s="108"/>
      <c r="P20" s="108"/>
      <c r="Q20" s="108"/>
      <c r="R20" s="108"/>
      <c r="S20" s="108"/>
      <c r="T20" s="108"/>
      <c r="U20" s="108"/>
      <c r="V20" s="108"/>
      <c r="W20" s="108"/>
      <c r="X20" s="108"/>
      <c r="Y20" s="108"/>
      <c r="Z20" s="3"/>
    </row>
    <row r="21" spans="1:26" ht="18" customHeight="1" x14ac:dyDescent="0.3">
      <c r="B21" s="123"/>
      <c r="C21" s="103" t="str">
        <f>IF(D21="","",COUNTA($D$18:E21))</f>
        <v/>
      </c>
      <c r="D21" s="170" t="str">
        <f>IFERROR(INDEX(tbl제품[품목],MATCH(Main!B21,tbl제품[품목코드],0)),"")</f>
        <v/>
      </c>
      <c r="E21" s="171"/>
      <c r="F21" s="101"/>
      <c r="G21" s="104" t="str">
        <f>IFERROR(INDEX(tbl제품[단가],MATCH(Main!B21,tbl제품[품목코드],0)),"")</f>
        <v/>
      </c>
      <c r="H21" s="104" t="str">
        <f t="shared" si="2"/>
        <v/>
      </c>
      <c r="I21" s="159" t="str">
        <f t="shared" si="3"/>
        <v/>
      </c>
      <c r="J21" s="160"/>
      <c r="K21" s="102"/>
      <c r="L21" s="108"/>
      <c r="M21" s="108"/>
      <c r="N21" s="108"/>
      <c r="O21" s="108"/>
      <c r="P21" s="108"/>
      <c r="Q21" s="108"/>
      <c r="R21" s="108"/>
      <c r="S21" s="108"/>
      <c r="T21" s="108"/>
      <c r="U21" s="108"/>
      <c r="V21" s="108"/>
      <c r="W21" s="108"/>
      <c r="X21" s="108"/>
      <c r="Y21" s="108"/>
      <c r="Z21" s="3"/>
    </row>
    <row r="22" spans="1:26" ht="18" customHeight="1" x14ac:dyDescent="0.3">
      <c r="B22" s="123"/>
      <c r="C22" s="103" t="str">
        <f>IF(D22="","",COUNTA($D$18:E22))</f>
        <v/>
      </c>
      <c r="D22" s="170" t="str">
        <f>IFERROR(INDEX(tbl제품[품목],MATCH(Main!B22,tbl제품[품목코드],0)),"")</f>
        <v/>
      </c>
      <c r="E22" s="171"/>
      <c r="F22" s="101"/>
      <c r="G22" s="104" t="str">
        <f>IFERROR(INDEX(tbl제품[단가],MATCH(Main!B22,tbl제품[품목코드],0)),"")</f>
        <v/>
      </c>
      <c r="H22" s="104" t="str">
        <f t="shared" si="2"/>
        <v/>
      </c>
      <c r="I22" s="159" t="str">
        <f t="shared" si="3"/>
        <v/>
      </c>
      <c r="J22" s="160"/>
      <c r="K22" s="102"/>
      <c r="L22" s="108"/>
      <c r="M22" s="108"/>
      <c r="N22" s="108"/>
      <c r="O22" s="108"/>
      <c r="P22" s="108"/>
      <c r="Q22" s="108"/>
      <c r="R22" s="108"/>
      <c r="S22" s="108"/>
      <c r="T22" s="108"/>
      <c r="U22" s="108"/>
      <c r="V22" s="108"/>
      <c r="W22" s="108"/>
      <c r="X22" s="108"/>
      <c r="Y22" s="108"/>
      <c r="Z22" s="3"/>
    </row>
    <row r="23" spans="1:26" ht="18" customHeight="1" x14ac:dyDescent="0.3">
      <c r="B23" s="123"/>
      <c r="C23" s="103" t="str">
        <f>IF(D23="","",COUNTA($D$18:E23))</f>
        <v/>
      </c>
      <c r="D23" s="170" t="str">
        <f>IFERROR(INDEX(tbl제품[품목],MATCH(Main!B23,tbl제품[품목코드],0)),"")</f>
        <v/>
      </c>
      <c r="E23" s="171"/>
      <c r="F23" s="101"/>
      <c r="G23" s="104" t="str">
        <f>IFERROR(INDEX(tbl제품[단가],MATCH(Main!B23,tbl제품[품목코드],0)),"")</f>
        <v/>
      </c>
      <c r="H23" s="104" t="str">
        <f t="shared" si="2"/>
        <v/>
      </c>
      <c r="I23" s="159" t="str">
        <f t="shared" si="3"/>
        <v/>
      </c>
      <c r="J23" s="160"/>
      <c r="K23" s="102"/>
      <c r="L23" s="108"/>
      <c r="M23" s="108"/>
      <c r="N23" s="108"/>
      <c r="O23" s="108"/>
      <c r="P23" s="108"/>
      <c r="Q23" s="108"/>
      <c r="R23" s="108"/>
      <c r="S23" s="108"/>
      <c r="T23" s="108"/>
      <c r="U23" s="108"/>
      <c r="V23" s="108"/>
      <c r="W23" s="108"/>
      <c r="X23" s="108"/>
      <c r="Y23" s="108"/>
      <c r="Z23" s="3"/>
    </row>
    <row r="24" spans="1:26" ht="18" customHeight="1" x14ac:dyDescent="0.3">
      <c r="B24" s="123"/>
      <c r="C24" s="103" t="str">
        <f>IF(D24="","",COUNTA($D$18:E24))</f>
        <v/>
      </c>
      <c r="D24" s="170" t="str">
        <f>IFERROR(INDEX(tbl제품[품목],MATCH(Main!B24,tbl제품[품목코드],0)),"")</f>
        <v/>
      </c>
      <c r="E24" s="171"/>
      <c r="F24" s="101"/>
      <c r="G24" s="104" t="str">
        <f>IFERROR(INDEX(tbl제품[단가],MATCH(Main!B24,tbl제품[품목코드],0)),"")</f>
        <v/>
      </c>
      <c r="H24" s="104" t="str">
        <f t="shared" ref="H24:H31" si="4">IFERROR(IF(F24="","",F24*G24),"")</f>
        <v/>
      </c>
      <c r="I24" s="159" t="str">
        <f t="shared" ref="I24:I31" si="5">IF(F24="","",H24*10%)</f>
        <v/>
      </c>
      <c r="J24" s="160"/>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70" t="str">
        <f>IFERROR(INDEX(tbl제품[품목],MATCH(Main!B25,tbl제품[품목코드],0)),"")</f>
        <v/>
      </c>
      <c r="E25" s="171"/>
      <c r="F25" s="101"/>
      <c r="G25" s="104" t="str">
        <f>IFERROR(INDEX(tbl제품[단가],MATCH(Main!B25,tbl제품[품목코드],0)),"")</f>
        <v/>
      </c>
      <c r="H25" s="104" t="str">
        <f t="shared" si="4"/>
        <v/>
      </c>
      <c r="I25" s="159" t="str">
        <f t="shared" si="5"/>
        <v/>
      </c>
      <c r="J25" s="160"/>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70" t="str">
        <f>IFERROR(INDEX(tbl제품[품목],MATCH(Main!B26,tbl제품[품목코드],0)),"")</f>
        <v/>
      </c>
      <c r="E26" s="171"/>
      <c r="F26" s="101"/>
      <c r="G26" s="104" t="str">
        <f>IFERROR(INDEX(tbl제품[단가],MATCH(Main!B26,tbl제품[품목코드],0)),"")</f>
        <v/>
      </c>
      <c r="H26" s="104" t="str">
        <f t="shared" si="4"/>
        <v/>
      </c>
      <c r="I26" s="159" t="str">
        <f t="shared" si="5"/>
        <v/>
      </c>
      <c r="J26" s="160"/>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70" t="str">
        <f>IFERROR(INDEX(tbl제품[품목],MATCH(Main!B27,tbl제품[품목코드],0)),"")</f>
        <v/>
      </c>
      <c r="E27" s="171"/>
      <c r="F27" s="101"/>
      <c r="G27" s="104" t="str">
        <f>IFERROR(INDEX(tbl제품[단가],MATCH(Main!B27,tbl제품[품목코드],0)),"")</f>
        <v/>
      </c>
      <c r="H27" s="104" t="str">
        <f t="shared" si="4"/>
        <v/>
      </c>
      <c r="I27" s="159" t="str">
        <f t="shared" si="5"/>
        <v/>
      </c>
      <c r="J27" s="160"/>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70" t="str">
        <f>IFERROR(INDEX(tbl제품[품목],MATCH(Main!B28,tbl제품[품목코드],0)),"")</f>
        <v/>
      </c>
      <c r="E28" s="171"/>
      <c r="F28" s="101"/>
      <c r="G28" s="104" t="str">
        <f>IFERROR(INDEX(tbl제품[단가],MATCH(Main!B28,tbl제품[품목코드],0)),"")</f>
        <v/>
      </c>
      <c r="H28" s="104" t="str">
        <f t="shared" si="4"/>
        <v/>
      </c>
      <c r="I28" s="159" t="str">
        <f t="shared" si="5"/>
        <v/>
      </c>
      <c r="J28" s="160"/>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70" t="str">
        <f>IFERROR(INDEX(tbl제품[품목],MATCH(Main!B29,tbl제품[품목코드],0)),"")</f>
        <v/>
      </c>
      <c r="E29" s="171"/>
      <c r="F29" s="101"/>
      <c r="G29" s="104" t="str">
        <f>IFERROR(INDEX(tbl제품[단가],MATCH(Main!B29,tbl제품[품목코드],0)),"")</f>
        <v/>
      </c>
      <c r="H29" s="104" t="str">
        <f t="shared" si="4"/>
        <v/>
      </c>
      <c r="I29" s="159" t="str">
        <f t="shared" si="5"/>
        <v/>
      </c>
      <c r="J29" s="160"/>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70" t="str">
        <f>IFERROR(INDEX(tbl제품[품목],MATCH(Main!B30,tbl제품[품목코드],0)),"")</f>
        <v/>
      </c>
      <c r="E30" s="171"/>
      <c r="F30" s="101"/>
      <c r="G30" s="104" t="str">
        <f>IFERROR(INDEX(tbl제품[단가],MATCH(Main!B30,tbl제품[품목코드],0)),"")</f>
        <v/>
      </c>
      <c r="H30" s="104" t="str">
        <f t="shared" si="4"/>
        <v/>
      </c>
      <c r="I30" s="159" t="str">
        <f t="shared" si="5"/>
        <v/>
      </c>
      <c r="J30" s="160"/>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70" t="str">
        <f>IFERROR(INDEX(tbl제품[품목],MATCH(Main!B31,tbl제품[품목코드],0)),"")</f>
        <v/>
      </c>
      <c r="E31" s="171"/>
      <c r="F31" s="101"/>
      <c r="G31" s="104" t="str">
        <f>IFERROR(INDEX(tbl제품[단가],MATCH(Main!B31,tbl제품[품목코드],0)),"")</f>
        <v/>
      </c>
      <c r="H31" s="104" t="str">
        <f t="shared" si="4"/>
        <v/>
      </c>
      <c r="I31" s="159" t="str">
        <f t="shared" si="5"/>
        <v/>
      </c>
      <c r="J31" s="160"/>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209" t="str">
        <f>IFERROR(INDEX(tbl제품[품목],MATCH(Main!B32,tbl제품[품목코드],0)),"")</f>
        <v/>
      </c>
      <c r="E32" s="210"/>
      <c r="F32" s="119"/>
      <c r="G32" s="120" t="str">
        <f>IFERROR(INDEX(tbl제품[단가],MATCH(Main!B32,tbl제품[품목코드],0)),"")</f>
        <v/>
      </c>
      <c r="H32" s="120" t="str">
        <f t="shared" si="0"/>
        <v/>
      </c>
      <c r="I32" s="161" t="str">
        <f t="shared" si="1"/>
        <v/>
      </c>
      <c r="J32" s="162"/>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99"/>
      <c r="D35" s="200"/>
      <c r="E35" s="200"/>
      <c r="F35" s="200"/>
      <c r="G35" s="200"/>
      <c r="H35" s="200"/>
      <c r="I35" s="200"/>
      <c r="J35" s="200"/>
      <c r="K35" s="201"/>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J6:K6"/>
    <mergeCell ref="H7:K7"/>
    <mergeCell ref="I25:J25"/>
    <mergeCell ref="D19:E19"/>
    <mergeCell ref="C9:D9"/>
    <mergeCell ref="E8:F8"/>
    <mergeCell ref="E9:F9"/>
    <mergeCell ref="I19:J19"/>
    <mergeCell ref="D23:E23"/>
    <mergeCell ref="I23:J23"/>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W13:Y13"/>
    <mergeCell ref="I18:J18"/>
    <mergeCell ref="I32:J32"/>
    <mergeCell ref="C16:D16"/>
    <mergeCell ref="I16:K16"/>
    <mergeCell ref="I17:J17"/>
    <mergeCell ref="D17:E17"/>
    <mergeCell ref="D18:E18"/>
  </mergeCells>
  <phoneticPr fontId="1" type="noConversion"/>
  <conditionalFormatting sqref="C1:K1">
    <cfRule type="cellIs" dxfId="53" priority="1" operator="equal">
      <formula>"신규등록"</formula>
    </cfRule>
  </conditionalFormatting>
  <dataValidations disablePrompts="1" count="1">
    <dataValidation type="list" allowBlank="1" showInputMessage="1" showErrorMessage="1" sqref="B18:B33">
      <formula1>INDIRECT("tbl제품[품목코드]")</formula1>
    </dataValidation>
  </dataValidations>
  <hyperlinks>
    <hyperlink ref="I14" r:id="rId1" display="ddd@gilbut.co.kr"/>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legacyDrawing r:id="rId4"/>
  <controls>
    <mc:AlternateContent xmlns:mc="http://schemas.openxmlformats.org/markup-compatibility/2006">
      <mc:Choice Requires="x14">
        <control shapeId="2056" r:id="rId5" name="cmd시트보호">
          <controlPr defaultSize="0" autoLine="0" r:id="rId6">
            <anchor moveWithCells="1">
              <from>
                <xdr:col>12</xdr:col>
                <xdr:colOff>9525</xdr:colOff>
                <xdr:row>2</xdr:row>
                <xdr:rowOff>171450</xdr:rowOff>
              </from>
              <to>
                <xdr:col>14</xdr:col>
                <xdr:colOff>276225</xdr:colOff>
                <xdr:row>3</xdr:row>
                <xdr:rowOff>0</xdr:rowOff>
              </to>
            </anchor>
          </controlPr>
        </control>
      </mc:Choice>
      <mc:Fallback>
        <control shapeId="2056" r:id="rId5" name="cmd시트보호"/>
      </mc:Fallback>
    </mc:AlternateContent>
    <mc:AlternateContent xmlns:mc="http://schemas.openxmlformats.org/markup-compatibility/2006">
      <mc:Choice Requires="x14">
        <control shapeId="2055" r:id="rId7" name="cmd신규">
          <controlPr defaultSize="0" autoLine="0" r:id="rId8">
            <anchor moveWithCells="1">
              <from>
                <xdr:col>12</xdr:col>
                <xdr:colOff>0</xdr:colOff>
                <xdr:row>7</xdr:row>
                <xdr:rowOff>0</xdr:rowOff>
              </from>
              <to>
                <xdr:col>14</xdr:col>
                <xdr:colOff>19050</xdr:colOff>
                <xdr:row>8</xdr:row>
                <xdr:rowOff>76200</xdr:rowOff>
              </to>
            </anchor>
          </controlPr>
        </control>
      </mc:Choice>
      <mc:Fallback>
        <control shapeId="2055" r:id="rId7" name="cmd신규"/>
      </mc:Fallback>
    </mc:AlternateContent>
    <mc:AlternateContent xmlns:mc="http://schemas.openxmlformats.org/markup-compatibility/2006">
      <mc:Choice Requires="x14">
        <control shapeId="2054" r:id="rId9" name="cmd저장">
          <controlPr defaultSize="0" autoLine="0" r:id="rId10">
            <anchor moveWithCells="1">
              <from>
                <xdr:col>12</xdr:col>
                <xdr:colOff>0</xdr:colOff>
                <xdr:row>4</xdr:row>
                <xdr:rowOff>276225</xdr:rowOff>
              </from>
              <to>
                <xdr:col>14</xdr:col>
                <xdr:colOff>19050</xdr:colOff>
                <xdr:row>6</xdr:row>
                <xdr:rowOff>219075</xdr:rowOff>
              </to>
            </anchor>
          </controlPr>
        </control>
      </mc:Choice>
      <mc:Fallback>
        <control shapeId="2054" r:id="rId9" name="cmd저장"/>
      </mc:Fallback>
    </mc:AlternateContent>
    <mc:AlternateContent xmlns:mc="http://schemas.openxmlformats.org/markup-compatibility/2006">
      <mc:Choice Requires="x14">
        <control shapeId="2053" r:id="rId11" name="cmd삭제">
          <controlPr defaultSize="0" autoLine="0" r:id="rId12">
            <anchor moveWithCells="1">
              <from>
                <xdr:col>12</xdr:col>
                <xdr:colOff>0</xdr:colOff>
                <xdr:row>3</xdr:row>
                <xdr:rowOff>95250</xdr:rowOff>
              </from>
              <to>
                <xdr:col>14</xdr:col>
                <xdr:colOff>19050</xdr:colOff>
                <xdr:row>4</xdr:row>
                <xdr:rowOff>266700</xdr:rowOff>
              </to>
            </anchor>
          </controlPr>
        </control>
      </mc:Choice>
      <mc:Fallback>
        <control shapeId="2053" r:id="rId11" name="cmd삭제"/>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469</v>
      </c>
      <c r="C8" s="43">
        <v>15</v>
      </c>
      <c r="D8" s="42" t="s">
        <v>470</v>
      </c>
      <c r="E8" s="27" t="s">
        <v>471</v>
      </c>
      <c r="F8" s="27" t="s">
        <v>472</v>
      </c>
      <c r="G8" s="100" t="s">
        <v>473</v>
      </c>
      <c r="H8" s="49">
        <v>41961</v>
      </c>
      <c r="I8" s="49">
        <v>41969</v>
      </c>
      <c r="J8" s="43" t="s">
        <v>474</v>
      </c>
      <c r="K8" s="28">
        <v>2765400</v>
      </c>
      <c r="L8" s="28" t="s">
        <v>465</v>
      </c>
      <c r="M8" s="28" t="s">
        <v>467</v>
      </c>
      <c r="N8" s="28" t="s">
        <v>466</v>
      </c>
      <c r="O8" t="s">
        <v>468</v>
      </c>
      <c r="P8" s="27"/>
      <c r="Q8" s="14"/>
      <c r="R8" s="14"/>
    </row>
    <row r="9" spans="1:18" x14ac:dyDescent="0.3">
      <c r="B9" s="43" t="s">
        <v>392</v>
      </c>
      <c r="C9" s="43">
        <v>17</v>
      </c>
      <c r="D9" s="42" t="s">
        <v>22</v>
      </c>
      <c r="E9" s="27" t="s">
        <v>23</v>
      </c>
      <c r="F9" s="27" t="s">
        <v>443</v>
      </c>
      <c r="G9" s="100" t="s">
        <v>362</v>
      </c>
      <c r="H9" s="49">
        <v>41771</v>
      </c>
      <c r="I9" s="49">
        <v>41722</v>
      </c>
      <c r="J9" s="43" t="s">
        <v>444</v>
      </c>
      <c r="K9" s="28">
        <v>1233100</v>
      </c>
      <c r="L9" s="28" t="s">
        <v>445</v>
      </c>
      <c r="M9" s="28" t="s">
        <v>446</v>
      </c>
      <c r="N9" s="28" t="s">
        <v>447</v>
      </c>
      <c r="O9" s="28" t="s">
        <v>448</v>
      </c>
      <c r="P9" s="28"/>
    </row>
    <row r="10" spans="1:18" x14ac:dyDescent="0.3">
      <c r="B10" s="43" t="s">
        <v>455</v>
      </c>
      <c r="C10" s="43">
        <v>24</v>
      </c>
      <c r="D10" s="42" t="s">
        <v>456</v>
      </c>
      <c r="E10" s="27" t="s">
        <v>457</v>
      </c>
      <c r="F10" s="27" t="s">
        <v>458</v>
      </c>
      <c r="G10" s="100" t="s">
        <v>459</v>
      </c>
      <c r="H10" s="49">
        <v>41772</v>
      </c>
      <c r="I10" s="49">
        <v>41787</v>
      </c>
      <c r="J10" s="43" t="s">
        <v>460</v>
      </c>
      <c r="K10" s="28">
        <v>2789622</v>
      </c>
      <c r="L10" s="28" t="s">
        <v>461</v>
      </c>
      <c r="M10" s="28" t="s">
        <v>462</v>
      </c>
      <c r="N10" s="28" t="s">
        <v>463</v>
      </c>
      <c r="O10" s="28" t="s">
        <v>464</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hidden="1"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hidden="1"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hidden="1"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hidden="1"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hidden="1"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hidden="1"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hidden="1"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hidden="1"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hidden="1"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hidden="1"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hidden="1"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hidden="1"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hidden="1" x14ac:dyDescent="0.3">
      <c r="B18" s="43" t="s">
        <v>449</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454</v>
      </c>
    </row>
    <row r="19" spans="2:8" hidden="1" x14ac:dyDescent="0.3">
      <c r="B19" s="43" t="s">
        <v>449</v>
      </c>
      <c r="C19" s="43">
        <v>2</v>
      </c>
      <c r="D19" s="27" t="s">
        <v>442</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hidden="1" x14ac:dyDescent="0.3">
      <c r="B20" s="43" t="s">
        <v>449</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hidden="1" x14ac:dyDescent="0.3">
      <c r="B21" s="43" t="s">
        <v>449</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hidden="1" x14ac:dyDescent="0.3">
      <c r="B22" s="43" t="s">
        <v>449</v>
      </c>
      <c r="C22" s="43">
        <v>5</v>
      </c>
      <c r="D22" s="27" t="s">
        <v>451</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453</v>
      </c>
    </row>
    <row r="23" spans="2:8" hidden="1" x14ac:dyDescent="0.3">
      <c r="B23" s="43" t="s">
        <v>449</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hidden="1" x14ac:dyDescent="0.3">
      <c r="B24" s="43" t="s">
        <v>449</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hidden="1"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hidden="1"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hidden="1"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hidden="1"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hidden="1"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hidden="1"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452</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441</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439</v>
      </c>
      <c r="D29" s="46" t="s">
        <v>316</v>
      </c>
      <c r="E29" s="44" t="s">
        <v>102</v>
      </c>
      <c r="F29" s="44" t="s">
        <v>233</v>
      </c>
      <c r="G29" s="44" t="s">
        <v>92</v>
      </c>
      <c r="H29" s="47" t="s">
        <v>340</v>
      </c>
      <c r="I29" s="47" t="s">
        <v>369</v>
      </c>
      <c r="J29" s="46" t="s">
        <v>231</v>
      </c>
      <c r="K29" s="44" t="s">
        <v>440</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476</v>
      </c>
      <c r="E6" s="43" t="s">
        <v>276</v>
      </c>
      <c r="F6" s="43">
        <v>11</v>
      </c>
      <c r="G6" s="42" t="s">
        <v>477</v>
      </c>
      <c r="H6" s="27" t="s">
        <v>19</v>
      </c>
      <c r="I6" s="27" t="s">
        <v>20</v>
      </c>
      <c r="J6" s="100" t="s">
        <v>278</v>
      </c>
      <c r="K6" s="49">
        <v>41960</v>
      </c>
      <c r="L6" s="49">
        <v>41963</v>
      </c>
      <c r="M6" s="43" t="s">
        <v>21</v>
      </c>
      <c r="N6" s="28">
        <v>1416000</v>
      </c>
      <c r="O6" s="28" t="s">
        <v>286</v>
      </c>
      <c r="P6" s="28" t="s">
        <v>287</v>
      </c>
      <c r="Q6" s="28" t="s">
        <v>289</v>
      </c>
      <c r="R6" t="s">
        <v>291</v>
      </c>
      <c r="S6" s="27"/>
      <c r="U6" s="77" t="s">
        <v>480</v>
      </c>
      <c r="W6" s="43">
        <v>1</v>
      </c>
      <c r="X6" s="27" t="s">
        <v>32</v>
      </c>
      <c r="Y6" s="42" t="s">
        <v>379</v>
      </c>
      <c r="Z6" s="27">
        <v>10</v>
      </c>
      <c r="AA6" s="50">
        <v>18000</v>
      </c>
      <c r="AB6" s="27" t="s">
        <v>264</v>
      </c>
      <c r="AD6" s="75" t="s">
        <v>475</v>
      </c>
      <c r="AF6" s="52">
        <v>1</v>
      </c>
      <c r="AG6" s="53" t="s">
        <v>91</v>
      </c>
      <c r="AH6" s="54" t="s">
        <v>293</v>
      </c>
      <c r="AI6" s="53" t="s">
        <v>95</v>
      </c>
      <c r="AJ6" s="53" t="s">
        <v>96</v>
      </c>
      <c r="AK6" s="53" t="s">
        <v>97</v>
      </c>
      <c r="AL6" s="92" t="s">
        <v>318</v>
      </c>
      <c r="AM6" s="92" t="s">
        <v>346</v>
      </c>
    </row>
    <row r="7" spans="1:39" x14ac:dyDescent="0.3">
      <c r="E7" s="43" t="s">
        <v>277</v>
      </c>
      <c r="F7" s="43">
        <v>17</v>
      </c>
      <c r="G7" s="42" t="s">
        <v>22</v>
      </c>
      <c r="H7" s="27" t="s">
        <v>23</v>
      </c>
      <c r="I7" s="27" t="s">
        <v>24</v>
      </c>
      <c r="J7" s="100" t="s">
        <v>279</v>
      </c>
      <c r="K7" s="49">
        <v>41961</v>
      </c>
      <c r="L7" s="49">
        <v>41968</v>
      </c>
      <c r="M7" s="43" t="s">
        <v>25</v>
      </c>
      <c r="N7" s="28">
        <v>1720000</v>
      </c>
      <c r="O7" s="28" t="s">
        <v>281</v>
      </c>
      <c r="P7" s="28" t="s">
        <v>288</v>
      </c>
      <c r="Q7" s="28" t="s">
        <v>290</v>
      </c>
      <c r="R7" t="s">
        <v>292</v>
      </c>
      <c r="S7" s="27" t="s">
        <v>389</v>
      </c>
      <c r="W7" s="43">
        <v>2</v>
      </c>
      <c r="X7" s="27" t="s">
        <v>33</v>
      </c>
      <c r="Y7" s="42" t="s">
        <v>382</v>
      </c>
      <c r="Z7" s="27">
        <v>20</v>
      </c>
      <c r="AA7" s="50">
        <v>19800</v>
      </c>
      <c r="AB7" s="27"/>
      <c r="AF7" s="52">
        <v>2</v>
      </c>
      <c r="AG7" s="53" t="s">
        <v>98</v>
      </c>
      <c r="AH7" s="54" t="s">
        <v>294</v>
      </c>
      <c r="AI7" s="53" t="s">
        <v>102</v>
      </c>
      <c r="AJ7" s="53" t="s">
        <v>103</v>
      </c>
      <c r="AK7" s="53" t="s">
        <v>104</v>
      </c>
      <c r="AL7" s="92" t="s">
        <v>319</v>
      </c>
      <c r="AM7" s="92" t="s">
        <v>347</v>
      </c>
    </row>
    <row r="8" spans="1:39" x14ac:dyDescent="0.3">
      <c r="E8" s="43" t="s">
        <v>469</v>
      </c>
      <c r="F8" s="43">
        <v>15</v>
      </c>
      <c r="G8" s="42" t="s">
        <v>470</v>
      </c>
      <c r="H8" s="27" t="s">
        <v>471</v>
      </c>
      <c r="I8" s="27" t="s">
        <v>472</v>
      </c>
      <c r="J8" s="100" t="s">
        <v>473</v>
      </c>
      <c r="K8" s="49">
        <v>41961</v>
      </c>
      <c r="L8" s="49">
        <v>41969</v>
      </c>
      <c r="M8" s="43" t="s">
        <v>474</v>
      </c>
      <c r="N8" s="28">
        <v>2765400</v>
      </c>
      <c r="O8" s="28" t="s">
        <v>286</v>
      </c>
      <c r="P8" s="28" t="s">
        <v>287</v>
      </c>
      <c r="Q8" s="28" t="s">
        <v>466</v>
      </c>
      <c r="R8" t="s">
        <v>468</v>
      </c>
      <c r="S8" s="27"/>
      <c r="W8" s="43">
        <v>3</v>
      </c>
      <c r="X8" s="27" t="s">
        <v>34</v>
      </c>
      <c r="Y8" s="42" t="s">
        <v>481</v>
      </c>
      <c r="Z8" s="27">
        <v>10</v>
      </c>
      <c r="AA8" s="50">
        <v>25000</v>
      </c>
      <c r="AB8" s="27"/>
      <c r="AF8" s="52">
        <v>3</v>
      </c>
      <c r="AG8" s="53" t="s">
        <v>105</v>
      </c>
      <c r="AH8" s="54" t="s">
        <v>295</v>
      </c>
      <c r="AI8" s="53" t="s">
        <v>108</v>
      </c>
      <c r="AJ8" s="53" t="s">
        <v>109</v>
      </c>
      <c r="AK8" s="53" t="s">
        <v>110</v>
      </c>
      <c r="AL8" s="92" t="s">
        <v>320</v>
      </c>
      <c r="AM8" s="92" t="s">
        <v>348</v>
      </c>
    </row>
    <row r="9" spans="1:39" x14ac:dyDescent="0.3">
      <c r="E9" s="43" t="s">
        <v>392</v>
      </c>
      <c r="F9" s="43">
        <v>17</v>
      </c>
      <c r="G9" s="42" t="s">
        <v>22</v>
      </c>
      <c r="H9" s="27" t="s">
        <v>23</v>
      </c>
      <c r="I9" s="27" t="s">
        <v>443</v>
      </c>
      <c r="J9" s="100" t="s">
        <v>362</v>
      </c>
      <c r="K9" s="49">
        <v>41771</v>
      </c>
      <c r="L9" s="49">
        <v>41722</v>
      </c>
      <c r="M9" s="43" t="s">
        <v>444</v>
      </c>
      <c r="N9" s="28">
        <v>1233100</v>
      </c>
      <c r="O9" s="28" t="s">
        <v>445</v>
      </c>
      <c r="P9" s="28" t="s">
        <v>446</v>
      </c>
      <c r="Q9" s="28" t="s">
        <v>447</v>
      </c>
      <c r="R9" s="28" t="s">
        <v>448</v>
      </c>
      <c r="S9" s="28"/>
      <c r="W9" s="43">
        <v>4</v>
      </c>
      <c r="X9" s="27" t="s">
        <v>35</v>
      </c>
      <c r="Y9" s="42" t="s">
        <v>383</v>
      </c>
      <c r="Z9" s="27">
        <v>20</v>
      </c>
      <c r="AA9" s="50">
        <v>18000</v>
      </c>
      <c r="AB9" s="27"/>
      <c r="AF9" s="52">
        <v>4</v>
      </c>
      <c r="AG9" s="53" t="s">
        <v>111</v>
      </c>
      <c r="AH9" s="54" t="s">
        <v>296</v>
      </c>
      <c r="AI9" s="53" t="s">
        <v>115</v>
      </c>
      <c r="AJ9" s="53" t="s">
        <v>116</v>
      </c>
      <c r="AK9" s="53" t="s">
        <v>117</v>
      </c>
      <c r="AL9" s="92" t="s">
        <v>321</v>
      </c>
      <c r="AM9" s="92" t="s">
        <v>349</v>
      </c>
    </row>
    <row r="10" spans="1:39" x14ac:dyDescent="0.3">
      <c r="E10" s="43" t="s">
        <v>450</v>
      </c>
      <c r="F10" s="43">
        <v>24</v>
      </c>
      <c r="G10" s="42" t="s">
        <v>456</v>
      </c>
      <c r="H10" s="27" t="s">
        <v>457</v>
      </c>
      <c r="I10" s="27" t="s">
        <v>458</v>
      </c>
      <c r="J10" s="100" t="s">
        <v>459</v>
      </c>
      <c r="K10" s="49">
        <v>41772</v>
      </c>
      <c r="L10" s="49">
        <v>41787</v>
      </c>
      <c r="M10" s="43" t="s">
        <v>460</v>
      </c>
      <c r="N10" s="28">
        <v>2789622</v>
      </c>
      <c r="O10" s="28" t="s">
        <v>461</v>
      </c>
      <c r="P10" s="28" t="s">
        <v>462</v>
      </c>
      <c r="Q10" s="28" t="s">
        <v>463</v>
      </c>
      <c r="R10" s="28" t="s">
        <v>464</v>
      </c>
      <c r="S10" s="28"/>
      <c r="W10" s="43">
        <v>5</v>
      </c>
      <c r="X10" s="27" t="s">
        <v>36</v>
      </c>
      <c r="Y10" s="42" t="s">
        <v>374</v>
      </c>
      <c r="Z10" s="27">
        <v>10</v>
      </c>
      <c r="AA10" s="50">
        <v>23000</v>
      </c>
      <c r="AB10" s="27"/>
      <c r="AF10" s="52">
        <v>5</v>
      </c>
      <c r="AG10" s="53" t="s">
        <v>118</v>
      </c>
      <c r="AH10" s="54" t="s">
        <v>297</v>
      </c>
      <c r="AI10" s="53" t="s">
        <v>122</v>
      </c>
      <c r="AJ10" s="53" t="s">
        <v>123</v>
      </c>
      <c r="AK10" s="53" t="s">
        <v>124</v>
      </c>
      <c r="AL10" s="92" t="s">
        <v>345</v>
      </c>
      <c r="AM10" s="92" t="s">
        <v>350</v>
      </c>
    </row>
    <row r="11" spans="1:39" x14ac:dyDescent="0.3">
      <c r="W11" s="43"/>
      <c r="X11" s="27"/>
      <c r="Y11" s="42"/>
      <c r="Z11" s="27"/>
      <c r="AA11" s="50"/>
      <c r="AB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441</v>
      </c>
      <c r="AH28" s="55" t="s">
        <v>315</v>
      </c>
      <c r="AI28" s="53"/>
      <c r="AJ28" s="53"/>
      <c r="AK28" s="53" t="s">
        <v>230</v>
      </c>
      <c r="AL28" s="92" t="s">
        <v>344</v>
      </c>
      <c r="AM28" s="92" t="s">
        <v>368</v>
      </c>
    </row>
    <row r="29" spans="32:39" x14ac:dyDescent="0.3">
      <c r="AF29" s="52">
        <v>24</v>
      </c>
      <c r="AG29" s="53" t="s">
        <v>439</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2014-02-16T15:35:36Z</cp:lastPrinted>
  <dcterms:created xsi:type="dcterms:W3CDTF">2013-11-01T06:50:11Z</dcterms:created>
  <dcterms:modified xsi:type="dcterms:W3CDTF">2014-05-17T10:58:26Z</dcterms:modified>
  <cp:category>엑셀 매크로</cp:category>
</cp:coreProperties>
</file>