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견적서발급!$B$5:$P$11</definedName>
    <definedName name="_xlnm._FilterDatabase" localSheetId="3" hidden="1">견적서세부내용!$B$5:$H$32</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2" i="5" l="1"/>
  <c r="G32" i="5"/>
  <c r="E31" i="5"/>
  <c r="G31" i="5"/>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<sst xmlns="http://schemas.openxmlformats.org/spreadsheetml/2006/main" count="923" uniqueCount="548">
  <si>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</si>
  <si>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</si>
  <si>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</si>
  <si>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</si>
  <si>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</si>
  <si>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</si>
  <si>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</si>
  <si>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</si>
  <si>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</si>
  <si>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</si>
  <si>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</si>
  <si>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</si>
  <si>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</si>
  <si>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</si>
  <si>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</si>
  <si>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</si>
  <si>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</si>
  <si>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</si>
  <si>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</si>
  <si>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</si>
  <si>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</si>
  <si>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</si>
  <si>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</si>
  <si>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</si>
  <si>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</si>
  <si>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</si>
  <si>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</si>
  <si>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</si>
  <si>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</si>
  <si>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</si>
  <si>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</si>
  <si>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</si>
  <si>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</si>
  <si>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</si>
  <si>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</si>
  <si>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</si>
  <si>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</si>
  <si>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</si>
  <si>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</si>
  <si>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</si>
  <si>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</si>
  <si>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</si>
  <si>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</si>
  <si>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</si>
  <si>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</si>
  <si>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</si>
  <si>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</si>
  <si>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</si>
  <si>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</si>
  <si>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</si>
  <si>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</si>
  <si>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</si>
  <si>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</si>
  <si>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</si>
  <si>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</si>
  <si>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</si>
  <si>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</si>
  <si>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</si>
  <si>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</si>
  <si>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</si>
  <si>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</si>
  <si>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</si>
  <si>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</si>
  <si>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</si>
  <si>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</si>
  <si>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</si>
  <si>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</si>
  <si>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</si>
  <si>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</si>
  <si>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</si>
  <si>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</si>
  <si>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</si>
  <si>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</si>
  <si>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</si>
  <si>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</si>
  <si>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</si>
  <si>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</si>
  <si>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</si>
  <si>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</si>
  <si>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</si>
  <si>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</si>
  <si>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</si>
  <si>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</si>
  <si>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</si>
  <si>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</si>
  <si>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</si>
  <si>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</si>
  <si>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</si>
  <si>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</si>
  <si>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</si>
  <si>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</si>
  <si>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</si>
  <si>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</si>
  <si>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</si>
  <si>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</si>
  <si>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</si>
  <si>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</si>
  <si>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</si>
  <si>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</si>
  <si>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</si>
  <si>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</si>
  <si>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</si>
  <si>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</si>
  <si>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</si>
  <si>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</si>
  <si>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</si>
  <si>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</si>
  <si>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</si>
  <si>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</si>
  <si>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</si>
  <si>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</si>
  <si>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</si>
  <si>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</si>
  <si>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</si>
  <si>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</si>
  <si>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</si>
  <si>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</si>
  <si>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</si>
  <si>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</si>
  <si>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</si>
  <si>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</si>
  <si>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</si>
  <si>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</si>
  <si>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</si>
  <si>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</si>
  <si>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</si>
  <si>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</si>
  <si>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</si>
  <si>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</si>
  <si>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</si>
  <si>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</si>
  <si>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</si>
  <si>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</si>
  <si>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</si>
  <si>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</si>
  <si>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</si>
  <si>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</si>
  <si>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</si>
  <si>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</si>
  <si>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</si>
  <si>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</si>
  <si>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</si>
  <si>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</si>
  <si>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</si>
  <si>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</si>
  <si>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</si>
  <si>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</si>
  <si>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</si>
  <si>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</si>
  <si>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</si>
  <si>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</si>
  <si>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</si>
  <si>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</si>
  <si>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</si>
  <si>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</si>
  <si>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</si>
  <si>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</si>
  <si>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</si>
  <si>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</si>
  <si>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</si>
  <si>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</si>
  <si>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</si>
  <si>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</si>
  <si>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</si>
  <si>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</si>
  <si>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</si>
  <si>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</si>
  <si>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</si>
  <si>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</si>
  <si>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</si>
  <si>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</si>
  <si>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</si>
  <si>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</si>
  <si>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</si>
  <si>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</si>
  <si>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</si>
  <si>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</si>
  <si>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</si>
  <si>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</si>
  <si>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</si>
  <si>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</si>
  <si>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</si>
  <si>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</si>
  <si>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</si>
  <si>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</si>
  <si>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</si>
  <si>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</si>
  <si>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</si>
  <si>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</si>
  <si>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</si>
  <si>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</si>
  <si>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</si>
  <si>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</si>
  <si>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</si>
  <si>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</si>
  <si>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</si>
  <si>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</si>
  <si>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</si>
  <si>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</si>
  <si>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</si>
  <si>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</si>
  <si>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</si>
  <si>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</si>
  <si>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</si>
  <si>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</si>
  <si>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</si>
  <si>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</si>
  <si>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</si>
  <si>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</si>
  <si>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</si>
  <si>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</si>
  <si>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</si>
  <si>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</si>
  <si>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</si>
  <si>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</si>
  <si>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</si>
  <si>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</si>
  <si>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</si>
  <si>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</si>
  <si>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</si>
  <si>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</si>
  <si>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</si>
  <si>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</si>
  <si>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</si>
  <si>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</si>
  <si>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</si>
  <si>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</si>
  <si>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</si>
  <si>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</si>
  <si>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</si>
  <si>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</si>
  <si>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</si>
  <si>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</si>
  <si>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</si>
  <si>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</si>
  <si>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</si>
  <si>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</si>
  <si>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</si>
  <si>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</si>
  <si>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</si>
  <si>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</si>
  <si>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</si>
  <si>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</si>
  <si>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</si>
  <si>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</si>
  <si>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</si>
  <si>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</si>
  <si>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</si>
  <si>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</si>
  <si>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</si>
  <si>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</si>
  <si>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</si>
  <si>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</si>
  <si>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</si>
  <si>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</si>
  <si>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</si>
  <si>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</si>
  <si>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</si>
  <si>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</si>
  <si>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</si>
  <si>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</si>
  <si>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</si>
  <si>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</si>
  <si>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</si>
  <si>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</si>
  <si>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</si>
  <si>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</si>
  <si>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</si>
  <si>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</si>
  <si>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</si>
  <si>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</si>
  <si>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</si>
  <si>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</si>
  <si>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</si>
  <si>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</si>
  <si>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</si>
  <si>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</si>
  <si>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</si>
  <si>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</si>
  <si>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</si>
  <si>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</si>
  <si>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</si>
  <si>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</si>
  <si>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</si>
  <si>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</si>
  <si>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</si>
  <si>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</si>
  <si>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</si>
  <si>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</si>
  <si>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</si>
  <si>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</si>
  <si>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</si>
  <si>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</si>
  <si>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</si>
  <si>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</si>
  <si>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</si>
  <si>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</si>
  <si>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</si>
  <si>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</si>
  <si>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</si>
  <si>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</si>
  <si>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</si>
  <si>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</si>
  <si>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</si>
  <si>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</si>
  <si>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</si>
  <si>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</si>
  <si>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</si>
  <si>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</si>
  <si>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</si>
  <si>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</si>
  <si>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</si>
  <si>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</si>
  <si>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</si>
  <si>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</si>
  <si>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</si>
  <si>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</si>
  <si>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</si>
  <si>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</si>
  <si>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</si>
  <si>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</si>
  <si>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</si>
  <si>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</si>
  <si>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</si>
  <si>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</si>
  <si>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</si>
  <si>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</si>
  <si>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</si>
  <si>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</si>
  <si>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</si>
  <si>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</si>
  <si>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</si>
  <si>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</si>
  <si>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</si>
  <si>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</si>
  <si>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</si>
  <si>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</si>
  <si>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</si>
  <si>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</si>
  <si>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</si>
  <si>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</si>
  <si>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</si>
  <si>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</si>
  <si>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</si>
  <si>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</si>
  <si>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</si>
  <si>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</si>
  <si>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</si>
  <si>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</si>
  <si>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</si>
  <si>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</si>
  <si>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</si>
  <si>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</si>
  <si>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</si>
  <si>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</si>
  <si>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</si>
  <si>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</si>
  <si>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</si>
  <si>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</si>
  <si>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</si>
  <si>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</si>
  <si>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</si>
  <si>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</si>
  <si>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</si>
  <si>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</si>
  <si>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</si>
  <si>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</si>
  <si>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</si>
  <si>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</si>
  <si>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</si>
  <si>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</si>
  <si>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</si>
  <si>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</si>
  <si>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</si>
  <si>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</si>
  <si>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</si>
  <si>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</si>
  <si>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</si>
  <si>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</si>
  <si>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</si>
  <si>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</si>
  <si>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</si>
  <si>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</si>
  <si>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</si>
  <si>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</si>
  <si>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</si>
  <si>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</si>
  <si>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</si>
  <si>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</si>
  <si>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</si>
  <si>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</si>
  <si>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</si>
  <si>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</si>
  <si>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</si>
  <si>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</si>
  <si>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</si>
  <si>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</si>
  <si>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</si>
  <si>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</si>
  <si>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</si>
  <si>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</si>
  <si>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</si>
  <si>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</si>
  <si>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</si>
  <si>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</si>
  <si>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</si>
  <si>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</si>
  <si>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</si>
  <si>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</si>
  <si>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</si>
  <si>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</si>
  <si>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</si>
  <si>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</si>
  <si>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</si>
  <si>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</si>
  <si>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</si>
  <si>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</si>
  <si>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</si>
  <si>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</si>
  <si>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</si>
  <si>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</si>
  <si>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</si>
  <si>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</si>
  <si>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</si>
  <si>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</si>
  <si>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</si>
  <si>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</si>
  <si>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</si>
  <si>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</si>
  <si>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</si>
  <si>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</si>
  <si>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</si>
  <si>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</si>
  <si>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</si>
  <si>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</si>
  <si>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</si>
  <si>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</si>
  <si>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</si>
  <si>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</si>
  <si>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</si>
  <si>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</si>
  <si>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</si>
  <si>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PPT-01</t>
  </si>
  <si>
    <t>031-822-0000</t>
  </si>
  <si>
    <t>천안 교육장</t>
  </si>
  <si>
    <t>김미려</t>
  </si>
  <si>
    <t>02-111-2225</t>
  </si>
  <si>
    <t>010-111-1234</t>
  </si>
  <si>
    <t>ddd@gilbut.co.kr</t>
  </si>
  <si>
    <t>2014-005</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</si>
  <si>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</si>
  <si>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</si>
  <si>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</si>
  <si>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</si>
  <si>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</si>
  <si>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</si>
  <si>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</si>
  <si>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</si>
  <si>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</si>
  <si>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</si>
  <si>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</si>
  <si>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</si>
  <si>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</si>
  <si>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</si>
  <si>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</si>
  <si>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</si>
  <si>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</si>
  <si>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</si>
  <si>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</si>
  <si>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</si>
  <si>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</si>
  <si>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</si>
  <si>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</si>
  <si>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</si>
  <si>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</si>
  <si>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동서석유화학㈜</t>
  </si>
  <si>
    <t>2014-006</t>
  </si>
  <si>
    <t>**</t>
    <phoneticPr fontId="1" type="noConversion"/>
  </si>
  <si>
    <t>한양건장㈜</t>
  </si>
  <si>
    <t>조운호</t>
  </si>
  <si>
    <t>서울 사무소</t>
  </si>
  <si>
    <t>정유진</t>
  </si>
  <si>
    <t>02-111-2222</t>
  </si>
  <si>
    <t>010-111-1111</t>
  </si>
  <si>
    <t>aaa@gilbut.co.kr</t>
  </si>
  <si>
    <t>[제품목록] 시트에 지정된 표</t>
    <phoneticPr fontId="1" type="noConversion"/>
  </si>
  <si>
    <t>표로 지정된 영역</t>
    <phoneticPr fontId="1" type="noConversion"/>
  </si>
  <si>
    <t>tbl제품</t>
    <phoneticPr fontId="1" type="noConversion"/>
  </si>
  <si>
    <t>[견적서세부내용] 시트에 지정된 표</t>
    <phoneticPr fontId="1" type="noConversion"/>
  </si>
  <si>
    <t>tbl견적서세부</t>
    <phoneticPr fontId="1" type="noConversion"/>
  </si>
  <si>
    <t>[견적서발급] 시트에 지정된 표</t>
    <phoneticPr fontId="1" type="noConversion"/>
  </si>
  <si>
    <t>tbl견적서발급</t>
    <phoneticPr fontId="1" type="noConversion"/>
  </si>
  <si>
    <t>[거래처목록] 시트에 지정된 표</t>
    <phoneticPr fontId="1" type="noConversion"/>
  </si>
  <si>
    <t>tbl거래처</t>
    <phoneticPr fontId="1" type="noConversion"/>
  </si>
  <si>
    <t>견적서 검색시 세부 내용 출력을 위한 출력 위치 범위</t>
    <phoneticPr fontId="1" type="noConversion"/>
  </si>
  <si>
    <t>견적서 검색시 세부 내용 출력을 위한 조건 입력 범위</t>
    <phoneticPr fontId="1" type="noConversion"/>
  </si>
  <si>
    <t>견적서 검색시 사용할 출력 위치 범위</t>
    <phoneticPr fontId="1" type="noConversion"/>
  </si>
  <si>
    <t>견적서 검색시 사용할 조건 입력 범위</t>
    <phoneticPr fontId="1" type="noConversion"/>
  </si>
  <si>
    <t>거래처 검색시 사용할 출력 위치 범위</t>
    <phoneticPr fontId="1" type="noConversion"/>
  </si>
  <si>
    <t>거래처 검색시 사용할 조건 입력 범위</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</si>
  <si>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</si>
  <si>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[Main] 시트의 셀에 지정한 이름으로 
자료 입/출력을 위해 사용</t>
    <phoneticPr fontId="1" type="noConversion"/>
  </si>
  <si>
    <t>설명</t>
    <phoneticPr fontId="1" type="noConversion"/>
  </si>
  <si>
    <t>참조 대상</t>
    <phoneticPr fontId="1" type="noConversion"/>
  </si>
  <si>
    <t>이름(표 이름)</t>
    <phoneticPr fontId="1" type="noConversion"/>
  </si>
  <si>
    <t>- 'Main' 시트를 통해 견적서 내용을 자동으로 조회, 등록 등을 할 수 있도록 Main 시트와 관련 시트에 다음 이름이 지정되어 있습니다.</t>
    <phoneticPr fontId="1" type="noConversion"/>
  </si>
  <si>
    <t>2. 주요 표와 이름 설명</t>
    <phoneticPr fontId="1" type="noConversion"/>
  </si>
  <si>
    <t>- Main 시트의 거래처, 견적서 검색을 할 때 사용하는 작업 공간으로
   임의로 시트 안의 셀 위치를 변경하지 말 것</t>
    <phoneticPr fontId="1" type="noConversion"/>
  </si>
  <si>
    <t>@작업시트</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</si>
  <si>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</si>
  <si>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</si>
  <si>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</si>
  <si>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제품목록</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</si>
  <si>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</si>
  <si>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견적서세부내용</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</si>
  <si>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</si>
  <si>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견적서발급</t>
    <phoneticPr fontId="1" type="noConversion"/>
  </si>
  <si>
    <t>- 견적서를 조회, 수정, 작성할 수 있는 양식 제공
- 시트가 보호된 상태로 연두색으로 표시된 부분에만 내용입력</t>
    <phoneticPr fontId="1" type="noConversion"/>
  </si>
  <si>
    <t>Main</t>
    <phoneticPr fontId="1" type="noConversion"/>
  </si>
  <si>
    <t>설  명</t>
    <phoneticPr fontId="1" type="noConversion"/>
  </si>
  <si>
    <t>시트명</t>
    <phoneticPr fontId="1" type="noConversion"/>
  </si>
  <si>
    <t>- 각 시트는 다음과 같은 기능을 하며, 시트별로 표가 정의되어 있거나, 중요한 셀 위치에  이름이 정의되어있습니다.</t>
    <phoneticPr fontId="1" type="noConversion"/>
  </si>
  <si>
    <t>1. 시트의 기능</t>
    <phoneticPr fontId="1" type="noConversion"/>
  </si>
  <si>
    <t>■ 파일 구조 이해</t>
    <phoneticPr fontId="1" type="noConversion"/>
  </si>
  <si>
    <t xml:space="preserve">  실제 데이터가 저장되는 &lt;견적서발급&gt;, &lt;견적서세부내용&gt; 시트에는 반영되지 않습니다.</t>
    <phoneticPr fontId="1" type="noConversion"/>
  </si>
  <si>
    <t xml:space="preserve">  &lt;저장&gt;을 클릭하여 시트에 저장되도록 해야 합니다. &lt;저장&gt;을 클릭하지 않은 경우 &lt;Main&gt;시트에서만 수정된 상태로 </t>
    <phoneticPr fontId="1" type="noConversion"/>
  </si>
  <si>
    <t>- 조회 중인 견적 내용은 자유롭게 수정이 가능합니다. 연한 녹색으로 채우기된 셀들의 내용을 수정하여 내용을 변경한 후</t>
    <phoneticPr fontId="1" type="noConversion"/>
  </si>
  <si>
    <t>3. 견적서 수정</t>
    <phoneticPr fontId="1" type="noConversion"/>
  </si>
  <si>
    <t>- 신규 작성할 '문서번호'는 &lt;@작업시트&gt;의 A6셀(범위명 : nmMax코드)에서 자동 계산됩니다.</t>
    <phoneticPr fontId="1" type="noConversion"/>
  </si>
  <si>
    <t xml:space="preserve">- '문서번호' 계산 원리 : 견적서의 고유 Key인 문서번호는 현재 연도와 순차번호를 적용해 8자리로 구성합니다. </t>
    <phoneticPr fontId="1" type="noConversion"/>
  </si>
  <si>
    <t xml:space="preserve">2. 견적서 신규 작업시 '문서번호' 부여 </t>
    <phoneticPr fontId="1" type="noConversion"/>
  </si>
  <si>
    <t>- 주의할 점은 기존 작업 중이던 내용이 자동 저장되지 않으므로 필요한 경우 &lt;저장&gt;을 클릭해 저장한 후 작업하세요.</t>
    <phoneticPr fontId="1" type="noConversion"/>
  </si>
  <si>
    <t>- 새로운 견적서를 작성할 때 &lt;신규&gt;를 클릭하면 &lt;Main&gt; 시트의 내용이 지워지고, 새 견적서 작성을 위한 '문서번호'가 표시됩니다.</t>
    <phoneticPr fontId="1" type="noConversion"/>
  </si>
  <si>
    <t>1. 견적서 신규</t>
    <phoneticPr fontId="1" type="noConversion"/>
  </si>
  <si>
    <t>■ 견적서 신규/수정</t>
    <phoneticPr fontId="1" type="noConversion"/>
  </si>
  <si>
    <t>- 삭제 작업 후에는 &lt;신규&gt;를 클릭한 것처럼 &lt;Main&gt; 시트의 내용이 지워지면서, 문서번호가 새로운 번호로 자동 지정됩니다.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</si>
  <si>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</si>
  <si>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현재 조회 중인 견적서 내용( 문서번호를 기준으로 함)을 삭제할 때는 오른쪽 상단의 &lt;삭제&gt;를 클릭합니다.</t>
    <phoneticPr fontId="1" type="noConversion"/>
  </si>
  <si>
    <t>2. 견적서 삭제</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</si>
  <si>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</si>
  <si>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1. 견적서 조회</t>
    <phoneticPr fontId="1" type="noConversion"/>
  </si>
  <si>
    <t>■ 견적서 조회/삭제</t>
    <phoneticPr fontId="1" type="noConversion"/>
  </si>
  <si>
    <t>※ 이 파일은 매크로를 포함한 파일로 매크로를 포함하여 연 경우에만 정상 작동됩니다.</t>
    <phoneticPr fontId="1" type="noConversion"/>
  </si>
  <si>
    <t>2014-006</t>
    <phoneticPr fontId="1" type="noConversion"/>
  </si>
  <si>
    <t>2014-006</t>
    <phoneticPr fontId="1" type="noConversion"/>
  </si>
  <si>
    <t>정유진</t>
    <phoneticPr fontId="1" type="noConversion"/>
  </si>
  <si>
    <t>010-111-1111</t>
    <phoneticPr fontId="1" type="noConversion"/>
  </si>
  <si>
    <t>aaa@gilbut.co.kr</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</si>
</sst>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5" fillId="0" borderId="7" xfId="0" applyFont="1" applyBorder="1" applyAlignment="1">
      <alignment horizontal="left" vertical="center" wrapText="1"/>
    </xf>
    <xf numFmtId="0" fontId="0" fillId="13" borderId="7" xfId="0" applyFill="1" applyBorder="1" applyAlignment="1">
      <alignment horizontal="left" vertical="center" wrapText="1"/>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49" fontId="32" fillId="11" borderId="7" xfId="3" applyNumberFormat="1" applyFont="1" applyFill="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0" fontId="31" fillId="13" borderId="7" xfId="0" applyFont="1" applyFill="1" applyBorder="1">
      <alignment vertical="center"/>
    </xf>
    <xf numFmtId="0" fontId="0" fillId="0" borderId="7" xfId="0" applyBorder="1">
      <alignment vertical="center"/>
    </xf>
    <xf numFmtId="0" fontId="34" fillId="0" borderId="7" xfId="0" applyFon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20" fillId="0" borderId="7" xfId="3" quotePrefix="1" applyNumberFormat="1" applyBorder="1">
      <alignment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oneCellAnchor>
    <xdr:from>
      <xdr:col>2</xdr:col>
      <xdr:colOff>142873</xdr:colOff>
      <xdr:row>143</xdr:row>
      <xdr:rowOff>142876</xdr:rowOff>
    </xdr:from>
    <xdr:ext cx="9056742" cy="6155530"/>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3" y="30108526"/>
          <a:ext cx="9056742" cy="6155530"/>
        </a:xfrm>
        <a:prstGeom prst="rect">
          <a:avLst/>
        </a:prstGeom>
      </xdr:spPr>
    </xdr:pic>
    <xdr:clientData/>
  </xdr:oneCellAnchor>
  <xdr:oneCellAnchor>
    <xdr:from>
      <xdr:col>2</xdr:col>
      <xdr:colOff>95250</xdr:colOff>
      <xdr:row>84</xdr:row>
      <xdr:rowOff>83345</xdr:rowOff>
    </xdr:from>
    <xdr:ext cx="7310437" cy="4970733"/>
    <xdr:pic>
      <xdr:nvPicPr>
        <xdr:cNvPr id="3" name="그림 2"/>
        <xdr:cNvPicPr>
          <a:picLocks noChangeAspect="1"/>
        </xdr:cNvPicPr>
      </xdr:nvPicPr>
      <xdr:blipFill>
        <a:blip xmlns:r="http://schemas.openxmlformats.org/officeDocument/2006/relationships" r:embed="rId2"/>
        <a:stretch>
          <a:fillRect/>
        </a:stretch>
      </xdr:blipFill>
      <xdr:spPr>
        <a:xfrm>
          <a:off x="1466850" y="17685545"/>
          <a:ext cx="7310437" cy="4970733"/>
        </a:xfrm>
        <a:prstGeom prst="rect">
          <a:avLst/>
        </a:prstGeom>
      </xdr:spPr>
    </xdr:pic>
    <xdr:clientData/>
  </xdr:oneCellAnchor>
  <xdr:oneCellAnchor>
    <xdr:from>
      <xdr:col>2</xdr:col>
      <xdr:colOff>83344</xdr:colOff>
      <xdr:row>49</xdr:row>
      <xdr:rowOff>95249</xdr:rowOff>
    </xdr:from>
    <xdr:ext cx="7346155" cy="4347163"/>
    <xdr:pic>
      <xdr:nvPicPr>
        <xdr:cNvPr id="4" name="그림 3"/>
        <xdr:cNvPicPr>
          <a:picLocks noChangeAspect="1"/>
        </xdr:cNvPicPr>
      </xdr:nvPicPr>
      <xdr:blipFill>
        <a:blip xmlns:r="http://schemas.openxmlformats.org/officeDocument/2006/relationships" r:embed="rId3"/>
        <a:stretch>
          <a:fillRect/>
        </a:stretch>
      </xdr:blipFill>
      <xdr:spPr>
        <a:xfrm>
          <a:off x="1454944" y="10363199"/>
          <a:ext cx="7346155" cy="4347163"/>
        </a:xfrm>
        <a:prstGeom prst="rect">
          <a:avLst/>
        </a:prstGeom>
      </xdr:spPr>
    </xdr:pic>
    <xdr:clientData/>
  </xdr:one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4811475" y="57150"/>
          <a:ext cx="1438274" cy="152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2831646" cy="1524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3137807" y="57150"/>
          <a:ext cx="1585233" cy="1524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oneCellAnchor>
    <xdr:from>
      <xdr:col>2</xdr:col>
      <xdr:colOff>0</xdr:colOff>
      <xdr:row>8</xdr:row>
      <xdr:rowOff>0</xdr:rowOff>
    </xdr:from>
    <xdr:ext cx="7487866" cy="5890432"/>
    <xdr:pic>
      <xdr:nvPicPr>
        <xdr:cNvPr id="8" name="그림 7"/>
        <xdr:cNvPicPr>
          <a:picLocks noChangeAspect="1"/>
        </xdr:cNvPicPr>
      </xdr:nvPicPr>
      <xdr:blipFill>
        <a:blip xmlns:r="http://schemas.openxmlformats.org/officeDocument/2006/relationships" r:embed="rId7"/>
        <a:stretch>
          <a:fillRect/>
        </a:stretch>
      </xdr:blipFill>
      <xdr:spPr>
        <a:xfrm>
          <a:off x="1371600" y="1676400"/>
          <a:ext cx="7487866" cy="5890432"/>
        </a:xfrm>
        <a:prstGeom prst="rect">
          <a:avLst/>
        </a:prstGeom>
      </xdr:spPr>
    </xdr:pic>
    <xdr:clientData/>
  </xdr:one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7617438" y="1940378"/>
          <a:ext cx="394607" cy="5279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896350" y="1998887"/>
          <a:ext cx="2136482" cy="4190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8012045" y="2204355"/>
          <a:ext cx="884305"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4547828" y="4746171"/>
          <a:ext cx="3680571" cy="3950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916996" y="4530292"/>
          <a:ext cx="3118601" cy="786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8233442" y="4923741"/>
          <a:ext cx="683554"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7671364" y="11648394"/>
          <a:ext cx="558452" cy="4174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676526" y="11675605"/>
          <a:ext cx="2796337" cy="7950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8229816" y="11857102"/>
          <a:ext cx="446710" cy="2160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6064698" y="14326615"/>
          <a:ext cx="885047" cy="4078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748460" y="14111287"/>
          <a:ext cx="2641060" cy="8501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6949745" y="14530562"/>
          <a:ext cx="179871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0</xdr:colOff>
      <xdr:row>119</xdr:row>
      <xdr:rowOff>11905</xdr:rowOff>
    </xdr:from>
    <xdr:ext cx="8205452" cy="3802062"/>
    <xdr:pic>
      <xdr:nvPicPr>
        <xdr:cNvPr id="21" name="그림 20"/>
        <xdr:cNvPicPr>
          <a:picLocks noChangeAspect="1"/>
        </xdr:cNvPicPr>
      </xdr:nvPicPr>
      <xdr:blipFill>
        <a:blip xmlns:r="http://schemas.openxmlformats.org/officeDocument/2006/relationships" r:embed="rId8"/>
        <a:stretch>
          <a:fillRect/>
        </a:stretch>
      </xdr:blipFill>
      <xdr:spPr>
        <a:xfrm>
          <a:off x="1371600" y="24948355"/>
          <a:ext cx="8205452" cy="3802062"/>
        </a:xfrm>
        <a:prstGeom prst="rect">
          <a:avLst/>
        </a:prstGeom>
      </xdr:spPr>
    </xdr:pic>
    <xdr:clientData/>
  </xdr:one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7674773" y="19721512"/>
          <a:ext cx="558452" cy="4174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679935" y="19748724"/>
          <a:ext cx="3042401" cy="4438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8233225" y="19934983"/>
          <a:ext cx="4467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1419224" y="26138981"/>
          <a:ext cx="171688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2200275" y="35880676"/>
          <a:ext cx="1395413" cy="17954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910642" y="31761112"/>
          <a:ext cx="475108" cy="4174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601199" y="31788323"/>
          <a:ext cx="2790826" cy="4866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385750" y="31969820"/>
          <a:ext cx="2154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777288" y="36581779"/>
          <a:ext cx="3745706" cy="5085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3619500" y="36814634"/>
          <a:ext cx="515778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3</xdr:row>
          <xdr:rowOff>95250</xdr:rowOff>
        </xdr:from>
        <xdr:to>
          <xdr:col>14</xdr:col>
          <xdr:colOff>19050</xdr:colOff>
          <xdr:row>4</xdr:row>
          <xdr:rowOff>266700</xdr:rowOff>
        </xdr:to>
        <xdr:sp macro="" textlink="">
          <xdr:nvSpPr>
            <xdr:cNvPr id="2053" name="cmd삭제"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276225</xdr:rowOff>
        </xdr:from>
        <xdr:to>
          <xdr:col>14</xdr:col>
          <xdr:colOff>19050</xdr:colOff>
          <xdr:row>6</xdr:row>
          <xdr:rowOff>219075</xdr:rowOff>
        </xdr:to>
        <xdr:sp macro="" textlink="">
          <xdr:nvSpPr>
            <xdr:cNvPr id="2054" name="cmd저장"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14</xdr:col>
          <xdr:colOff>19050</xdr:colOff>
          <xdr:row>8</xdr:row>
          <xdr:rowOff>76200</xdr:rowOff>
        </xdr:to>
        <xdr:sp macro="" textlink="">
          <xdr:nvSpPr>
            <xdr:cNvPr id="2055" name="cmd신규"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xdr:row>
          <xdr:rowOff>171450</xdr:rowOff>
        </xdr:from>
        <xdr:to>
          <xdr:col>14</xdr:col>
          <xdr:colOff>276225</xdr:colOff>
          <xdr:row>3</xdr:row>
          <xdr:rowOff>0</xdr:rowOff>
        </xdr:to>
        <xdr:sp macro="" textlink="">
          <xdr:nvSpPr>
            <xdr:cNvPr id="2056" name="cmd시트보호"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견적서발급"/>
      <sheetName val="견적서세부내용"/>
      <sheetName val="제품목록"/>
      <sheetName val="거래처목록"/>
      <sheetName val="@작업시트"/>
      <sheetName val="사용도움말"/>
    </sheetNames>
    <sheetDataSet>
      <sheetData sheetId="0">
        <row r="2">
          <cell r="K2" t="str">
            <v>2014-007</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1"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2"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9.emf"/><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 Id="rId6" Type="http://schemas.openxmlformats.org/officeDocument/2006/relationships/image" Target="../media/image6.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8.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542</v>
      </c>
    </row>
    <row r="4" spans="2:19" ht="24.75" customHeight="1" x14ac:dyDescent="0.3">
      <c r="B4" s="112" t="s">
        <v>541</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540</v>
      </c>
      <c r="D6" s="114"/>
      <c r="E6" s="114"/>
      <c r="F6" s="114"/>
      <c r="G6" s="114"/>
      <c r="H6" s="114"/>
      <c r="I6" s="114"/>
      <c r="J6" s="114"/>
      <c r="K6" s="114"/>
      <c r="L6" s="114"/>
      <c r="M6" s="114"/>
      <c r="N6" s="114"/>
      <c r="O6" s="114"/>
      <c r="P6" s="114"/>
      <c r="Q6" s="114"/>
      <c r="R6" s="114"/>
      <c r="S6" s="114"/>
    </row>
    <row r="7" spans="2:19" x14ac:dyDescent="0.3">
      <c r="B7" s="114"/>
      <c r="D7" s="115" t="s">
        <v>539</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538</v>
      </c>
      <c r="D46" s="115"/>
      <c r="E46" s="114"/>
      <c r="F46" s="114"/>
      <c r="G46" s="114"/>
      <c r="H46" s="114"/>
      <c r="I46" s="114"/>
      <c r="J46" s="114"/>
      <c r="K46" s="114"/>
      <c r="L46" s="114"/>
      <c r="M46" s="114"/>
      <c r="N46" s="114"/>
      <c r="O46" s="114"/>
      <c r="P46" s="114"/>
      <c r="Q46" s="114"/>
      <c r="R46" s="114"/>
      <c r="S46" s="114"/>
    </row>
    <row r="47" spans="2:19" x14ac:dyDescent="0.3">
      <c r="B47" s="114"/>
      <c r="D47" s="115" t="s">
        <v>537</v>
      </c>
      <c r="E47" s="114"/>
      <c r="F47" s="114"/>
      <c r="G47" s="114"/>
      <c r="H47" s="114"/>
      <c r="I47" s="114"/>
      <c r="J47" s="114"/>
      <c r="K47" s="114"/>
      <c r="L47" s="114"/>
      <c r="M47" s="114"/>
      <c r="N47" s="114"/>
      <c r="O47" s="114"/>
      <c r="P47" s="114"/>
      <c r="Q47" s="114"/>
      <c r="R47" s="114"/>
      <c r="S47" s="114"/>
    </row>
    <row r="48" spans="2:19" x14ac:dyDescent="0.3">
      <c r="B48" s="114"/>
      <c r="D48" s="115" t="s">
        <v>536</v>
      </c>
      <c r="E48" s="114"/>
      <c r="F48" s="114"/>
      <c r="G48" s="114"/>
      <c r="H48" s="114"/>
      <c r="I48" s="114"/>
      <c r="J48" s="114"/>
      <c r="K48" s="114"/>
      <c r="L48" s="114"/>
      <c r="M48" s="114"/>
      <c r="N48" s="114"/>
      <c r="O48" s="114"/>
      <c r="P48" s="114"/>
      <c r="Q48" s="114"/>
      <c r="R48" s="114"/>
      <c r="S48" s="114"/>
    </row>
    <row r="49" spans="2:19" x14ac:dyDescent="0.3">
      <c r="B49" s="114"/>
      <c r="D49" s="115" t="s">
        <v>535</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534</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533</v>
      </c>
      <c r="D82" s="114"/>
      <c r="E82" s="114"/>
      <c r="F82" s="114"/>
      <c r="G82" s="114"/>
      <c r="H82" s="114"/>
      <c r="I82" s="114"/>
      <c r="J82" s="114"/>
      <c r="K82" s="114"/>
      <c r="L82" s="114"/>
      <c r="M82" s="114"/>
      <c r="N82" s="114"/>
      <c r="O82" s="114"/>
      <c r="P82" s="114"/>
      <c r="Q82" s="114"/>
      <c r="R82" s="114"/>
    </row>
    <row r="83" spans="3:18" ht="13.5" customHeight="1" x14ac:dyDescent="0.3">
      <c r="D83" s="115" t="s">
        <v>532</v>
      </c>
      <c r="E83" s="114"/>
      <c r="F83" s="114"/>
      <c r="G83" s="114"/>
      <c r="H83" s="114"/>
      <c r="I83" s="114"/>
      <c r="J83" s="114"/>
      <c r="K83" s="114"/>
      <c r="L83" s="114"/>
      <c r="M83" s="114"/>
      <c r="N83" s="114"/>
      <c r="O83" s="114"/>
      <c r="P83" s="114"/>
      <c r="Q83" s="114"/>
      <c r="R83" s="114"/>
    </row>
    <row r="84" spans="3:18" ht="13.5" customHeight="1" x14ac:dyDescent="0.3">
      <c r="C84" s="114"/>
      <c r="D84" s="115" t="s">
        <v>531</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530</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529</v>
      </c>
    </row>
    <row r="119" spans="3:18" customFormat="1" ht="16.5" x14ac:dyDescent="0.3">
      <c r="C119" s="111"/>
      <c r="D119" s="125" t="s">
        <v>528</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527</v>
      </c>
      <c r="D140" s="114"/>
      <c r="E140" s="114"/>
      <c r="F140" s="114"/>
      <c r="G140" s="114"/>
      <c r="H140" s="114"/>
      <c r="I140" s="114"/>
      <c r="J140" s="114"/>
      <c r="K140" s="114"/>
      <c r="L140" s="114"/>
      <c r="M140" s="114"/>
      <c r="N140" s="114"/>
      <c r="O140" s="114"/>
      <c r="P140" s="114"/>
      <c r="Q140" s="114"/>
      <c r="R140" s="114"/>
    </row>
    <row r="141" spans="3:18" x14ac:dyDescent="0.3">
      <c r="D141" s="115" t="s">
        <v>526</v>
      </c>
      <c r="E141" s="114"/>
      <c r="F141" s="114"/>
      <c r="G141" s="114"/>
      <c r="H141" s="114"/>
      <c r="I141" s="114"/>
      <c r="J141" s="114"/>
      <c r="K141" s="114"/>
      <c r="L141" s="114"/>
      <c r="M141" s="114"/>
      <c r="N141" s="114"/>
      <c r="O141" s="114"/>
      <c r="P141" s="114"/>
      <c r="Q141" s="114"/>
      <c r="R141" s="114"/>
    </row>
    <row r="142" spans="3:18" x14ac:dyDescent="0.3">
      <c r="C142" s="114"/>
      <c r="D142" s="114" t="s">
        <v>525</v>
      </c>
      <c r="E142" s="114"/>
      <c r="F142" s="114"/>
      <c r="G142" s="114"/>
      <c r="H142" s="114"/>
      <c r="I142" s="114"/>
      <c r="J142" s="114"/>
      <c r="K142" s="114"/>
      <c r="L142" s="114"/>
      <c r="M142" s="114"/>
      <c r="N142" s="114"/>
      <c r="O142" s="114"/>
      <c r="P142" s="114"/>
      <c r="Q142" s="114"/>
      <c r="R142" s="114"/>
    </row>
    <row r="143" spans="3:18" x14ac:dyDescent="0.3">
      <c r="C143" s="114"/>
      <c r="D143" s="114" t="s">
        <v>524</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523</v>
      </c>
    </row>
    <row r="184" spans="2:18" ht="7.5" customHeight="1" x14ac:dyDescent="0.3">
      <c r="D184" s="114"/>
      <c r="E184" s="114"/>
      <c r="F184" s="114"/>
      <c r="G184" s="114"/>
      <c r="H184" s="114"/>
      <c r="I184" s="114"/>
      <c r="J184" s="114"/>
      <c r="K184" s="114"/>
    </row>
    <row r="185" spans="2:18" ht="16.5" x14ac:dyDescent="0.3">
      <c r="C185" s="113" t="s">
        <v>522</v>
      </c>
      <c r="D185" s="114"/>
      <c r="E185" s="114"/>
      <c r="F185" s="114"/>
      <c r="G185" s="114"/>
      <c r="H185" s="114"/>
      <c r="I185" s="114"/>
      <c r="J185" s="114"/>
      <c r="K185" s="114"/>
    </row>
    <row r="186" spans="2:18" x14ac:dyDescent="0.3">
      <c r="D186" s="114" t="s">
        <v>521</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520</v>
      </c>
      <c r="E188" s="157"/>
      <c r="F188" s="153" t="s">
        <v>519</v>
      </c>
      <c r="G188" s="154"/>
      <c r="H188" s="154"/>
      <c r="I188" s="154"/>
      <c r="J188" s="154"/>
      <c r="K188" s="155"/>
    </row>
    <row r="189" spans="2:18" ht="28.5" customHeight="1" x14ac:dyDescent="0.3">
      <c r="D189" s="156" t="s">
        <v>518</v>
      </c>
      <c r="E189" s="156"/>
      <c r="F189" s="150" t="s">
        <v>517</v>
      </c>
      <c r="G189" s="151"/>
      <c r="H189" s="151"/>
      <c r="I189" s="151"/>
      <c r="J189" s="151"/>
      <c r="K189" s="151"/>
    </row>
    <row r="190" spans="2:18" ht="31.5" customHeight="1" x14ac:dyDescent="0.3">
      <c r="D190" s="156" t="s">
        <v>516</v>
      </c>
      <c r="E190" s="156"/>
      <c r="F190" s="150" t="s">
        <v>515</v>
      </c>
      <c r="G190" s="151"/>
      <c r="H190" s="151"/>
      <c r="I190" s="151"/>
      <c r="J190" s="151"/>
      <c r="K190" s="151"/>
    </row>
    <row r="191" spans="2:18" ht="29.25" customHeight="1" x14ac:dyDescent="0.3">
      <c r="D191" s="156" t="s">
        <v>514</v>
      </c>
      <c r="E191" s="156"/>
      <c r="F191" s="150" t="s">
        <v>513</v>
      </c>
      <c r="G191" s="151"/>
      <c r="H191" s="151"/>
      <c r="I191" s="151"/>
      <c r="J191" s="151"/>
      <c r="K191" s="151"/>
    </row>
    <row r="192" spans="2:18" ht="27.75" customHeight="1" x14ac:dyDescent="0.3">
      <c r="D192" s="156" t="s">
        <v>512</v>
      </c>
      <c r="E192" s="156"/>
      <c r="F192" s="150" t="s">
        <v>511</v>
      </c>
      <c r="G192" s="151"/>
      <c r="H192" s="151"/>
      <c r="I192" s="151"/>
      <c r="J192" s="151"/>
      <c r="K192" s="151"/>
    </row>
    <row r="193" spans="3:14" ht="27.75" customHeight="1" x14ac:dyDescent="0.3">
      <c r="D193" s="156" t="s">
        <v>510</v>
      </c>
      <c r="E193" s="156"/>
      <c r="F193" s="150" t="s">
        <v>509</v>
      </c>
      <c r="G193" s="151"/>
      <c r="H193" s="151"/>
      <c r="I193" s="151"/>
      <c r="J193" s="151"/>
      <c r="K193" s="151"/>
    </row>
    <row r="194" spans="3:14" ht="30.75" customHeight="1" x14ac:dyDescent="0.3">
      <c r="D194" s="152" t="s">
        <v>508</v>
      </c>
      <c r="E194" s="152"/>
      <c r="F194" s="150" t="s">
        <v>507</v>
      </c>
      <c r="G194" s="151"/>
      <c r="H194" s="151"/>
      <c r="I194" s="151"/>
      <c r="J194" s="151"/>
      <c r="K194" s="151"/>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506</v>
      </c>
      <c r="D197" s="114"/>
      <c r="E197" s="114"/>
      <c r="F197" s="114"/>
      <c r="G197" s="114"/>
      <c r="H197" s="114"/>
      <c r="I197" s="114"/>
      <c r="J197" s="114"/>
      <c r="K197" s="114"/>
    </row>
    <row r="198" spans="3:14" x14ac:dyDescent="0.3">
      <c r="D198" s="114" t="s">
        <v>505</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31" t="s">
        <v>504</v>
      </c>
      <c r="E200" s="131"/>
      <c r="F200" s="131"/>
      <c r="G200" s="153" t="s">
        <v>503</v>
      </c>
      <c r="H200" s="154"/>
      <c r="I200" s="154"/>
      <c r="J200" s="155"/>
      <c r="K200" s="131" t="s">
        <v>502</v>
      </c>
      <c r="L200" s="131"/>
      <c r="M200" s="131"/>
      <c r="N200" s="131"/>
    </row>
    <row r="201" spans="3:14" ht="16.5" x14ac:dyDescent="0.3">
      <c r="D201" s="148" t="s">
        <v>393</v>
      </c>
      <c r="E201" s="148"/>
      <c r="F201" s="148"/>
      <c r="G201" s="132" t="s">
        <v>394</v>
      </c>
      <c r="H201" s="133"/>
      <c r="I201" s="133"/>
      <c r="J201" s="134"/>
      <c r="K201" s="138" t="s">
        <v>501</v>
      </c>
      <c r="L201" s="139"/>
      <c r="M201" s="139"/>
      <c r="N201" s="140"/>
    </row>
    <row r="202" spans="3:14" ht="16.5" x14ac:dyDescent="0.3">
      <c r="D202" s="148" t="s">
        <v>395</v>
      </c>
      <c r="E202" s="148"/>
      <c r="F202" s="148"/>
      <c r="G202" s="132" t="s">
        <v>396</v>
      </c>
      <c r="H202" s="133"/>
      <c r="I202" s="133"/>
      <c r="J202" s="134"/>
      <c r="K202" s="141"/>
      <c r="L202" s="142"/>
      <c r="M202" s="142"/>
      <c r="N202" s="143"/>
    </row>
    <row r="203" spans="3:14" ht="16.5" x14ac:dyDescent="0.3">
      <c r="D203" s="148" t="s">
        <v>397</v>
      </c>
      <c r="E203" s="148"/>
      <c r="F203" s="148"/>
      <c r="G203" s="132" t="s">
        <v>398</v>
      </c>
      <c r="H203" s="133"/>
      <c r="I203" s="133"/>
      <c r="J203" s="134"/>
      <c r="K203" s="141"/>
      <c r="L203" s="142"/>
      <c r="M203" s="142"/>
      <c r="N203" s="143"/>
    </row>
    <row r="204" spans="3:14" ht="16.5" x14ac:dyDescent="0.3">
      <c r="D204" s="148" t="s">
        <v>399</v>
      </c>
      <c r="E204" s="148"/>
      <c r="F204" s="148"/>
      <c r="G204" s="132" t="s">
        <v>400</v>
      </c>
      <c r="H204" s="133"/>
      <c r="I204" s="133"/>
      <c r="J204" s="134"/>
      <c r="K204" s="141"/>
      <c r="L204" s="142"/>
      <c r="M204" s="142"/>
      <c r="N204" s="143"/>
    </row>
    <row r="205" spans="3:14" ht="16.5" x14ac:dyDescent="0.3">
      <c r="D205" s="148" t="s">
        <v>401</v>
      </c>
      <c r="E205" s="148"/>
      <c r="F205" s="148"/>
      <c r="G205" s="132" t="s">
        <v>402</v>
      </c>
      <c r="H205" s="133"/>
      <c r="I205" s="133"/>
      <c r="J205" s="134"/>
      <c r="K205" s="141"/>
      <c r="L205" s="142"/>
      <c r="M205" s="142"/>
      <c r="N205" s="143"/>
    </row>
    <row r="206" spans="3:14" ht="16.5" x14ac:dyDescent="0.3">
      <c r="D206" s="148" t="s">
        <v>403</v>
      </c>
      <c r="E206" s="148"/>
      <c r="F206" s="148"/>
      <c r="G206" s="132" t="s">
        <v>404</v>
      </c>
      <c r="H206" s="133"/>
      <c r="I206" s="133"/>
      <c r="J206" s="134"/>
      <c r="K206" s="141"/>
      <c r="L206" s="142"/>
      <c r="M206" s="142"/>
      <c r="N206" s="143"/>
    </row>
    <row r="207" spans="3:14" ht="16.5" x14ac:dyDescent="0.3">
      <c r="D207" s="148" t="s">
        <v>405</v>
      </c>
      <c r="E207" s="148"/>
      <c r="F207" s="148"/>
      <c r="G207" s="132" t="s">
        <v>406</v>
      </c>
      <c r="H207" s="133"/>
      <c r="I207" s="133"/>
      <c r="J207" s="134"/>
      <c r="K207" s="141"/>
      <c r="L207" s="142"/>
      <c r="M207" s="142"/>
      <c r="N207" s="143"/>
    </row>
    <row r="208" spans="3:14" ht="16.5" x14ac:dyDescent="0.3">
      <c r="D208" s="148" t="s">
        <v>407</v>
      </c>
      <c r="E208" s="148"/>
      <c r="F208" s="148"/>
      <c r="G208" s="132" t="s">
        <v>408</v>
      </c>
      <c r="H208" s="133"/>
      <c r="I208" s="133"/>
      <c r="J208" s="134"/>
      <c r="K208" s="141"/>
      <c r="L208" s="142"/>
      <c r="M208" s="142"/>
      <c r="N208" s="143"/>
    </row>
    <row r="209" spans="4:14" ht="16.5" x14ac:dyDescent="0.3">
      <c r="D209" s="148" t="s">
        <v>409</v>
      </c>
      <c r="E209" s="148"/>
      <c r="F209" s="148"/>
      <c r="G209" s="132" t="s">
        <v>410</v>
      </c>
      <c r="H209" s="133"/>
      <c r="I209" s="133"/>
      <c r="J209" s="134"/>
      <c r="K209" s="141"/>
      <c r="L209" s="142"/>
      <c r="M209" s="142"/>
      <c r="N209" s="143"/>
    </row>
    <row r="210" spans="4:14" ht="16.5" x14ac:dyDescent="0.3">
      <c r="D210" s="148" t="s">
        <v>411</v>
      </c>
      <c r="E210" s="148"/>
      <c r="F210" s="148"/>
      <c r="G210" s="132" t="s">
        <v>412</v>
      </c>
      <c r="H210" s="133"/>
      <c r="I210" s="133"/>
      <c r="J210" s="134"/>
      <c r="K210" s="141"/>
      <c r="L210" s="142"/>
      <c r="M210" s="142"/>
      <c r="N210" s="143"/>
    </row>
    <row r="211" spans="4:14" ht="16.5" x14ac:dyDescent="0.3">
      <c r="D211" s="148" t="s">
        <v>413</v>
      </c>
      <c r="E211" s="148"/>
      <c r="F211" s="148"/>
      <c r="G211" s="132" t="s">
        <v>414</v>
      </c>
      <c r="H211" s="133"/>
      <c r="I211" s="133"/>
      <c r="J211" s="134"/>
      <c r="K211" s="141"/>
      <c r="L211" s="142"/>
      <c r="M211" s="142"/>
      <c r="N211" s="143"/>
    </row>
    <row r="212" spans="4:14" ht="16.5" x14ac:dyDescent="0.3">
      <c r="D212" s="148" t="s">
        <v>415</v>
      </c>
      <c r="E212" s="148"/>
      <c r="F212" s="148"/>
      <c r="G212" s="132" t="s">
        <v>416</v>
      </c>
      <c r="H212" s="133"/>
      <c r="I212" s="133"/>
      <c r="J212" s="134"/>
      <c r="K212" s="141"/>
      <c r="L212" s="142"/>
      <c r="M212" s="142"/>
      <c r="N212" s="143"/>
    </row>
    <row r="213" spans="4:14" ht="16.5" x14ac:dyDescent="0.3">
      <c r="D213" s="148" t="s">
        <v>417</v>
      </c>
      <c r="E213" s="148"/>
      <c r="F213" s="148"/>
      <c r="G213" s="132" t="s">
        <v>418</v>
      </c>
      <c r="H213" s="133"/>
      <c r="I213" s="133"/>
      <c r="J213" s="134"/>
      <c r="K213" s="141"/>
      <c r="L213" s="142"/>
      <c r="M213" s="142"/>
      <c r="N213" s="143"/>
    </row>
    <row r="214" spans="4:14" ht="16.5" x14ac:dyDescent="0.3">
      <c r="D214" s="148" t="s">
        <v>419</v>
      </c>
      <c r="E214" s="148"/>
      <c r="F214" s="148"/>
      <c r="G214" s="132" t="s">
        <v>420</v>
      </c>
      <c r="H214" s="133"/>
      <c r="I214" s="133"/>
      <c r="J214" s="134"/>
      <c r="K214" s="141"/>
      <c r="L214" s="142"/>
      <c r="M214" s="142"/>
      <c r="N214" s="143"/>
    </row>
    <row r="215" spans="4:14" ht="16.5" x14ac:dyDescent="0.3">
      <c r="D215" s="148" t="s">
        <v>421</v>
      </c>
      <c r="E215" s="148"/>
      <c r="F215" s="148"/>
      <c r="G215" s="132" t="s">
        <v>422</v>
      </c>
      <c r="H215" s="133"/>
      <c r="I215" s="133"/>
      <c r="J215" s="134"/>
      <c r="K215" s="141"/>
      <c r="L215" s="142"/>
      <c r="M215" s="142"/>
      <c r="N215" s="143"/>
    </row>
    <row r="216" spans="4:14" ht="16.5" x14ac:dyDescent="0.3">
      <c r="D216" s="148" t="s">
        <v>423</v>
      </c>
      <c r="E216" s="148"/>
      <c r="F216" s="148"/>
      <c r="G216" s="132" t="s">
        <v>424</v>
      </c>
      <c r="H216" s="133"/>
      <c r="I216" s="133"/>
      <c r="J216" s="134"/>
      <c r="K216" s="144"/>
      <c r="L216" s="145"/>
      <c r="M216" s="145"/>
      <c r="N216" s="146"/>
    </row>
    <row r="217" spans="4:14" ht="51" customHeight="1" x14ac:dyDescent="0.3">
      <c r="D217" s="149" t="s">
        <v>425</v>
      </c>
      <c r="E217" s="149"/>
      <c r="F217" s="149"/>
      <c r="G217" s="135" t="s">
        <v>426</v>
      </c>
      <c r="H217" s="136"/>
      <c r="I217" s="136"/>
      <c r="J217" s="137"/>
      <c r="K217" s="126" t="s">
        <v>500</v>
      </c>
      <c r="L217" s="126"/>
      <c r="M217" s="126"/>
      <c r="N217" s="126"/>
    </row>
    <row r="218" spans="4:14" ht="16.5" x14ac:dyDescent="0.3">
      <c r="D218" s="149" t="s">
        <v>427</v>
      </c>
      <c r="E218" s="149"/>
      <c r="F218" s="149"/>
      <c r="G218" s="135" t="s">
        <v>428</v>
      </c>
      <c r="H218" s="136"/>
      <c r="I218" s="136"/>
      <c r="J218" s="137"/>
      <c r="K218" s="126" t="s">
        <v>499</v>
      </c>
      <c r="L218" s="126"/>
      <c r="M218" s="126"/>
      <c r="N218" s="126"/>
    </row>
    <row r="219" spans="4:14" ht="16.5" x14ac:dyDescent="0.3">
      <c r="D219" s="149" t="s">
        <v>429</v>
      </c>
      <c r="E219" s="149"/>
      <c r="F219" s="149"/>
      <c r="G219" s="135" t="s">
        <v>430</v>
      </c>
      <c r="H219" s="136"/>
      <c r="I219" s="136"/>
      <c r="J219" s="137"/>
      <c r="K219" s="126" t="s">
        <v>498</v>
      </c>
      <c r="L219" s="126"/>
      <c r="M219" s="126"/>
      <c r="N219" s="126"/>
    </row>
    <row r="220" spans="4:14" ht="16.5" x14ac:dyDescent="0.3">
      <c r="D220" s="149" t="s">
        <v>431</v>
      </c>
      <c r="E220" s="149"/>
      <c r="F220" s="149"/>
      <c r="G220" s="135" t="s">
        <v>432</v>
      </c>
      <c r="H220" s="136"/>
      <c r="I220" s="136"/>
      <c r="J220" s="137"/>
      <c r="K220" s="126" t="s">
        <v>497</v>
      </c>
      <c r="L220" s="126"/>
      <c r="M220" s="126"/>
      <c r="N220" s="126"/>
    </row>
    <row r="221" spans="4:14" ht="16.5" x14ac:dyDescent="0.3">
      <c r="D221" s="149" t="s">
        <v>433</v>
      </c>
      <c r="E221" s="149"/>
      <c r="F221" s="149"/>
      <c r="G221" s="135" t="s">
        <v>434</v>
      </c>
      <c r="H221" s="136"/>
      <c r="I221" s="136"/>
      <c r="J221" s="137"/>
      <c r="K221" s="126" t="s">
        <v>496</v>
      </c>
      <c r="L221" s="126"/>
      <c r="M221" s="126"/>
      <c r="N221" s="126"/>
    </row>
    <row r="222" spans="4:14" ht="16.5" x14ac:dyDescent="0.3">
      <c r="D222" s="149" t="s">
        <v>435</v>
      </c>
      <c r="E222" s="149"/>
      <c r="F222" s="149"/>
      <c r="G222" s="135" t="s">
        <v>436</v>
      </c>
      <c r="H222" s="136"/>
      <c r="I222" s="136"/>
      <c r="J222" s="137"/>
      <c r="K222" s="126" t="s">
        <v>495</v>
      </c>
      <c r="L222" s="126"/>
      <c r="M222" s="126"/>
      <c r="N222" s="126"/>
    </row>
    <row r="223" spans="4:14" ht="16.5" x14ac:dyDescent="0.3">
      <c r="D223" s="149" t="s">
        <v>437</v>
      </c>
      <c r="E223" s="149"/>
      <c r="F223" s="149"/>
      <c r="G223" s="135" t="s">
        <v>438</v>
      </c>
      <c r="H223" s="136"/>
      <c r="I223" s="136"/>
      <c r="J223" s="137"/>
      <c r="K223" s="126" t="s">
        <v>494</v>
      </c>
      <c r="L223" s="126"/>
      <c r="M223" s="126"/>
      <c r="N223" s="126"/>
    </row>
    <row r="224" spans="4:14" ht="16.5" x14ac:dyDescent="0.3">
      <c r="D224" s="147" t="s">
        <v>493</v>
      </c>
      <c r="E224" s="147"/>
      <c r="F224" s="147"/>
      <c r="G224" s="128" t="s">
        <v>486</v>
      </c>
      <c r="H224" s="129"/>
      <c r="I224" s="129"/>
      <c r="J224" s="130"/>
      <c r="K224" s="127" t="s">
        <v>492</v>
      </c>
      <c r="L224" s="127"/>
      <c r="M224" s="127"/>
      <c r="N224" s="127"/>
    </row>
    <row r="225" spans="3:18" ht="16.5" x14ac:dyDescent="0.3">
      <c r="D225" s="147" t="s">
        <v>491</v>
      </c>
      <c r="E225" s="147"/>
      <c r="F225" s="147"/>
      <c r="G225" s="128" t="s">
        <v>486</v>
      </c>
      <c r="H225" s="129"/>
      <c r="I225" s="129"/>
      <c r="J225" s="130"/>
      <c r="K225" s="127" t="s">
        <v>490</v>
      </c>
      <c r="L225" s="127"/>
      <c r="M225" s="127"/>
      <c r="N225" s="127"/>
    </row>
    <row r="226" spans="3:18" ht="16.5" x14ac:dyDescent="0.3">
      <c r="D226" s="147" t="s">
        <v>489</v>
      </c>
      <c r="E226" s="147"/>
      <c r="F226" s="147"/>
      <c r="G226" s="128" t="s">
        <v>486</v>
      </c>
      <c r="H226" s="129"/>
      <c r="I226" s="129"/>
      <c r="J226" s="130"/>
      <c r="K226" s="127" t="s">
        <v>488</v>
      </c>
      <c r="L226" s="127"/>
      <c r="M226" s="127"/>
      <c r="N226" s="127"/>
    </row>
    <row r="227" spans="3:18" ht="16.5" x14ac:dyDescent="0.3">
      <c r="D227" s="147" t="s">
        <v>487</v>
      </c>
      <c r="E227" s="147"/>
      <c r="F227" s="147"/>
      <c r="G227" s="128" t="s">
        <v>486</v>
      </c>
      <c r="H227" s="129"/>
      <c r="I227" s="129"/>
      <c r="J227" s="130"/>
      <c r="K227" s="127" t="s">
        <v>485</v>
      </c>
      <c r="L227" s="127"/>
      <c r="M227" s="127"/>
      <c r="N227" s="127"/>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F194:K194"/>
    <mergeCell ref="D194:E194"/>
    <mergeCell ref="F188:K188"/>
    <mergeCell ref="D200:F200"/>
    <mergeCell ref="D193:E193"/>
    <mergeCell ref="F189:K189"/>
    <mergeCell ref="F190:K190"/>
    <mergeCell ref="F191:K191"/>
    <mergeCell ref="F192:K192"/>
    <mergeCell ref="F193:K193"/>
    <mergeCell ref="G200:J200"/>
    <mergeCell ref="D188:E188"/>
    <mergeCell ref="D189:E189"/>
    <mergeCell ref="D190:E190"/>
    <mergeCell ref="D191:E191"/>
    <mergeCell ref="D192:E192"/>
    <mergeCell ref="D226:F226"/>
    <mergeCell ref="D201:F201"/>
    <mergeCell ref="D202:F202"/>
    <mergeCell ref="D215:F215"/>
    <mergeCell ref="D204:F204"/>
    <mergeCell ref="D205:F205"/>
    <mergeCell ref="D206:F206"/>
    <mergeCell ref="D207:F207"/>
    <mergeCell ref="D208:F208"/>
    <mergeCell ref="D209:F209"/>
    <mergeCell ref="D220:F220"/>
    <mergeCell ref="D221:F221"/>
    <mergeCell ref="D222:F222"/>
    <mergeCell ref="D223:F223"/>
    <mergeCell ref="D224:F224"/>
    <mergeCell ref="D210:F210"/>
    <mergeCell ref="G219:J219"/>
    <mergeCell ref="G210:J210"/>
    <mergeCell ref="G211:J211"/>
    <mergeCell ref="G212:J212"/>
    <mergeCell ref="D203:F203"/>
    <mergeCell ref="D211:F211"/>
    <mergeCell ref="D212:F212"/>
    <mergeCell ref="D213:F213"/>
    <mergeCell ref="D214:F214"/>
    <mergeCell ref="G223:J223"/>
    <mergeCell ref="G224:J224"/>
    <mergeCell ref="G225:J225"/>
    <mergeCell ref="G220:J220"/>
    <mergeCell ref="G221:J221"/>
    <mergeCell ref="G202:J202"/>
    <mergeCell ref="G203:J203"/>
    <mergeCell ref="G204:J204"/>
    <mergeCell ref="G205:J205"/>
    <mergeCell ref="D227:F227"/>
    <mergeCell ref="D216:F216"/>
    <mergeCell ref="D217:F217"/>
    <mergeCell ref="D218:F218"/>
    <mergeCell ref="D219:F219"/>
    <mergeCell ref="D225:F225"/>
    <mergeCell ref="G213:J213"/>
    <mergeCell ref="G206:J206"/>
    <mergeCell ref="G207:J207"/>
    <mergeCell ref="G208:J208"/>
    <mergeCell ref="G209:J209"/>
    <mergeCell ref="G222:J222"/>
    <mergeCell ref="K226:N226"/>
    <mergeCell ref="G226:J226"/>
    <mergeCell ref="G227:J227"/>
    <mergeCell ref="K200:N200"/>
    <mergeCell ref="G214:J214"/>
    <mergeCell ref="G215:J215"/>
    <mergeCell ref="G216:J216"/>
    <mergeCell ref="G217:J217"/>
    <mergeCell ref="G218:J218"/>
    <mergeCell ref="K227:N227"/>
    <mergeCell ref="K217:N217"/>
    <mergeCell ref="K218:N218"/>
    <mergeCell ref="K219:N219"/>
    <mergeCell ref="K201:N216"/>
    <mergeCell ref="K220:N220"/>
    <mergeCell ref="G201:J201"/>
    <mergeCell ref="K221:N221"/>
    <mergeCell ref="K222:N222"/>
    <mergeCell ref="K223:N223"/>
    <mergeCell ref="K224:N224"/>
    <mergeCell ref="K225:N225"/>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E7" sqref="E7:F7"/>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수정</v>
      </c>
      <c r="D1" s="219"/>
      <c r="E1" s="219"/>
      <c r="F1" s="219"/>
      <c r="G1" s="219"/>
      <c r="H1" s="219"/>
      <c r="I1" s="219"/>
      <c r="J1" s="219"/>
      <c r="K1" s="219"/>
    </row>
    <row r="2" spans="2:26" ht="15" customHeight="1" x14ac:dyDescent="0.25">
      <c r="I2" s="172" t="s">
        <v>266</v>
      </c>
      <c r="J2" s="172"/>
      <c r="K2" s="105" t="s">
        <v>543</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v>19</v>
      </c>
      <c r="C5" s="220" t="s">
        <v>478</v>
      </c>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t="s">
        <v>479</v>
      </c>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t="s">
        <v>333</v>
      </c>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t="s">
        <v>364</v>
      </c>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545</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v>41687</v>
      </c>
      <c r="F12" s="179"/>
      <c r="H12" s="204" t="s">
        <v>268</v>
      </c>
      <c r="I12" s="202" t="s">
        <v>287</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v>41691</v>
      </c>
      <c r="F13" s="216"/>
      <c r="H13" s="205"/>
      <c r="I13" s="215" t="s">
        <v>546</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t="s">
        <v>480</v>
      </c>
      <c r="F14" s="214"/>
      <c r="H14" s="99" t="s">
        <v>269</v>
      </c>
      <c r="I14" s="206" t="s">
        <v>547</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一金팔십칠만일천이백원정</v>
      </c>
      <c r="F16" s="222"/>
      <c r="G16" s="222"/>
      <c r="H16" s="222"/>
      <c r="I16" s="165">
        <f>SUM(H18:J32)</f>
        <v>871200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t="s">
        <v>442</v>
      </c>
      <c r="C18" s="103">
        <f>IF(D18="","",COUNTA($D$18:E18))</f>
        <v>1</v>
      </c>
      <c r="D18" s="170" t="str">
        <f>IFERROR(INDEX(tbl제품[품목],MATCH(Main!B18,tbl제품[품목코드],0)),"")</f>
        <v>파워포인트 기능 완전 정복</v>
      </c>
      <c r="E18" s="171"/>
      <c r="F18" s="101">
        <v>20</v>
      </c>
      <c r="G18" s="104">
        <f>IFERROR(INDEX(tbl제품[단가],MATCH(Main!B18,tbl제품[품목코드],0)),"")</f>
        <v>19800</v>
      </c>
      <c r="H18" s="104">
        <f t="shared" ref="H18:H32" si="0">IFERROR(IF(F18="","",F18*G18),"")</f>
        <v>396000</v>
      </c>
      <c r="I18" s="159">
        <f t="shared" ref="I18:I32" si="1">IF(F18="","",H18*10%)</f>
        <v>39600</v>
      </c>
      <c r="J18" s="160"/>
      <c r="K18" s="102"/>
      <c r="L18" s="4"/>
      <c r="M18" s="4"/>
      <c r="N18" s="4"/>
      <c r="O18" s="4"/>
      <c r="P18" s="4"/>
      <c r="Q18" s="4"/>
      <c r="R18" s="4"/>
      <c r="S18" s="4"/>
      <c r="T18" s="4"/>
      <c r="U18" s="4"/>
      <c r="V18" s="4"/>
      <c r="W18" s="4"/>
      <c r="X18" s="4"/>
      <c r="Y18" s="4"/>
      <c r="Z18" s="3"/>
    </row>
    <row r="19" spans="1:26" ht="18" customHeight="1" x14ac:dyDescent="0.3">
      <c r="B19" s="123" t="s">
        <v>37</v>
      </c>
      <c r="C19" s="103">
        <f>IF(D19="","",COUNTA($D$18:E19))</f>
        <v>2</v>
      </c>
      <c r="D19" s="170" t="str">
        <f>IFERROR(INDEX(tbl제품[품목],MATCH(Main!B19,tbl제품[품목코드],0)),"")</f>
        <v>엑셀 매크로&amp;VBA 기능 완전 정복</v>
      </c>
      <c r="E19" s="171"/>
      <c r="F19" s="101">
        <v>20</v>
      </c>
      <c r="G19" s="104">
        <f>IFERROR(INDEX(tbl제품[단가],MATCH(Main!B19,tbl제품[품목코드],0)),"")</f>
        <v>19800</v>
      </c>
      <c r="H19" s="104">
        <f t="shared" ref="H19:H23" si="2">IFERROR(IF(F19="","",F19*G19),"")</f>
        <v>396000</v>
      </c>
      <c r="I19" s="159">
        <f t="shared" ref="I19:I23" si="3">IF(F19="","",H19*10%)</f>
        <v>39600</v>
      </c>
      <c r="J19" s="160"/>
      <c r="K19" s="102"/>
      <c r="L19" s="108"/>
      <c r="M19" s="108"/>
      <c r="N19" s="108"/>
      <c r="O19" s="108"/>
      <c r="P19" s="108"/>
      <c r="Q19" s="108"/>
      <c r="R19" s="108"/>
      <c r="S19" s="108"/>
      <c r="T19" s="108"/>
      <c r="U19" s="108"/>
      <c r="V19" s="108"/>
      <c r="W19" s="108"/>
      <c r="X19" s="108"/>
      <c r="Y19" s="108"/>
      <c r="Z19" s="3"/>
    </row>
    <row r="20" spans="1:26" ht="18" customHeight="1" x14ac:dyDescent="0.3">
      <c r="B20" s="123"/>
      <c r="C20" s="103" t="str">
        <f>IF(D20="","",COUNTA($D$18:E20))</f>
        <v/>
      </c>
      <c r="D20" s="170" t="str">
        <f>IFERROR(INDEX(tbl제품[품목],MATCH(Main!B20,tbl제품[품목코드],0)),"")</f>
        <v/>
      </c>
      <c r="E20" s="171"/>
      <c r="F20" s="101"/>
      <c r="G20" s="104" t="str">
        <f>IFERROR(INDEX(tbl제품[단가],MATCH(Main!B20,tbl제품[품목코드],0)),"")</f>
        <v/>
      </c>
      <c r="H20" s="104" t="str">
        <f t="shared" si="2"/>
        <v/>
      </c>
      <c r="I20" s="159" t="str">
        <f t="shared" si="3"/>
        <v/>
      </c>
      <c r="J20" s="160"/>
      <c r="K20" s="102"/>
      <c r="L20" s="108"/>
      <c r="M20" s="108"/>
      <c r="N20" s="108"/>
      <c r="O20" s="108"/>
      <c r="P20" s="108"/>
      <c r="Q20" s="108"/>
      <c r="R20" s="108"/>
      <c r="S20" s="108"/>
      <c r="T20" s="108"/>
      <c r="U20" s="108"/>
      <c r="V20" s="108"/>
      <c r="W20" s="108"/>
      <c r="X20" s="108"/>
      <c r="Y20" s="108"/>
      <c r="Z20" s="3"/>
    </row>
    <row r="21" spans="1:26" ht="18" customHeight="1" x14ac:dyDescent="0.3">
      <c r="B21" s="123"/>
      <c r="C21" s="103" t="str">
        <f>IF(D21="","",COUNTA($D$18:E21))</f>
        <v/>
      </c>
      <c r="D21" s="170" t="str">
        <f>IFERROR(INDEX(tbl제품[품목],MATCH(Main!B21,tbl제품[품목코드],0)),"")</f>
        <v/>
      </c>
      <c r="E21" s="171"/>
      <c r="F21" s="101"/>
      <c r="G21" s="104" t="str">
        <f>IFERROR(INDEX(tbl제품[단가],MATCH(Main!B21,tbl제품[품목코드],0)),"")</f>
        <v/>
      </c>
      <c r="H21" s="104" t="str">
        <f t="shared" si="2"/>
        <v/>
      </c>
      <c r="I21" s="159" t="str">
        <f t="shared" si="3"/>
        <v/>
      </c>
      <c r="J21" s="160"/>
      <c r="K21" s="102"/>
      <c r="L21" s="108"/>
      <c r="M21" s="108"/>
      <c r="N21" s="108"/>
      <c r="O21" s="108"/>
      <c r="P21" s="108"/>
      <c r="Q21" s="108"/>
      <c r="R21" s="108"/>
      <c r="S21" s="108"/>
      <c r="T21" s="108"/>
      <c r="U21" s="108"/>
      <c r="V21" s="108"/>
      <c r="W21" s="108"/>
      <c r="X21" s="108"/>
      <c r="Y21" s="108"/>
      <c r="Z21" s="3"/>
    </row>
    <row r="22" spans="1:26" ht="18" customHeight="1" x14ac:dyDescent="0.3">
      <c r="B22" s="123"/>
      <c r="C22" s="103" t="str">
        <f>IF(D22="","",COUNTA($D$18:E22))</f>
        <v/>
      </c>
      <c r="D22" s="170" t="str">
        <f>IFERROR(INDEX(tbl제품[품목],MATCH(Main!B22,tbl제품[품목코드],0)),"")</f>
        <v/>
      </c>
      <c r="E22" s="171"/>
      <c r="F22" s="101"/>
      <c r="G22" s="104" t="str">
        <f>IFERROR(INDEX(tbl제품[단가],MATCH(Main!B22,tbl제품[품목코드],0)),"")</f>
        <v/>
      </c>
      <c r="H22" s="104" t="str">
        <f t="shared" si="2"/>
        <v/>
      </c>
      <c r="I22" s="159" t="str">
        <f t="shared" si="3"/>
        <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legacyDrawing r:id="rId4"/>
  <controls>
    <mc:AlternateContent xmlns:mc="http://schemas.openxmlformats.org/markup-compatibility/2006">
      <mc:Choice Requires="x14">
        <control shapeId="2056" r:id="rId5" name="cmd시트보호">
          <controlPr defaultSize="0" autoLine="0" r:id="rId6">
            <anchor moveWithCells="1">
              <from>
                <xdr:col>12</xdr:col>
                <xdr:colOff>9525</xdr:colOff>
                <xdr:row>2</xdr:row>
                <xdr:rowOff>171450</xdr:rowOff>
              </from>
              <to>
                <xdr:col>14</xdr:col>
                <xdr:colOff>276225</xdr:colOff>
                <xdr:row>3</xdr:row>
                <xdr:rowOff>0</xdr:rowOff>
              </to>
            </anchor>
          </controlPr>
        </control>
      </mc:Choice>
      <mc:Fallback>
        <control shapeId="2056" r:id="rId5" name="cmd시트보호"/>
      </mc:Fallback>
    </mc:AlternateContent>
    <mc:AlternateContent xmlns:mc="http://schemas.openxmlformats.org/markup-compatibility/2006">
      <mc:Choice Requires="x14">
        <control shapeId="2055" r:id="rId7" name="cmd신규">
          <controlPr defaultSize="0" autoLine="0" r:id="rId8">
            <anchor moveWithCells="1">
              <from>
                <xdr:col>12</xdr:col>
                <xdr:colOff>0</xdr:colOff>
                <xdr:row>7</xdr:row>
                <xdr:rowOff>0</xdr:rowOff>
              </from>
              <to>
                <xdr:col>14</xdr:col>
                <xdr:colOff>19050</xdr:colOff>
                <xdr:row>8</xdr:row>
                <xdr:rowOff>76200</xdr:rowOff>
              </to>
            </anchor>
          </controlPr>
        </control>
      </mc:Choice>
      <mc:Fallback>
        <control shapeId="2055" r:id="rId7" name="cmd신규"/>
      </mc:Fallback>
    </mc:AlternateContent>
    <mc:AlternateContent xmlns:mc="http://schemas.openxmlformats.org/markup-compatibility/2006">
      <mc:Choice Requires="x14">
        <control shapeId="2054" r:id="rId9" name="cmd저장">
          <controlPr defaultSize="0" autoLine="0" r:id="rId10">
            <anchor moveWithCells="1">
              <from>
                <xdr:col>12</xdr:col>
                <xdr:colOff>0</xdr:colOff>
                <xdr:row>4</xdr:row>
                <xdr:rowOff>276225</xdr:rowOff>
              </from>
              <to>
                <xdr:col>14</xdr:col>
                <xdr:colOff>19050</xdr:colOff>
                <xdr:row>6</xdr:row>
                <xdr:rowOff>219075</xdr:rowOff>
              </to>
            </anchor>
          </controlPr>
        </control>
      </mc:Choice>
      <mc:Fallback>
        <control shapeId="2054" r:id="rId9" name="cmd저장"/>
      </mc:Fallback>
    </mc:AlternateContent>
    <mc:AlternateContent xmlns:mc="http://schemas.openxmlformats.org/markup-compatibility/2006">
      <mc:Choice Requires="x14">
        <control shapeId="2053" r:id="rId11" name="cmd삭제">
          <controlPr defaultSize="0" autoLine="0" r:id="rId12">
            <anchor moveWithCells="1">
              <from>
                <xdr:col>12</xdr:col>
                <xdr:colOff>0</xdr:colOff>
                <xdr:row>3</xdr:row>
                <xdr:rowOff>95250</xdr:rowOff>
              </from>
              <to>
                <xdr:col>14</xdr:col>
                <xdr:colOff>19050</xdr:colOff>
                <xdr:row>4</xdr:row>
                <xdr:rowOff>266700</xdr:rowOff>
              </to>
            </anchor>
          </controlPr>
        </control>
      </mc:Choice>
      <mc:Fallback>
        <control shapeId="2053" r:id="rId11" name="cmd삭제"/>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1"/>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468</v>
      </c>
      <c r="C8" s="43">
        <v>15</v>
      </c>
      <c r="D8" s="42" t="s">
        <v>469</v>
      </c>
      <c r="E8" s="27" t="s">
        <v>470</v>
      </c>
      <c r="F8" s="27" t="s">
        <v>471</v>
      </c>
      <c r="G8" s="100" t="s">
        <v>472</v>
      </c>
      <c r="H8" s="49">
        <v>41961</v>
      </c>
      <c r="I8" s="49">
        <v>41969</v>
      </c>
      <c r="J8" s="43" t="s">
        <v>473</v>
      </c>
      <c r="K8" s="28">
        <v>2765400</v>
      </c>
      <c r="L8" s="28" t="s">
        <v>464</v>
      </c>
      <c r="M8" s="28" t="s">
        <v>466</v>
      </c>
      <c r="N8" s="28" t="s">
        <v>465</v>
      </c>
      <c r="O8" t="s">
        <v>467</v>
      </c>
      <c r="P8" s="27"/>
      <c r="Q8" s="14"/>
      <c r="R8" s="14"/>
    </row>
    <row r="9" spans="1:18" x14ac:dyDescent="0.3">
      <c r="B9" s="43" t="s">
        <v>392</v>
      </c>
      <c r="C9" s="43">
        <v>17</v>
      </c>
      <c r="D9" s="42" t="s">
        <v>22</v>
      </c>
      <c r="E9" s="27" t="s">
        <v>23</v>
      </c>
      <c r="F9" s="27" t="s">
        <v>443</v>
      </c>
      <c r="G9" s="100" t="s">
        <v>362</v>
      </c>
      <c r="H9" s="49">
        <v>41771</v>
      </c>
      <c r="I9" s="49">
        <v>41722</v>
      </c>
      <c r="J9" s="43" t="s">
        <v>444</v>
      </c>
      <c r="K9" s="28">
        <v>1233100</v>
      </c>
      <c r="L9" s="28" t="s">
        <v>445</v>
      </c>
      <c r="M9" s="28" t="s">
        <v>446</v>
      </c>
      <c r="N9" s="28" t="s">
        <v>447</v>
      </c>
      <c r="O9" s="28" t="s">
        <v>448</v>
      </c>
      <c r="P9" s="28"/>
    </row>
    <row r="10" spans="1:18" x14ac:dyDescent="0.3">
      <c r="B10" s="43" t="s">
        <v>454</v>
      </c>
      <c r="C10" s="43">
        <v>24</v>
      </c>
      <c r="D10" s="42" t="s">
        <v>455</v>
      </c>
      <c r="E10" s="27" t="s">
        <v>456</v>
      </c>
      <c r="F10" s="27" t="s">
        <v>457</v>
      </c>
      <c r="G10" s="100" t="s">
        <v>458</v>
      </c>
      <c r="H10" s="49">
        <v>41772</v>
      </c>
      <c r="I10" s="49">
        <v>41787</v>
      </c>
      <c r="J10" s="43" t="s">
        <v>459</v>
      </c>
      <c r="K10" s="28">
        <v>2789622</v>
      </c>
      <c r="L10" s="28" t="s">
        <v>460</v>
      </c>
      <c r="M10" s="28" t="s">
        <v>461</v>
      </c>
      <c r="N10" s="28" t="s">
        <v>462</v>
      </c>
      <c r="O10" s="28" t="s">
        <v>463</v>
      </c>
      <c r="P10" s="28"/>
    </row>
    <row r="11" spans="1:18" x14ac:dyDescent="0.3">
      <c r="B11" s="43" t="s">
        <v>476</v>
      </c>
      <c r="C11" s="43">
        <v>19</v>
      </c>
      <c r="D11" s="42" t="s">
        <v>478</v>
      </c>
      <c r="E11" s="27" t="s">
        <v>479</v>
      </c>
      <c r="F11" s="27" t="s">
        <v>333</v>
      </c>
      <c r="G11" s="100" t="s">
        <v>364</v>
      </c>
      <c r="H11" s="49">
        <v>41687</v>
      </c>
      <c r="I11" s="49">
        <v>41691</v>
      </c>
      <c r="J11" s="43" t="s">
        <v>480</v>
      </c>
      <c r="K11" s="28">
        <v>871200</v>
      </c>
      <c r="L11" s="28" t="s">
        <v>481</v>
      </c>
      <c r="M11" s="28" t="s">
        <v>482</v>
      </c>
      <c r="N11" s="28" t="s">
        <v>483</v>
      </c>
      <c r="O11" s="28" t="s">
        <v>484</v>
      </c>
      <c r="P11"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2"/>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449</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453</v>
      </c>
    </row>
    <row r="19" spans="2:8" x14ac:dyDescent="0.3">
      <c r="B19" s="43" t="s">
        <v>449</v>
      </c>
      <c r="C19" s="43">
        <v>2</v>
      </c>
      <c r="D19" s="27" t="s">
        <v>442</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449</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449</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449</v>
      </c>
      <c r="C22" s="43">
        <v>5</v>
      </c>
      <c r="D22" s="27" t="s">
        <v>450</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452</v>
      </c>
    </row>
    <row r="23" spans="2:8" x14ac:dyDescent="0.3">
      <c r="B23" s="43" t="s">
        <v>449</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449</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row r="31" spans="2:8" x14ac:dyDescent="0.3">
      <c r="B31" s="43" t="s">
        <v>476</v>
      </c>
      <c r="C31" s="43">
        <v>1</v>
      </c>
      <c r="D31" s="27" t="s">
        <v>442</v>
      </c>
      <c r="E31" s="42" t="str">
        <f>IFERROR(INDEX(tbl제품[품목],MATCH(tbl견적서세부[[#This Row],[품목코드]],tbl제품[품목코드],0)),"")</f>
        <v>파워포인트 기능 완전 정복</v>
      </c>
      <c r="F31" s="27">
        <v>20</v>
      </c>
      <c r="G31" s="50">
        <f>IFERROR(INDEX(tbl제품[단가],MATCH(tbl견적서세부[[#This Row],[품목코드]],tbl제품[품목코드],0)),"")</f>
        <v>19800</v>
      </c>
      <c r="H31" s="27"/>
    </row>
    <row r="32" spans="2:8" x14ac:dyDescent="0.3">
      <c r="B32" s="43" t="s">
        <v>476</v>
      </c>
      <c r="C32" s="43">
        <v>2</v>
      </c>
      <c r="D32" s="27" t="s">
        <v>37</v>
      </c>
      <c r="E32" s="42" t="str">
        <f>IFERROR(INDEX(tbl제품[품목],MATCH(tbl견적서세부[[#This Row],[품목코드]],tbl제품[품목코드],0)),"")</f>
        <v>엑셀 매크로&amp;VBA 기능 완전 정복</v>
      </c>
      <c r="F32" s="27">
        <v>20</v>
      </c>
      <c r="G32" s="50">
        <f>IFERROR(INDEX(tbl제품[단가],MATCH(tbl견적서세부[[#This Row],[품목코드]],tbl제품[품목코드],0)),"")</f>
        <v>19800</v>
      </c>
      <c r="H32" s="27"/>
    </row>
  </sheetData>
  <phoneticPr fontId="1" type="noConversion"/>
  <dataValidations count="2">
    <dataValidation imeMode="halfHangul" allowBlank="1" showInputMessage="1" showErrorMessage="1" sqref="B65451:E65451 C982956:E982984 C917420:E917448 C851884:E851912 C786348:E786376 C720812:E720840 C655276:E655304 C589740:E589768 C524204:E524232 C458668:E458696 C393132:E393160 C327596:E327624 C262060:E262088 C196524:E196552 C130988:E131016 C65452:E65480 B982955:E982955 B917419:E917419 B851883:E851883 B786347:E786347 B720811:E720811 B655275:E655275 B589739:E589739 B524203:E524203 B458667:E458667 B393131:E393131 B327595:E327595 B262059:E262059 B196523:E196523 B130987:E130987 IW65451:IZ65451 SS65451:SV65451 ACO65451:ACR65451 AMK65451:AMN65451 AWG65451:AWJ65451 BGC65451:BGF65451 BPY65451:BQB65451 BZU65451:BZX65451 CJQ65451:CJT65451 CTM65451:CTP65451 DDI65451:DDL65451 DNE65451:DNH65451 DXA65451:DXD65451 EGW65451:EGZ65451 EQS65451:EQV65451 FAO65451:FAR65451 FKK65451:FKN65451 FUG65451:FUJ65451 GEC65451:GEF65451 GNY65451:GOB65451 GXU65451:GXX65451 HHQ65451:HHT65451 HRM65451:HRP65451 IBI65451:IBL65451 ILE65451:ILH65451 IVA65451:IVD65451 JEW65451:JEZ65451 JOS65451:JOV65451 JYO65451:JYR65451 KIK65451:KIN65451 KSG65451:KSJ65451 LCC65451:LCF65451 LLY65451:LMB65451 LVU65451:LVX65451 MFQ65451:MFT65451 MPM65451:MPP65451 MZI65451:MZL65451 NJE65451:NJH65451 NTA65451:NTD65451 OCW65451:OCZ65451 OMS65451:OMV65451 OWO65451:OWR65451 PGK65451:PGN65451 PQG65451:PQJ65451 QAC65451:QAF65451 QJY65451:QKB65451 QTU65451:QTX65451 RDQ65451:RDT65451 RNM65451:RNP65451 RXI65451:RXL65451 SHE65451:SHH65451 SRA65451:SRD65451 TAW65451:TAZ65451 TKS65451:TKV65451 TUO65451:TUR65451 UEK65451:UEN65451 UOG65451:UOJ65451 UYC65451:UYF65451 VHY65451:VIB65451 VRU65451:VRX65451 WBQ65451:WBT65451 WLM65451:WLP65451 WVI65451:WVL65451 IW130987:IZ130987 SS130987:SV130987 ACO130987:ACR130987 AMK130987:AMN130987 AWG130987:AWJ130987 BGC130987:BGF130987 BPY130987:BQB130987 BZU130987:BZX130987 CJQ130987:CJT130987 CTM130987:CTP130987 DDI130987:DDL130987 DNE130987:DNH130987 DXA130987:DXD130987 EGW130987:EGZ130987 EQS130987:EQV130987 FAO130987:FAR130987 FKK130987:FKN130987 FUG130987:FUJ130987 GEC130987:GEF130987 GNY130987:GOB130987 GXU130987:GXX130987 HHQ130987:HHT130987 HRM130987:HRP130987 IBI130987:IBL130987 ILE130987:ILH130987 IVA130987:IVD130987 JEW130987:JEZ130987 JOS130987:JOV130987 JYO130987:JYR130987 KIK130987:KIN130987 KSG130987:KSJ130987 LCC130987:LCF130987 LLY130987:LMB130987 LVU130987:LVX130987 MFQ130987:MFT130987 MPM130987:MPP130987 MZI130987:MZL130987 NJE130987:NJH130987 NTA130987:NTD130987 OCW130987:OCZ130987 OMS130987:OMV130987 OWO130987:OWR130987 PGK130987:PGN130987 PQG130987:PQJ130987 QAC130987:QAF130987 QJY130987:QKB130987 QTU130987:QTX130987 RDQ130987:RDT130987 RNM130987:RNP130987 RXI130987:RXL130987 SHE130987:SHH130987 SRA130987:SRD130987 TAW130987:TAZ130987 TKS130987:TKV130987 TUO130987:TUR130987 UEK130987:UEN130987 UOG130987:UOJ130987 UYC130987:UYF130987 VHY130987:VIB130987 VRU130987:VRX130987 WBQ130987:WBT130987 WLM130987:WLP130987 WVI130987:WVL130987 IW196523:IZ196523 SS196523:SV196523 ACO196523:ACR196523 AMK196523:AMN196523 AWG196523:AWJ196523 BGC196523:BGF196523 BPY196523:BQB196523 BZU196523:BZX196523 CJQ196523:CJT196523 CTM196523:CTP196523 DDI196523:DDL196523 DNE196523:DNH196523 DXA196523:DXD196523 EGW196523:EGZ196523 EQS196523:EQV196523 FAO196523:FAR196523 FKK196523:FKN196523 FUG196523:FUJ196523 GEC196523:GEF196523 GNY196523:GOB196523 GXU196523:GXX196523 HHQ196523:HHT196523 HRM196523:HRP196523 IBI196523:IBL196523 ILE196523:ILH196523 IVA196523:IVD196523 JEW196523:JEZ196523 JOS196523:JOV196523 JYO196523:JYR196523 KIK196523:KIN196523 KSG196523:KSJ196523 LCC196523:LCF196523 LLY196523:LMB196523 LVU196523:LVX196523 MFQ196523:MFT196523 MPM196523:MPP196523 MZI196523:MZL196523 NJE196523:NJH196523 NTA196523:NTD196523 OCW196523:OCZ196523 OMS196523:OMV196523 OWO196523:OWR196523 PGK196523:PGN196523 PQG196523:PQJ196523 QAC196523:QAF196523 QJY196523:QKB196523 QTU196523:QTX196523 RDQ196523:RDT196523 RNM196523:RNP196523 RXI196523:RXL196523 SHE196523:SHH196523 SRA196523:SRD196523 TAW196523:TAZ196523 TKS196523:TKV196523 TUO196523:TUR196523 UEK196523:UEN196523 UOG196523:UOJ196523 UYC196523:UYF196523 VHY196523:VIB196523 VRU196523:VRX196523 WBQ196523:WBT196523 WLM196523:WLP196523 WVI196523:WVL196523 IW262059:IZ262059 SS262059:SV262059 ACO262059:ACR262059 AMK262059:AMN262059 AWG262059:AWJ262059 BGC262059:BGF262059 BPY262059:BQB262059 BZU262059:BZX262059 CJQ262059:CJT262059 CTM262059:CTP262059 DDI262059:DDL262059 DNE262059:DNH262059 DXA262059:DXD262059 EGW262059:EGZ262059 EQS262059:EQV262059 FAO262059:FAR262059 FKK262059:FKN262059 FUG262059:FUJ262059 GEC262059:GEF262059 GNY262059:GOB262059 GXU262059:GXX262059 HHQ262059:HHT262059 HRM262059:HRP262059 IBI262059:IBL262059 ILE262059:ILH262059 IVA262059:IVD262059 JEW262059:JEZ262059 JOS262059:JOV262059 JYO262059:JYR262059 KIK262059:KIN262059 KSG262059:KSJ262059 LCC262059:LCF262059 LLY262059:LMB262059 LVU262059:LVX262059 MFQ262059:MFT262059 MPM262059:MPP262059 MZI262059:MZL262059 NJE262059:NJH262059 NTA262059:NTD262059 OCW262059:OCZ262059 OMS262059:OMV262059 OWO262059:OWR262059 PGK262059:PGN262059 PQG262059:PQJ262059 QAC262059:QAF262059 QJY262059:QKB262059 QTU262059:QTX262059 RDQ262059:RDT262059 RNM262059:RNP262059 RXI262059:RXL262059 SHE262059:SHH262059 SRA262059:SRD262059 TAW262059:TAZ262059 TKS262059:TKV262059 TUO262059:TUR262059 UEK262059:UEN262059 UOG262059:UOJ262059 UYC262059:UYF262059 VHY262059:VIB262059 VRU262059:VRX262059 WBQ262059:WBT262059 WLM262059:WLP262059 WVI262059:WVL262059 IW327595:IZ327595 SS327595:SV327595 ACO327595:ACR327595 AMK327595:AMN327595 AWG327595:AWJ327595 BGC327595:BGF327595 BPY327595:BQB327595 BZU327595:BZX327595 CJQ327595:CJT327595 CTM327595:CTP327595 DDI327595:DDL327595 DNE327595:DNH327595 DXA327595:DXD327595 EGW327595:EGZ327595 EQS327595:EQV327595 FAO327595:FAR327595 FKK327595:FKN327595 FUG327595:FUJ327595 GEC327595:GEF327595 GNY327595:GOB327595 GXU327595:GXX327595 HHQ327595:HHT327595 HRM327595:HRP327595 IBI327595:IBL327595 ILE327595:ILH327595 IVA327595:IVD327595 JEW327595:JEZ327595 JOS327595:JOV327595 JYO327595:JYR327595 KIK327595:KIN327595 KSG327595:KSJ327595 LCC327595:LCF327595 LLY327595:LMB327595 LVU327595:LVX327595 MFQ327595:MFT327595 MPM327595:MPP327595 MZI327595:MZL327595 NJE327595:NJH327595 NTA327595:NTD327595 OCW327595:OCZ327595 OMS327595:OMV327595 OWO327595:OWR327595 PGK327595:PGN327595 PQG327595:PQJ327595 QAC327595:QAF327595 QJY327595:QKB327595 QTU327595:QTX327595 RDQ327595:RDT327595 RNM327595:RNP327595 RXI327595:RXL327595 SHE327595:SHH327595 SRA327595:SRD327595 TAW327595:TAZ327595 TKS327595:TKV327595 TUO327595:TUR327595 UEK327595:UEN327595 UOG327595:UOJ327595 UYC327595:UYF327595 VHY327595:VIB327595 VRU327595:VRX327595 WBQ327595:WBT327595 WLM327595:WLP327595 WVI327595:WVL327595 IW393131:IZ393131 SS393131:SV393131 ACO393131:ACR393131 AMK393131:AMN393131 AWG393131:AWJ393131 BGC393131:BGF393131 BPY393131:BQB393131 BZU393131:BZX393131 CJQ393131:CJT393131 CTM393131:CTP393131 DDI393131:DDL393131 DNE393131:DNH393131 DXA393131:DXD393131 EGW393131:EGZ393131 EQS393131:EQV393131 FAO393131:FAR393131 FKK393131:FKN393131 FUG393131:FUJ393131 GEC393131:GEF393131 GNY393131:GOB393131 GXU393131:GXX393131 HHQ393131:HHT393131 HRM393131:HRP393131 IBI393131:IBL393131 ILE393131:ILH393131 IVA393131:IVD393131 JEW393131:JEZ393131 JOS393131:JOV393131 JYO393131:JYR393131 KIK393131:KIN393131 KSG393131:KSJ393131 LCC393131:LCF393131 LLY393131:LMB393131 LVU393131:LVX393131 MFQ393131:MFT393131 MPM393131:MPP393131 MZI393131:MZL393131 NJE393131:NJH393131 NTA393131:NTD393131 OCW393131:OCZ393131 OMS393131:OMV393131 OWO393131:OWR393131 PGK393131:PGN393131 PQG393131:PQJ393131 QAC393131:QAF393131 QJY393131:QKB393131 QTU393131:QTX393131 RDQ393131:RDT393131 RNM393131:RNP393131 RXI393131:RXL393131 SHE393131:SHH393131 SRA393131:SRD393131 TAW393131:TAZ393131 TKS393131:TKV393131 TUO393131:TUR393131 UEK393131:UEN393131 UOG393131:UOJ393131 UYC393131:UYF393131 VHY393131:VIB393131 VRU393131:VRX393131 WBQ393131:WBT393131 WLM393131:WLP393131 WVI393131:WVL393131 IW458667:IZ458667 SS458667:SV458667 ACO458667:ACR458667 AMK458667:AMN458667 AWG458667:AWJ458667 BGC458667:BGF458667 BPY458667:BQB458667 BZU458667:BZX458667 CJQ458667:CJT458667 CTM458667:CTP458667 DDI458667:DDL458667 DNE458667:DNH458667 DXA458667:DXD458667 EGW458667:EGZ458667 EQS458667:EQV458667 FAO458667:FAR458667 FKK458667:FKN458667 FUG458667:FUJ458667 GEC458667:GEF458667 GNY458667:GOB458667 GXU458667:GXX458667 HHQ458667:HHT458667 HRM458667:HRP458667 IBI458667:IBL458667 ILE458667:ILH458667 IVA458667:IVD458667 JEW458667:JEZ458667 JOS458667:JOV458667 JYO458667:JYR458667 KIK458667:KIN458667 KSG458667:KSJ458667 LCC458667:LCF458667 LLY458667:LMB458667 LVU458667:LVX458667 MFQ458667:MFT458667 MPM458667:MPP458667 MZI458667:MZL458667 NJE458667:NJH458667 NTA458667:NTD458667 OCW458667:OCZ458667 OMS458667:OMV458667 OWO458667:OWR458667 PGK458667:PGN458667 PQG458667:PQJ458667 QAC458667:QAF458667 QJY458667:QKB458667 QTU458667:QTX458667 RDQ458667:RDT458667 RNM458667:RNP458667 RXI458667:RXL458667 SHE458667:SHH458667 SRA458667:SRD458667 TAW458667:TAZ458667 TKS458667:TKV458667 TUO458667:TUR458667 UEK458667:UEN458667 UOG458667:UOJ458667 UYC458667:UYF458667 VHY458667:VIB458667 VRU458667:VRX458667 WBQ458667:WBT458667 WLM458667:WLP458667 WVI458667:WVL458667 IW524203:IZ524203 SS524203:SV524203 ACO524203:ACR524203 AMK524203:AMN524203 AWG524203:AWJ524203 BGC524203:BGF524203 BPY524203:BQB524203 BZU524203:BZX524203 CJQ524203:CJT524203 CTM524203:CTP524203 DDI524203:DDL524203 DNE524203:DNH524203 DXA524203:DXD524203 EGW524203:EGZ524203 EQS524203:EQV524203 FAO524203:FAR524203 FKK524203:FKN524203 FUG524203:FUJ524203 GEC524203:GEF524203 GNY524203:GOB524203 GXU524203:GXX524203 HHQ524203:HHT524203 HRM524203:HRP524203 IBI524203:IBL524203 ILE524203:ILH524203 IVA524203:IVD524203 JEW524203:JEZ524203 JOS524203:JOV524203 JYO524203:JYR524203 KIK524203:KIN524203 KSG524203:KSJ524203 LCC524203:LCF524203 LLY524203:LMB524203 LVU524203:LVX524203 MFQ524203:MFT524203 MPM524203:MPP524203 MZI524203:MZL524203 NJE524203:NJH524203 NTA524203:NTD524203 OCW524203:OCZ524203 OMS524203:OMV524203 OWO524203:OWR524203 PGK524203:PGN524203 PQG524203:PQJ524203 QAC524203:QAF524203 QJY524203:QKB524203 QTU524203:QTX524203 RDQ524203:RDT524203 RNM524203:RNP524203 RXI524203:RXL524203 SHE524203:SHH524203 SRA524203:SRD524203 TAW524203:TAZ524203 TKS524203:TKV524203 TUO524203:TUR524203 UEK524203:UEN524203 UOG524203:UOJ524203 UYC524203:UYF524203 VHY524203:VIB524203 VRU524203:VRX524203 WBQ524203:WBT524203 WLM524203:WLP524203 WVI524203:WVL524203 IW589739:IZ589739 SS589739:SV589739 ACO589739:ACR589739 AMK589739:AMN589739 AWG589739:AWJ589739 BGC589739:BGF589739 BPY589739:BQB589739 BZU589739:BZX589739 CJQ589739:CJT589739 CTM589739:CTP589739 DDI589739:DDL589739 DNE589739:DNH589739 DXA589739:DXD589739 EGW589739:EGZ589739 EQS589739:EQV589739 FAO589739:FAR589739 FKK589739:FKN589739 FUG589739:FUJ589739 GEC589739:GEF589739 GNY589739:GOB589739 GXU589739:GXX589739 HHQ589739:HHT589739 HRM589739:HRP589739 IBI589739:IBL589739 ILE589739:ILH589739 IVA589739:IVD589739 JEW589739:JEZ589739 JOS589739:JOV589739 JYO589739:JYR589739 KIK589739:KIN589739 KSG589739:KSJ589739 LCC589739:LCF589739 LLY589739:LMB589739 LVU589739:LVX589739 MFQ589739:MFT589739 MPM589739:MPP589739 MZI589739:MZL589739 NJE589739:NJH589739 NTA589739:NTD589739 OCW589739:OCZ589739 OMS589739:OMV589739 OWO589739:OWR589739 PGK589739:PGN589739 PQG589739:PQJ589739 QAC589739:QAF589739 QJY589739:QKB589739 QTU589739:QTX589739 RDQ589739:RDT589739 RNM589739:RNP589739 RXI589739:RXL589739 SHE589739:SHH589739 SRA589739:SRD589739 TAW589739:TAZ589739 TKS589739:TKV589739 TUO589739:TUR589739 UEK589739:UEN589739 UOG589739:UOJ589739 UYC589739:UYF589739 VHY589739:VIB589739 VRU589739:VRX589739 WBQ589739:WBT589739 WLM589739:WLP589739 WVI589739:WVL589739 IW655275:IZ655275 SS655275:SV655275 ACO655275:ACR655275 AMK655275:AMN655275 AWG655275:AWJ655275 BGC655275:BGF655275 BPY655275:BQB655275 BZU655275:BZX655275 CJQ655275:CJT655275 CTM655275:CTP655275 DDI655275:DDL655275 DNE655275:DNH655275 DXA655275:DXD655275 EGW655275:EGZ655275 EQS655275:EQV655275 FAO655275:FAR655275 FKK655275:FKN655275 FUG655275:FUJ655275 GEC655275:GEF655275 GNY655275:GOB655275 GXU655275:GXX655275 HHQ655275:HHT655275 HRM655275:HRP655275 IBI655275:IBL655275 ILE655275:ILH655275 IVA655275:IVD655275 JEW655275:JEZ655275 JOS655275:JOV655275 JYO655275:JYR655275 KIK655275:KIN655275 KSG655275:KSJ655275 LCC655275:LCF655275 LLY655275:LMB655275 LVU655275:LVX655275 MFQ655275:MFT655275 MPM655275:MPP655275 MZI655275:MZL655275 NJE655275:NJH655275 NTA655275:NTD655275 OCW655275:OCZ655275 OMS655275:OMV655275 OWO655275:OWR655275 PGK655275:PGN655275 PQG655275:PQJ655275 QAC655275:QAF655275 QJY655275:QKB655275 QTU655275:QTX655275 RDQ655275:RDT655275 RNM655275:RNP655275 RXI655275:RXL655275 SHE655275:SHH655275 SRA655275:SRD655275 TAW655275:TAZ655275 TKS655275:TKV655275 TUO655275:TUR655275 UEK655275:UEN655275 UOG655275:UOJ655275 UYC655275:UYF655275 VHY655275:VIB655275 VRU655275:VRX655275 WBQ655275:WBT655275 WLM655275:WLP655275 WVI655275:WVL655275 IW720811:IZ720811 SS720811:SV720811 ACO720811:ACR720811 AMK720811:AMN720811 AWG720811:AWJ720811 BGC720811:BGF720811 BPY720811:BQB720811 BZU720811:BZX720811 CJQ720811:CJT720811 CTM720811:CTP720811 DDI720811:DDL720811 DNE720811:DNH720811 DXA720811:DXD720811 EGW720811:EGZ720811 EQS720811:EQV720811 FAO720811:FAR720811 FKK720811:FKN720811 FUG720811:FUJ720811 GEC720811:GEF720811 GNY720811:GOB720811 GXU720811:GXX720811 HHQ720811:HHT720811 HRM720811:HRP720811 IBI720811:IBL720811 ILE720811:ILH720811 IVA720811:IVD720811 JEW720811:JEZ720811 JOS720811:JOV720811 JYO720811:JYR720811 KIK720811:KIN720811 KSG720811:KSJ720811 LCC720811:LCF720811 LLY720811:LMB720811 LVU720811:LVX720811 MFQ720811:MFT720811 MPM720811:MPP720811 MZI720811:MZL720811 NJE720811:NJH720811 NTA720811:NTD720811 OCW720811:OCZ720811 OMS720811:OMV720811 OWO720811:OWR720811 PGK720811:PGN720811 PQG720811:PQJ720811 QAC720811:QAF720811 QJY720811:QKB720811 QTU720811:QTX720811 RDQ720811:RDT720811 RNM720811:RNP720811 RXI720811:RXL720811 SHE720811:SHH720811 SRA720811:SRD720811 TAW720811:TAZ720811 TKS720811:TKV720811 TUO720811:TUR720811 UEK720811:UEN720811 UOG720811:UOJ720811 UYC720811:UYF720811 VHY720811:VIB720811 VRU720811:VRX720811 WBQ720811:WBT720811 WLM720811:WLP720811 WVI720811:WVL720811 IW786347:IZ786347 SS786347:SV786347 ACO786347:ACR786347 AMK786347:AMN786347 AWG786347:AWJ786347 BGC786347:BGF786347 BPY786347:BQB786347 BZU786347:BZX786347 CJQ786347:CJT786347 CTM786347:CTP786347 DDI786347:DDL786347 DNE786347:DNH786347 DXA786347:DXD786347 EGW786347:EGZ786347 EQS786347:EQV786347 FAO786347:FAR786347 FKK786347:FKN786347 FUG786347:FUJ786347 GEC786347:GEF786347 GNY786347:GOB786347 GXU786347:GXX786347 HHQ786347:HHT786347 HRM786347:HRP786347 IBI786347:IBL786347 ILE786347:ILH786347 IVA786347:IVD786347 JEW786347:JEZ786347 JOS786347:JOV786347 JYO786347:JYR786347 KIK786347:KIN786347 KSG786347:KSJ786347 LCC786347:LCF786347 LLY786347:LMB786347 LVU786347:LVX786347 MFQ786347:MFT786347 MPM786347:MPP786347 MZI786347:MZL786347 NJE786347:NJH786347 NTA786347:NTD786347 OCW786347:OCZ786347 OMS786347:OMV786347 OWO786347:OWR786347 PGK786347:PGN786347 PQG786347:PQJ786347 QAC786347:QAF786347 QJY786347:QKB786347 QTU786347:QTX786347 RDQ786347:RDT786347 RNM786347:RNP786347 RXI786347:RXL786347 SHE786347:SHH786347 SRA786347:SRD786347 TAW786347:TAZ786347 TKS786347:TKV786347 TUO786347:TUR786347 UEK786347:UEN786347 UOG786347:UOJ786347 UYC786347:UYF786347 VHY786347:VIB786347 VRU786347:VRX786347 WBQ786347:WBT786347 WLM786347:WLP786347 WVI786347:WVL786347 IW851883:IZ851883 SS851883:SV851883 ACO851883:ACR851883 AMK851883:AMN851883 AWG851883:AWJ851883 BGC851883:BGF851883 BPY851883:BQB851883 BZU851883:BZX851883 CJQ851883:CJT851883 CTM851883:CTP851883 DDI851883:DDL851883 DNE851883:DNH851883 DXA851883:DXD851883 EGW851883:EGZ851883 EQS851883:EQV851883 FAO851883:FAR851883 FKK851883:FKN851883 FUG851883:FUJ851883 GEC851883:GEF851883 GNY851883:GOB851883 GXU851883:GXX851883 HHQ851883:HHT851883 HRM851883:HRP851883 IBI851883:IBL851883 ILE851883:ILH851883 IVA851883:IVD851883 JEW851883:JEZ851883 JOS851883:JOV851883 JYO851883:JYR851883 KIK851883:KIN851883 KSG851883:KSJ851883 LCC851883:LCF851883 LLY851883:LMB851883 LVU851883:LVX851883 MFQ851883:MFT851883 MPM851883:MPP851883 MZI851883:MZL851883 NJE851883:NJH851883 NTA851883:NTD851883 OCW851883:OCZ851883 OMS851883:OMV851883 OWO851883:OWR851883 PGK851883:PGN851883 PQG851883:PQJ851883 QAC851883:QAF851883 QJY851883:QKB851883 QTU851883:QTX851883 RDQ851883:RDT851883 RNM851883:RNP851883 RXI851883:RXL851883 SHE851883:SHH851883 SRA851883:SRD851883 TAW851883:TAZ851883 TKS851883:TKV851883 TUO851883:TUR851883 UEK851883:UEN851883 UOG851883:UOJ851883 UYC851883:UYF851883 VHY851883:VIB851883 VRU851883:VRX851883 WBQ851883:WBT851883 WLM851883:WLP851883 WVI851883:WVL851883 IW917419:IZ917419 SS917419:SV917419 ACO917419:ACR917419 AMK917419:AMN917419 AWG917419:AWJ917419 BGC917419:BGF917419 BPY917419:BQB917419 BZU917419:BZX917419 CJQ917419:CJT917419 CTM917419:CTP917419 DDI917419:DDL917419 DNE917419:DNH917419 DXA917419:DXD917419 EGW917419:EGZ917419 EQS917419:EQV917419 FAO917419:FAR917419 FKK917419:FKN917419 FUG917419:FUJ917419 GEC917419:GEF917419 GNY917419:GOB917419 GXU917419:GXX917419 HHQ917419:HHT917419 HRM917419:HRP917419 IBI917419:IBL917419 ILE917419:ILH917419 IVA917419:IVD917419 JEW917419:JEZ917419 JOS917419:JOV917419 JYO917419:JYR917419 KIK917419:KIN917419 KSG917419:KSJ917419 LCC917419:LCF917419 LLY917419:LMB917419 LVU917419:LVX917419 MFQ917419:MFT917419 MPM917419:MPP917419 MZI917419:MZL917419 NJE917419:NJH917419 NTA917419:NTD917419 OCW917419:OCZ917419 OMS917419:OMV917419 OWO917419:OWR917419 PGK917419:PGN917419 PQG917419:PQJ917419 QAC917419:QAF917419 QJY917419:QKB917419 QTU917419:QTX917419 RDQ917419:RDT917419 RNM917419:RNP917419 RXI917419:RXL917419 SHE917419:SHH917419 SRA917419:SRD917419 TAW917419:TAZ917419 TKS917419:TKV917419 TUO917419:TUR917419 UEK917419:UEN917419 UOG917419:UOJ917419 UYC917419:UYF917419 VHY917419:VIB917419 VRU917419:VRX917419 WBQ917419:WBT917419 WLM917419:WLP917419 WVI917419:WVL917419 IW982955:IZ982955 SS982955:SV982955 ACO982955:ACR982955 AMK982955:AMN982955 AWG982955:AWJ982955 BGC982955:BGF982955 BPY982955:BQB982955 BZU982955:BZX982955 CJQ982955:CJT982955 CTM982955:CTP982955 DDI982955:DDL982955 DNE982955:DNH982955 DXA982955:DXD982955 EGW982955:EGZ982955 EQS982955:EQV982955 FAO982955:FAR982955 FKK982955:FKN982955 FUG982955:FUJ982955 GEC982955:GEF982955 GNY982955:GOB982955 GXU982955:GXX982955 HHQ982955:HHT982955 HRM982955:HRP982955 IBI982955:IBL982955 ILE982955:ILH982955 IVA982955:IVD982955 JEW982955:JEZ982955 JOS982955:JOV982955 JYO982955:JYR982955 KIK982955:KIN982955 KSG982955:KSJ982955 LCC982955:LCF982955 LLY982955:LMB982955 LVU982955:LVX982955 MFQ982955:MFT982955 MPM982955:MPP982955 MZI982955:MZL982955 NJE982955:NJH982955 NTA982955:NTD982955 OCW982955:OCZ982955 OMS982955:OMV982955 OWO982955:OWR982955 PGK982955:PGN982955 PQG982955:PQJ982955 QAC982955:QAF982955 QJY982955:QKB982955 QTU982955:QTX982955 RDQ982955:RDT982955 RNM982955:RNP982955 RXI982955:RXL982955 SHE982955:SHH982955 SRA982955:SRD982955 TAW982955:TAZ982955 TKS982955:TKV982955 TUO982955:TUR982955 UEK982955:UEN982955 UOG982955:UOJ982955 UYC982955:UYF982955 VHY982955:VIB982955 VRU982955:VRX982955 WBQ982955:WBT982955 WLM982955:WLP982955 WVI982955:WVL982955 IX65452:IZ65480 ST65452:SV65480 ACP65452:ACR65480 AML65452:AMN65480 AWH65452:AWJ65480 BGD65452:BGF65480 BPZ65452:BQB65480 BZV65452:BZX65480 CJR65452:CJT65480 CTN65452:CTP65480 DDJ65452:DDL65480 DNF65452:DNH65480 DXB65452:DXD65480 EGX65452:EGZ65480 EQT65452:EQV65480 FAP65452:FAR65480 FKL65452:FKN65480 FUH65452:FUJ65480 GED65452:GEF65480 GNZ65452:GOB65480 GXV65452:GXX65480 HHR65452:HHT65480 HRN65452:HRP65480 IBJ65452:IBL65480 ILF65452:ILH65480 IVB65452:IVD65480 JEX65452:JEZ65480 JOT65452:JOV65480 JYP65452:JYR65480 KIL65452:KIN65480 KSH65452:KSJ65480 LCD65452:LCF65480 LLZ65452:LMB65480 LVV65452:LVX65480 MFR65452:MFT65480 MPN65452:MPP65480 MZJ65452:MZL65480 NJF65452:NJH65480 NTB65452:NTD65480 OCX65452:OCZ65480 OMT65452:OMV65480 OWP65452:OWR65480 PGL65452:PGN65480 PQH65452:PQJ65480 QAD65452:QAF65480 QJZ65452:QKB65480 QTV65452:QTX65480 RDR65452:RDT65480 RNN65452:RNP65480 RXJ65452:RXL65480 SHF65452:SHH65480 SRB65452:SRD65480 TAX65452:TAZ65480 TKT65452:TKV65480 TUP65452:TUR65480 UEL65452:UEN65480 UOH65452:UOJ65480 UYD65452:UYF65480 VHZ65452:VIB65480 VRV65452:VRX65480 WBR65452:WBT65480 WLN65452:WLP65480 WVJ65452:WVL65480 IX130988:IZ131016 ST130988:SV131016 ACP130988:ACR131016 AML130988:AMN131016 AWH130988:AWJ131016 BGD130988:BGF131016 BPZ130988:BQB131016 BZV130988:BZX131016 CJR130988:CJT131016 CTN130988:CTP131016 DDJ130988:DDL131016 DNF130988:DNH131016 DXB130988:DXD131016 EGX130988:EGZ131016 EQT130988:EQV131016 FAP130988:FAR131016 FKL130988:FKN131016 FUH130988:FUJ131016 GED130988:GEF131016 GNZ130988:GOB131016 GXV130988:GXX131016 HHR130988:HHT131016 HRN130988:HRP131016 IBJ130988:IBL131016 ILF130988:ILH131016 IVB130988:IVD131016 JEX130988:JEZ131016 JOT130988:JOV131016 JYP130988:JYR131016 KIL130988:KIN131016 KSH130988:KSJ131016 LCD130988:LCF131016 LLZ130988:LMB131016 LVV130988:LVX131016 MFR130988:MFT131016 MPN130988:MPP131016 MZJ130988:MZL131016 NJF130988:NJH131016 NTB130988:NTD131016 OCX130988:OCZ131016 OMT130988:OMV131016 OWP130988:OWR131016 PGL130988:PGN131016 PQH130988:PQJ131016 QAD130988:QAF131016 QJZ130988:QKB131016 QTV130988:QTX131016 RDR130988:RDT131016 RNN130988:RNP131016 RXJ130988:RXL131016 SHF130988:SHH131016 SRB130988:SRD131016 TAX130988:TAZ131016 TKT130988:TKV131016 TUP130988:TUR131016 UEL130988:UEN131016 UOH130988:UOJ131016 UYD130988:UYF131016 VHZ130988:VIB131016 VRV130988:VRX131016 WBR130988:WBT131016 WLN130988:WLP131016 WVJ130988:WVL131016 IX196524:IZ196552 ST196524:SV196552 ACP196524:ACR196552 AML196524:AMN196552 AWH196524:AWJ196552 BGD196524:BGF196552 BPZ196524:BQB196552 BZV196524:BZX196552 CJR196524:CJT196552 CTN196524:CTP196552 DDJ196524:DDL196552 DNF196524:DNH196552 DXB196524:DXD196552 EGX196524:EGZ196552 EQT196524:EQV196552 FAP196524:FAR196552 FKL196524:FKN196552 FUH196524:FUJ196552 GED196524:GEF196552 GNZ196524:GOB196552 GXV196524:GXX196552 HHR196524:HHT196552 HRN196524:HRP196552 IBJ196524:IBL196552 ILF196524:ILH196552 IVB196524:IVD196552 JEX196524:JEZ196552 JOT196524:JOV196552 JYP196524:JYR196552 KIL196524:KIN196552 KSH196524:KSJ196552 LCD196524:LCF196552 LLZ196524:LMB196552 LVV196524:LVX196552 MFR196524:MFT196552 MPN196524:MPP196552 MZJ196524:MZL196552 NJF196524:NJH196552 NTB196524:NTD196552 OCX196524:OCZ196552 OMT196524:OMV196552 OWP196524:OWR196552 PGL196524:PGN196552 PQH196524:PQJ196552 QAD196524:QAF196552 QJZ196524:QKB196552 QTV196524:QTX196552 RDR196524:RDT196552 RNN196524:RNP196552 RXJ196524:RXL196552 SHF196524:SHH196552 SRB196524:SRD196552 TAX196524:TAZ196552 TKT196524:TKV196552 TUP196524:TUR196552 UEL196524:UEN196552 UOH196524:UOJ196552 UYD196524:UYF196552 VHZ196524:VIB196552 VRV196524:VRX196552 WBR196524:WBT196552 WLN196524:WLP196552 WVJ196524:WVL196552 IX262060:IZ262088 ST262060:SV262088 ACP262060:ACR262088 AML262060:AMN262088 AWH262060:AWJ262088 BGD262060:BGF262088 BPZ262060:BQB262088 BZV262060:BZX262088 CJR262060:CJT262088 CTN262060:CTP262088 DDJ262060:DDL262088 DNF262060:DNH262088 DXB262060:DXD262088 EGX262060:EGZ262088 EQT262060:EQV262088 FAP262060:FAR262088 FKL262060:FKN262088 FUH262060:FUJ262088 GED262060:GEF262088 GNZ262060:GOB262088 GXV262060:GXX262088 HHR262060:HHT262088 HRN262060:HRP262088 IBJ262060:IBL262088 ILF262060:ILH262088 IVB262060:IVD262088 JEX262060:JEZ262088 JOT262060:JOV262088 JYP262060:JYR262088 KIL262060:KIN262088 KSH262060:KSJ262088 LCD262060:LCF262088 LLZ262060:LMB262088 LVV262060:LVX262088 MFR262060:MFT262088 MPN262060:MPP262088 MZJ262060:MZL262088 NJF262060:NJH262088 NTB262060:NTD262088 OCX262060:OCZ262088 OMT262060:OMV262088 OWP262060:OWR262088 PGL262060:PGN262088 PQH262060:PQJ262088 QAD262060:QAF262088 QJZ262060:QKB262088 QTV262060:QTX262088 RDR262060:RDT262088 RNN262060:RNP262088 RXJ262060:RXL262088 SHF262060:SHH262088 SRB262060:SRD262088 TAX262060:TAZ262088 TKT262060:TKV262088 TUP262060:TUR262088 UEL262060:UEN262088 UOH262060:UOJ262088 UYD262060:UYF262088 VHZ262060:VIB262088 VRV262060:VRX262088 WBR262060:WBT262088 WLN262060:WLP262088 WVJ262060:WVL262088 IX327596:IZ327624 ST327596:SV327624 ACP327596:ACR327624 AML327596:AMN327624 AWH327596:AWJ327624 BGD327596:BGF327624 BPZ327596:BQB327624 BZV327596:BZX327624 CJR327596:CJT327624 CTN327596:CTP327624 DDJ327596:DDL327624 DNF327596:DNH327624 DXB327596:DXD327624 EGX327596:EGZ327624 EQT327596:EQV327624 FAP327596:FAR327624 FKL327596:FKN327624 FUH327596:FUJ327624 GED327596:GEF327624 GNZ327596:GOB327624 GXV327596:GXX327624 HHR327596:HHT327624 HRN327596:HRP327624 IBJ327596:IBL327624 ILF327596:ILH327624 IVB327596:IVD327624 JEX327596:JEZ327624 JOT327596:JOV327624 JYP327596:JYR327624 KIL327596:KIN327624 KSH327596:KSJ327624 LCD327596:LCF327624 LLZ327596:LMB327624 LVV327596:LVX327624 MFR327596:MFT327624 MPN327596:MPP327624 MZJ327596:MZL327624 NJF327596:NJH327624 NTB327596:NTD327624 OCX327596:OCZ327624 OMT327596:OMV327624 OWP327596:OWR327624 PGL327596:PGN327624 PQH327596:PQJ327624 QAD327596:QAF327624 QJZ327596:QKB327624 QTV327596:QTX327624 RDR327596:RDT327624 RNN327596:RNP327624 RXJ327596:RXL327624 SHF327596:SHH327624 SRB327596:SRD327624 TAX327596:TAZ327624 TKT327596:TKV327624 TUP327596:TUR327624 UEL327596:UEN327624 UOH327596:UOJ327624 UYD327596:UYF327624 VHZ327596:VIB327624 VRV327596:VRX327624 WBR327596:WBT327624 WLN327596:WLP327624 WVJ327596:WVL327624 IX393132:IZ393160 ST393132:SV393160 ACP393132:ACR393160 AML393132:AMN393160 AWH393132:AWJ393160 BGD393132:BGF393160 BPZ393132:BQB393160 BZV393132:BZX393160 CJR393132:CJT393160 CTN393132:CTP393160 DDJ393132:DDL393160 DNF393132:DNH393160 DXB393132:DXD393160 EGX393132:EGZ393160 EQT393132:EQV393160 FAP393132:FAR393160 FKL393132:FKN393160 FUH393132:FUJ393160 GED393132:GEF393160 GNZ393132:GOB393160 GXV393132:GXX393160 HHR393132:HHT393160 HRN393132:HRP393160 IBJ393132:IBL393160 ILF393132:ILH393160 IVB393132:IVD393160 JEX393132:JEZ393160 JOT393132:JOV393160 JYP393132:JYR393160 KIL393132:KIN393160 KSH393132:KSJ393160 LCD393132:LCF393160 LLZ393132:LMB393160 LVV393132:LVX393160 MFR393132:MFT393160 MPN393132:MPP393160 MZJ393132:MZL393160 NJF393132:NJH393160 NTB393132:NTD393160 OCX393132:OCZ393160 OMT393132:OMV393160 OWP393132:OWR393160 PGL393132:PGN393160 PQH393132:PQJ393160 QAD393132:QAF393160 QJZ393132:QKB393160 QTV393132:QTX393160 RDR393132:RDT393160 RNN393132:RNP393160 RXJ393132:RXL393160 SHF393132:SHH393160 SRB393132:SRD393160 TAX393132:TAZ393160 TKT393132:TKV393160 TUP393132:TUR393160 UEL393132:UEN393160 UOH393132:UOJ393160 UYD393132:UYF393160 VHZ393132:VIB393160 VRV393132:VRX393160 WBR393132:WBT393160 WLN393132:WLP393160 WVJ393132:WVL393160 IX458668:IZ458696 ST458668:SV458696 ACP458668:ACR458696 AML458668:AMN458696 AWH458668:AWJ458696 BGD458668:BGF458696 BPZ458668:BQB458696 BZV458668:BZX458696 CJR458668:CJT458696 CTN458668:CTP458696 DDJ458668:DDL458696 DNF458668:DNH458696 DXB458668:DXD458696 EGX458668:EGZ458696 EQT458668:EQV458696 FAP458668:FAR458696 FKL458668:FKN458696 FUH458668:FUJ458696 GED458668:GEF458696 GNZ458668:GOB458696 GXV458668:GXX458696 HHR458668:HHT458696 HRN458668:HRP458696 IBJ458668:IBL458696 ILF458668:ILH458696 IVB458668:IVD458696 JEX458668:JEZ458696 JOT458668:JOV458696 JYP458668:JYR458696 KIL458668:KIN458696 KSH458668:KSJ458696 LCD458668:LCF458696 LLZ458668:LMB458696 LVV458668:LVX458696 MFR458668:MFT458696 MPN458668:MPP458696 MZJ458668:MZL458696 NJF458668:NJH458696 NTB458668:NTD458696 OCX458668:OCZ458696 OMT458668:OMV458696 OWP458668:OWR458696 PGL458668:PGN458696 PQH458668:PQJ458696 QAD458668:QAF458696 QJZ458668:QKB458696 QTV458668:QTX458696 RDR458668:RDT458696 RNN458668:RNP458696 RXJ458668:RXL458696 SHF458668:SHH458696 SRB458668:SRD458696 TAX458668:TAZ458696 TKT458668:TKV458696 TUP458668:TUR458696 UEL458668:UEN458696 UOH458668:UOJ458696 UYD458668:UYF458696 VHZ458668:VIB458696 VRV458668:VRX458696 WBR458668:WBT458696 WLN458668:WLP458696 WVJ458668:WVL458696 IX524204:IZ524232 ST524204:SV524232 ACP524204:ACR524232 AML524204:AMN524232 AWH524204:AWJ524232 BGD524204:BGF524232 BPZ524204:BQB524232 BZV524204:BZX524232 CJR524204:CJT524232 CTN524204:CTP524232 DDJ524204:DDL524232 DNF524204:DNH524232 DXB524204:DXD524232 EGX524204:EGZ524232 EQT524204:EQV524232 FAP524204:FAR524232 FKL524204:FKN524232 FUH524204:FUJ524232 GED524204:GEF524232 GNZ524204:GOB524232 GXV524204:GXX524232 HHR524204:HHT524232 HRN524204:HRP524232 IBJ524204:IBL524232 ILF524204:ILH524232 IVB524204:IVD524232 JEX524204:JEZ524232 JOT524204:JOV524232 JYP524204:JYR524232 KIL524204:KIN524232 KSH524204:KSJ524232 LCD524204:LCF524232 LLZ524204:LMB524232 LVV524204:LVX524232 MFR524204:MFT524232 MPN524204:MPP524232 MZJ524204:MZL524232 NJF524204:NJH524232 NTB524204:NTD524232 OCX524204:OCZ524232 OMT524204:OMV524232 OWP524204:OWR524232 PGL524204:PGN524232 PQH524204:PQJ524232 QAD524204:QAF524232 QJZ524204:QKB524232 QTV524204:QTX524232 RDR524204:RDT524232 RNN524204:RNP524232 RXJ524204:RXL524232 SHF524204:SHH524232 SRB524204:SRD524232 TAX524204:TAZ524232 TKT524204:TKV524232 TUP524204:TUR524232 UEL524204:UEN524232 UOH524204:UOJ524232 UYD524204:UYF524232 VHZ524204:VIB524232 VRV524204:VRX524232 WBR524204:WBT524232 WLN524204:WLP524232 WVJ524204:WVL524232 IX589740:IZ589768 ST589740:SV589768 ACP589740:ACR589768 AML589740:AMN589768 AWH589740:AWJ589768 BGD589740:BGF589768 BPZ589740:BQB589768 BZV589740:BZX589768 CJR589740:CJT589768 CTN589740:CTP589768 DDJ589740:DDL589768 DNF589740:DNH589768 DXB589740:DXD589768 EGX589740:EGZ589768 EQT589740:EQV589768 FAP589740:FAR589768 FKL589740:FKN589768 FUH589740:FUJ589768 GED589740:GEF589768 GNZ589740:GOB589768 GXV589740:GXX589768 HHR589740:HHT589768 HRN589740:HRP589768 IBJ589740:IBL589768 ILF589740:ILH589768 IVB589740:IVD589768 JEX589740:JEZ589768 JOT589740:JOV589768 JYP589740:JYR589768 KIL589740:KIN589768 KSH589740:KSJ589768 LCD589740:LCF589768 LLZ589740:LMB589768 LVV589740:LVX589768 MFR589740:MFT589768 MPN589740:MPP589768 MZJ589740:MZL589768 NJF589740:NJH589768 NTB589740:NTD589768 OCX589740:OCZ589768 OMT589740:OMV589768 OWP589740:OWR589768 PGL589740:PGN589768 PQH589740:PQJ589768 QAD589740:QAF589768 QJZ589740:QKB589768 QTV589740:QTX589768 RDR589740:RDT589768 RNN589740:RNP589768 RXJ589740:RXL589768 SHF589740:SHH589768 SRB589740:SRD589768 TAX589740:TAZ589768 TKT589740:TKV589768 TUP589740:TUR589768 UEL589740:UEN589768 UOH589740:UOJ589768 UYD589740:UYF589768 VHZ589740:VIB589768 VRV589740:VRX589768 WBR589740:WBT589768 WLN589740:WLP589768 WVJ589740:WVL589768 IX655276:IZ655304 ST655276:SV655304 ACP655276:ACR655304 AML655276:AMN655304 AWH655276:AWJ655304 BGD655276:BGF655304 BPZ655276:BQB655304 BZV655276:BZX655304 CJR655276:CJT655304 CTN655276:CTP655304 DDJ655276:DDL655304 DNF655276:DNH655304 DXB655276:DXD655304 EGX655276:EGZ655304 EQT655276:EQV655304 FAP655276:FAR655304 FKL655276:FKN655304 FUH655276:FUJ655304 GED655276:GEF655304 GNZ655276:GOB655304 GXV655276:GXX655304 HHR655276:HHT655304 HRN655276:HRP655304 IBJ655276:IBL655304 ILF655276:ILH655304 IVB655276:IVD655304 JEX655276:JEZ655304 JOT655276:JOV655304 JYP655276:JYR655304 KIL655276:KIN655304 KSH655276:KSJ655304 LCD655276:LCF655304 LLZ655276:LMB655304 LVV655276:LVX655304 MFR655276:MFT655304 MPN655276:MPP655304 MZJ655276:MZL655304 NJF655276:NJH655304 NTB655276:NTD655304 OCX655276:OCZ655304 OMT655276:OMV655304 OWP655276:OWR655304 PGL655276:PGN655304 PQH655276:PQJ655304 QAD655276:QAF655304 QJZ655276:QKB655304 QTV655276:QTX655304 RDR655276:RDT655304 RNN655276:RNP655304 RXJ655276:RXL655304 SHF655276:SHH655304 SRB655276:SRD655304 TAX655276:TAZ655304 TKT655276:TKV655304 TUP655276:TUR655304 UEL655276:UEN655304 UOH655276:UOJ655304 UYD655276:UYF655304 VHZ655276:VIB655304 VRV655276:VRX655304 WBR655276:WBT655304 WLN655276:WLP655304 WVJ655276:WVL655304 IX720812:IZ720840 ST720812:SV720840 ACP720812:ACR720840 AML720812:AMN720840 AWH720812:AWJ720840 BGD720812:BGF720840 BPZ720812:BQB720840 BZV720812:BZX720840 CJR720812:CJT720840 CTN720812:CTP720840 DDJ720812:DDL720840 DNF720812:DNH720840 DXB720812:DXD720840 EGX720812:EGZ720840 EQT720812:EQV720840 FAP720812:FAR720840 FKL720812:FKN720840 FUH720812:FUJ720840 GED720812:GEF720840 GNZ720812:GOB720840 GXV720812:GXX720840 HHR720812:HHT720840 HRN720812:HRP720840 IBJ720812:IBL720840 ILF720812:ILH720840 IVB720812:IVD720840 JEX720812:JEZ720840 JOT720812:JOV720840 JYP720812:JYR720840 KIL720812:KIN720840 KSH720812:KSJ720840 LCD720812:LCF720840 LLZ720812:LMB720840 LVV720812:LVX720840 MFR720812:MFT720840 MPN720812:MPP720840 MZJ720812:MZL720840 NJF720812:NJH720840 NTB720812:NTD720840 OCX720812:OCZ720840 OMT720812:OMV720840 OWP720812:OWR720840 PGL720812:PGN720840 PQH720812:PQJ720840 QAD720812:QAF720840 QJZ720812:QKB720840 QTV720812:QTX720840 RDR720812:RDT720840 RNN720812:RNP720840 RXJ720812:RXL720840 SHF720812:SHH720840 SRB720812:SRD720840 TAX720812:TAZ720840 TKT720812:TKV720840 TUP720812:TUR720840 UEL720812:UEN720840 UOH720812:UOJ720840 UYD720812:UYF720840 VHZ720812:VIB720840 VRV720812:VRX720840 WBR720812:WBT720840 WLN720812:WLP720840 WVJ720812:WVL720840 IX786348:IZ786376 ST786348:SV786376 ACP786348:ACR786376 AML786348:AMN786376 AWH786348:AWJ786376 BGD786348:BGF786376 BPZ786348:BQB786376 BZV786348:BZX786376 CJR786348:CJT786376 CTN786348:CTP786376 DDJ786348:DDL786376 DNF786348:DNH786376 DXB786348:DXD786376 EGX786348:EGZ786376 EQT786348:EQV786376 FAP786348:FAR786376 FKL786348:FKN786376 FUH786348:FUJ786376 GED786348:GEF786376 GNZ786348:GOB786376 GXV786348:GXX786376 HHR786348:HHT786376 HRN786348:HRP786376 IBJ786348:IBL786376 ILF786348:ILH786376 IVB786348:IVD786376 JEX786348:JEZ786376 JOT786348:JOV786376 JYP786348:JYR786376 KIL786348:KIN786376 KSH786348:KSJ786376 LCD786348:LCF786376 LLZ786348:LMB786376 LVV786348:LVX786376 MFR786348:MFT786376 MPN786348:MPP786376 MZJ786348:MZL786376 NJF786348:NJH786376 NTB786348:NTD786376 OCX786348:OCZ786376 OMT786348:OMV786376 OWP786348:OWR786376 PGL786348:PGN786376 PQH786348:PQJ786376 QAD786348:QAF786376 QJZ786348:QKB786376 QTV786348:QTX786376 RDR786348:RDT786376 RNN786348:RNP786376 RXJ786348:RXL786376 SHF786348:SHH786376 SRB786348:SRD786376 TAX786348:TAZ786376 TKT786348:TKV786376 TUP786348:TUR786376 UEL786348:UEN786376 UOH786348:UOJ786376 UYD786348:UYF786376 VHZ786348:VIB786376 VRV786348:VRX786376 WBR786348:WBT786376 WLN786348:WLP786376 WVJ786348:WVL786376 IX851884:IZ851912 ST851884:SV851912 ACP851884:ACR851912 AML851884:AMN851912 AWH851884:AWJ851912 BGD851884:BGF851912 BPZ851884:BQB851912 BZV851884:BZX851912 CJR851884:CJT851912 CTN851884:CTP851912 DDJ851884:DDL851912 DNF851884:DNH851912 DXB851884:DXD851912 EGX851884:EGZ851912 EQT851884:EQV851912 FAP851884:FAR851912 FKL851884:FKN851912 FUH851884:FUJ851912 GED851884:GEF851912 GNZ851884:GOB851912 GXV851884:GXX851912 HHR851884:HHT851912 HRN851884:HRP851912 IBJ851884:IBL851912 ILF851884:ILH851912 IVB851884:IVD851912 JEX851884:JEZ851912 JOT851884:JOV851912 JYP851884:JYR851912 KIL851884:KIN851912 KSH851884:KSJ851912 LCD851884:LCF851912 LLZ851884:LMB851912 LVV851884:LVX851912 MFR851884:MFT851912 MPN851884:MPP851912 MZJ851884:MZL851912 NJF851884:NJH851912 NTB851884:NTD851912 OCX851884:OCZ851912 OMT851884:OMV851912 OWP851884:OWR851912 PGL851884:PGN851912 PQH851884:PQJ851912 QAD851884:QAF851912 QJZ851884:QKB851912 QTV851884:QTX851912 RDR851884:RDT851912 RNN851884:RNP851912 RXJ851884:RXL851912 SHF851884:SHH851912 SRB851884:SRD851912 TAX851884:TAZ851912 TKT851884:TKV851912 TUP851884:TUR851912 UEL851884:UEN851912 UOH851884:UOJ851912 UYD851884:UYF851912 VHZ851884:VIB851912 VRV851884:VRX851912 WBR851884:WBT851912 WLN851884:WLP851912 WVJ851884:WVL851912 IX917420:IZ917448 ST917420:SV917448 ACP917420:ACR917448 AML917420:AMN917448 AWH917420:AWJ917448 BGD917420:BGF917448 BPZ917420:BQB917448 BZV917420:BZX917448 CJR917420:CJT917448 CTN917420:CTP917448 DDJ917420:DDL917448 DNF917420:DNH917448 DXB917420:DXD917448 EGX917420:EGZ917448 EQT917420:EQV917448 FAP917420:FAR917448 FKL917420:FKN917448 FUH917420:FUJ917448 GED917420:GEF917448 GNZ917420:GOB917448 GXV917420:GXX917448 HHR917420:HHT917448 HRN917420:HRP917448 IBJ917420:IBL917448 ILF917420:ILH917448 IVB917420:IVD917448 JEX917420:JEZ917448 JOT917420:JOV917448 JYP917420:JYR917448 KIL917420:KIN917448 KSH917420:KSJ917448 LCD917420:LCF917448 LLZ917420:LMB917448 LVV917420:LVX917448 MFR917420:MFT917448 MPN917420:MPP917448 MZJ917420:MZL917448 NJF917420:NJH917448 NTB917420:NTD917448 OCX917420:OCZ917448 OMT917420:OMV917448 OWP917420:OWR917448 PGL917420:PGN917448 PQH917420:PQJ917448 QAD917420:QAF917448 QJZ917420:QKB917448 QTV917420:QTX917448 RDR917420:RDT917448 RNN917420:RNP917448 RXJ917420:RXL917448 SHF917420:SHH917448 SRB917420:SRD917448 TAX917420:TAZ917448 TKT917420:TKV917448 TUP917420:TUR917448 UEL917420:UEN917448 UOH917420:UOJ917448 UYD917420:UYF917448 VHZ917420:VIB917448 VRV917420:VRX917448 WBR917420:WBT917448 WLN917420:WLP917448 WVJ917420:WVL917448 IX982956:IZ982984 ST982956:SV982984 ACP982956:ACR982984 AML982956:AMN982984 AWH982956:AWJ982984 BGD982956:BGF982984 BPZ982956:BQB982984 BZV982956:BZX982984 CJR982956:CJT982984 CTN982956:CTP982984 DDJ982956:DDL982984 DNF982956:DNH982984 DXB982956:DXD982984 EGX982956:EGZ982984 EQT982956:EQV982984 FAP982956:FAR982984 FKL982956:FKN982984 FUH982956:FUJ982984 GED982956:GEF982984 GNZ982956:GOB982984 GXV982956:GXX982984 HHR982956:HHT982984 HRN982956:HRP982984 IBJ982956:IBL982984 ILF982956:ILH982984 IVB982956:IVD982984 JEX982956:JEZ982984 JOT982956:JOV982984 JYP982956:JYR982984 KIL982956:KIN982984 KSH982956:KSJ982984 LCD982956:LCF982984 LLZ982956:LMB982984 LVV982956:LVX982984 MFR982956:MFT982984 MPN982956:MPP982984 MZJ982956:MZL982984 NJF982956:NJH982984 NTB982956:NTD982984 OCX982956:OCZ982984 OMT982956:OMV982984 OWP982956:OWR982984 PGL982956:PGN982984 PQH982956:PQJ982984 QAD982956:QAF982984 QJZ982956:QKB982984 QTV982956:QTX982984 RDR982956:RDT982984 RNN982956:RNP982984 RXJ982956:RXL982984 SHF982956:SHH982984 SRB982956:SRD982984 TAX982956:TAZ982984 TKT982956:TKV982984 TUP982956:TUR982984 UEL982956:UEN982984 UOH982956:UOJ982984 UYD982956:UYF982984 VHZ982956:VIB982984 VRV982956:VRX982984 WBR982956:WBT982984 WLN982956:WLP982984 WVJ982956:WVL982984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2:B65480 B982956:B982984 B917420:B917448 B851884:B851912 B786348:B786376 B720812:B720840 B655276:B655304 B589740:B589768 B524204:B524232 B458668:B458696 B393132:B393160 B327596:B327624 B262060:B262088 B196524:B196552 B130988:B131016 IW65452:IW65480 SS65452:SS65480 ACO65452:ACO65480 AMK65452:AMK65480 AWG65452:AWG65480 BGC65452:BGC65480 BPY65452:BPY65480 BZU65452:BZU65480 CJQ65452:CJQ65480 CTM65452:CTM65480 DDI65452:DDI65480 DNE65452:DNE65480 DXA65452:DXA65480 EGW65452:EGW65480 EQS65452:EQS65480 FAO65452:FAO65480 FKK65452:FKK65480 FUG65452:FUG65480 GEC65452:GEC65480 GNY65452:GNY65480 GXU65452:GXU65480 HHQ65452:HHQ65480 HRM65452:HRM65480 IBI65452:IBI65480 ILE65452:ILE65480 IVA65452:IVA65480 JEW65452:JEW65480 JOS65452:JOS65480 JYO65452:JYO65480 KIK65452:KIK65480 KSG65452:KSG65480 LCC65452:LCC65480 LLY65452:LLY65480 LVU65452:LVU65480 MFQ65452:MFQ65480 MPM65452:MPM65480 MZI65452:MZI65480 NJE65452:NJE65480 NTA65452:NTA65480 OCW65452:OCW65480 OMS65452:OMS65480 OWO65452:OWO65480 PGK65452:PGK65480 PQG65452:PQG65480 QAC65452:QAC65480 QJY65452:QJY65480 QTU65452:QTU65480 RDQ65452:RDQ65480 RNM65452:RNM65480 RXI65452:RXI65480 SHE65452:SHE65480 SRA65452:SRA65480 TAW65452:TAW65480 TKS65452:TKS65480 TUO65452:TUO65480 UEK65452:UEK65480 UOG65452:UOG65480 UYC65452:UYC65480 VHY65452:VHY65480 VRU65452:VRU65480 WBQ65452:WBQ65480 WLM65452:WLM65480 WVI65452:WVI65480 IW130988:IW131016 SS130988:SS131016 ACO130988:ACO131016 AMK130988:AMK131016 AWG130988:AWG131016 BGC130988:BGC131016 BPY130988:BPY131016 BZU130988:BZU131016 CJQ130988:CJQ131016 CTM130988:CTM131016 DDI130988:DDI131016 DNE130988:DNE131016 DXA130988:DXA131016 EGW130988:EGW131016 EQS130988:EQS131016 FAO130988:FAO131016 FKK130988:FKK131016 FUG130988:FUG131016 GEC130988:GEC131016 GNY130988:GNY131016 GXU130988:GXU131016 HHQ130988:HHQ131016 HRM130988:HRM131016 IBI130988:IBI131016 ILE130988:ILE131016 IVA130988:IVA131016 JEW130988:JEW131016 JOS130988:JOS131016 JYO130988:JYO131016 KIK130988:KIK131016 KSG130988:KSG131016 LCC130988:LCC131016 LLY130988:LLY131016 LVU130988:LVU131016 MFQ130988:MFQ131016 MPM130988:MPM131016 MZI130988:MZI131016 NJE130988:NJE131016 NTA130988:NTA131016 OCW130988:OCW131016 OMS130988:OMS131016 OWO130988:OWO131016 PGK130988:PGK131016 PQG130988:PQG131016 QAC130988:QAC131016 QJY130988:QJY131016 QTU130988:QTU131016 RDQ130988:RDQ131016 RNM130988:RNM131016 RXI130988:RXI131016 SHE130988:SHE131016 SRA130988:SRA131016 TAW130988:TAW131016 TKS130988:TKS131016 TUO130988:TUO131016 UEK130988:UEK131016 UOG130988:UOG131016 UYC130988:UYC131016 VHY130988:VHY131016 VRU130988:VRU131016 WBQ130988:WBQ131016 WLM130988:WLM131016 WVI130988:WVI131016 IW196524:IW196552 SS196524:SS196552 ACO196524:ACO196552 AMK196524:AMK196552 AWG196524:AWG196552 BGC196524:BGC196552 BPY196524:BPY196552 BZU196524:BZU196552 CJQ196524:CJQ196552 CTM196524:CTM196552 DDI196524:DDI196552 DNE196524:DNE196552 DXA196524:DXA196552 EGW196524:EGW196552 EQS196524:EQS196552 FAO196524:FAO196552 FKK196524:FKK196552 FUG196524:FUG196552 GEC196524:GEC196552 GNY196524:GNY196552 GXU196524:GXU196552 HHQ196524:HHQ196552 HRM196524:HRM196552 IBI196524:IBI196552 ILE196524:ILE196552 IVA196524:IVA196552 JEW196524:JEW196552 JOS196524:JOS196552 JYO196524:JYO196552 KIK196524:KIK196552 KSG196524:KSG196552 LCC196524:LCC196552 LLY196524:LLY196552 LVU196524:LVU196552 MFQ196524:MFQ196552 MPM196524:MPM196552 MZI196524:MZI196552 NJE196524:NJE196552 NTA196524:NTA196552 OCW196524:OCW196552 OMS196524:OMS196552 OWO196524:OWO196552 PGK196524:PGK196552 PQG196524:PQG196552 QAC196524:QAC196552 QJY196524:QJY196552 QTU196524:QTU196552 RDQ196524:RDQ196552 RNM196524:RNM196552 RXI196524:RXI196552 SHE196524:SHE196552 SRA196524:SRA196552 TAW196524:TAW196552 TKS196524:TKS196552 TUO196524:TUO196552 UEK196524:UEK196552 UOG196524:UOG196552 UYC196524:UYC196552 VHY196524:VHY196552 VRU196524:VRU196552 WBQ196524:WBQ196552 WLM196524:WLM196552 WVI196524:WVI196552 IW262060:IW262088 SS262060:SS262088 ACO262060:ACO262088 AMK262060:AMK262088 AWG262060:AWG262088 BGC262060:BGC262088 BPY262060:BPY262088 BZU262060:BZU262088 CJQ262060:CJQ262088 CTM262060:CTM262088 DDI262060:DDI262088 DNE262060:DNE262088 DXA262060:DXA262088 EGW262060:EGW262088 EQS262060:EQS262088 FAO262060:FAO262088 FKK262060:FKK262088 FUG262060:FUG262088 GEC262060:GEC262088 GNY262060:GNY262088 GXU262060:GXU262088 HHQ262060:HHQ262088 HRM262060:HRM262088 IBI262060:IBI262088 ILE262060:ILE262088 IVA262060:IVA262088 JEW262060:JEW262088 JOS262060:JOS262088 JYO262060:JYO262088 KIK262060:KIK262088 KSG262060:KSG262088 LCC262060:LCC262088 LLY262060:LLY262088 LVU262060:LVU262088 MFQ262060:MFQ262088 MPM262060:MPM262088 MZI262060:MZI262088 NJE262060:NJE262088 NTA262060:NTA262088 OCW262060:OCW262088 OMS262060:OMS262088 OWO262060:OWO262088 PGK262060:PGK262088 PQG262060:PQG262088 QAC262060:QAC262088 QJY262060:QJY262088 QTU262060:QTU262088 RDQ262060:RDQ262088 RNM262060:RNM262088 RXI262060:RXI262088 SHE262060:SHE262088 SRA262060:SRA262088 TAW262060:TAW262088 TKS262060:TKS262088 TUO262060:TUO262088 UEK262060:UEK262088 UOG262060:UOG262088 UYC262060:UYC262088 VHY262060:VHY262088 VRU262060:VRU262088 WBQ262060:WBQ262088 WLM262060:WLM262088 WVI262060:WVI262088 IW327596:IW327624 SS327596:SS327624 ACO327596:ACO327624 AMK327596:AMK327624 AWG327596:AWG327624 BGC327596:BGC327624 BPY327596:BPY327624 BZU327596:BZU327624 CJQ327596:CJQ327624 CTM327596:CTM327624 DDI327596:DDI327624 DNE327596:DNE327624 DXA327596:DXA327624 EGW327596:EGW327624 EQS327596:EQS327624 FAO327596:FAO327624 FKK327596:FKK327624 FUG327596:FUG327624 GEC327596:GEC327624 GNY327596:GNY327624 GXU327596:GXU327624 HHQ327596:HHQ327624 HRM327596:HRM327624 IBI327596:IBI327624 ILE327596:ILE327624 IVA327596:IVA327624 JEW327596:JEW327624 JOS327596:JOS327624 JYO327596:JYO327624 KIK327596:KIK327624 KSG327596:KSG327624 LCC327596:LCC327624 LLY327596:LLY327624 LVU327596:LVU327624 MFQ327596:MFQ327624 MPM327596:MPM327624 MZI327596:MZI327624 NJE327596:NJE327624 NTA327596:NTA327624 OCW327596:OCW327624 OMS327596:OMS327624 OWO327596:OWO327624 PGK327596:PGK327624 PQG327596:PQG327624 QAC327596:QAC327624 QJY327596:QJY327624 QTU327596:QTU327624 RDQ327596:RDQ327624 RNM327596:RNM327624 RXI327596:RXI327624 SHE327596:SHE327624 SRA327596:SRA327624 TAW327596:TAW327624 TKS327596:TKS327624 TUO327596:TUO327624 UEK327596:UEK327624 UOG327596:UOG327624 UYC327596:UYC327624 VHY327596:VHY327624 VRU327596:VRU327624 WBQ327596:WBQ327624 WLM327596:WLM327624 WVI327596:WVI327624 IW393132:IW393160 SS393132:SS393160 ACO393132:ACO393160 AMK393132:AMK393160 AWG393132:AWG393160 BGC393132:BGC393160 BPY393132:BPY393160 BZU393132:BZU393160 CJQ393132:CJQ393160 CTM393132:CTM393160 DDI393132:DDI393160 DNE393132:DNE393160 DXA393132:DXA393160 EGW393132:EGW393160 EQS393132:EQS393160 FAO393132:FAO393160 FKK393132:FKK393160 FUG393132:FUG393160 GEC393132:GEC393160 GNY393132:GNY393160 GXU393132:GXU393160 HHQ393132:HHQ393160 HRM393132:HRM393160 IBI393132:IBI393160 ILE393132:ILE393160 IVA393132:IVA393160 JEW393132:JEW393160 JOS393132:JOS393160 JYO393132:JYO393160 KIK393132:KIK393160 KSG393132:KSG393160 LCC393132:LCC393160 LLY393132:LLY393160 LVU393132:LVU393160 MFQ393132:MFQ393160 MPM393132:MPM393160 MZI393132:MZI393160 NJE393132:NJE393160 NTA393132:NTA393160 OCW393132:OCW393160 OMS393132:OMS393160 OWO393132:OWO393160 PGK393132:PGK393160 PQG393132:PQG393160 QAC393132:QAC393160 QJY393132:QJY393160 QTU393132:QTU393160 RDQ393132:RDQ393160 RNM393132:RNM393160 RXI393132:RXI393160 SHE393132:SHE393160 SRA393132:SRA393160 TAW393132:TAW393160 TKS393132:TKS393160 TUO393132:TUO393160 UEK393132:UEK393160 UOG393132:UOG393160 UYC393132:UYC393160 VHY393132:VHY393160 VRU393132:VRU393160 WBQ393132:WBQ393160 WLM393132:WLM393160 WVI393132:WVI393160 IW458668:IW458696 SS458668:SS458696 ACO458668:ACO458696 AMK458668:AMK458696 AWG458668:AWG458696 BGC458668:BGC458696 BPY458668:BPY458696 BZU458668:BZU458696 CJQ458668:CJQ458696 CTM458668:CTM458696 DDI458668:DDI458696 DNE458668:DNE458696 DXA458668:DXA458696 EGW458668:EGW458696 EQS458668:EQS458696 FAO458668:FAO458696 FKK458668:FKK458696 FUG458668:FUG458696 GEC458668:GEC458696 GNY458668:GNY458696 GXU458668:GXU458696 HHQ458668:HHQ458696 HRM458668:HRM458696 IBI458668:IBI458696 ILE458668:ILE458696 IVA458668:IVA458696 JEW458668:JEW458696 JOS458668:JOS458696 JYO458668:JYO458696 KIK458668:KIK458696 KSG458668:KSG458696 LCC458668:LCC458696 LLY458668:LLY458696 LVU458668:LVU458696 MFQ458668:MFQ458696 MPM458668:MPM458696 MZI458668:MZI458696 NJE458668:NJE458696 NTA458668:NTA458696 OCW458668:OCW458696 OMS458668:OMS458696 OWO458668:OWO458696 PGK458668:PGK458696 PQG458668:PQG458696 QAC458668:QAC458696 QJY458668:QJY458696 QTU458668:QTU458696 RDQ458668:RDQ458696 RNM458668:RNM458696 RXI458668:RXI458696 SHE458668:SHE458696 SRA458668:SRA458696 TAW458668:TAW458696 TKS458668:TKS458696 TUO458668:TUO458696 UEK458668:UEK458696 UOG458668:UOG458696 UYC458668:UYC458696 VHY458668:VHY458696 VRU458668:VRU458696 WBQ458668:WBQ458696 WLM458668:WLM458696 WVI458668:WVI458696 IW524204:IW524232 SS524204:SS524232 ACO524204:ACO524232 AMK524204:AMK524232 AWG524204:AWG524232 BGC524204:BGC524232 BPY524204:BPY524232 BZU524204:BZU524232 CJQ524204:CJQ524232 CTM524204:CTM524232 DDI524204:DDI524232 DNE524204:DNE524232 DXA524204:DXA524232 EGW524204:EGW524232 EQS524204:EQS524232 FAO524204:FAO524232 FKK524204:FKK524232 FUG524204:FUG524232 GEC524204:GEC524232 GNY524204:GNY524232 GXU524204:GXU524232 HHQ524204:HHQ524232 HRM524204:HRM524232 IBI524204:IBI524232 ILE524204:ILE524232 IVA524204:IVA524232 JEW524204:JEW524232 JOS524204:JOS524232 JYO524204:JYO524232 KIK524204:KIK524232 KSG524204:KSG524232 LCC524204:LCC524232 LLY524204:LLY524232 LVU524204:LVU524232 MFQ524204:MFQ524232 MPM524204:MPM524232 MZI524204:MZI524232 NJE524204:NJE524232 NTA524204:NTA524232 OCW524204:OCW524232 OMS524204:OMS524232 OWO524204:OWO524232 PGK524204:PGK524232 PQG524204:PQG524232 QAC524204:QAC524232 QJY524204:QJY524232 QTU524204:QTU524232 RDQ524204:RDQ524232 RNM524204:RNM524232 RXI524204:RXI524232 SHE524204:SHE524232 SRA524204:SRA524232 TAW524204:TAW524232 TKS524204:TKS524232 TUO524204:TUO524232 UEK524204:UEK524232 UOG524204:UOG524232 UYC524204:UYC524232 VHY524204:VHY524232 VRU524204:VRU524232 WBQ524204:WBQ524232 WLM524204:WLM524232 WVI524204:WVI524232 IW589740:IW589768 SS589740:SS589768 ACO589740:ACO589768 AMK589740:AMK589768 AWG589740:AWG589768 BGC589740:BGC589768 BPY589740:BPY589768 BZU589740:BZU589768 CJQ589740:CJQ589768 CTM589740:CTM589768 DDI589740:DDI589768 DNE589740:DNE589768 DXA589740:DXA589768 EGW589740:EGW589768 EQS589740:EQS589768 FAO589740:FAO589768 FKK589740:FKK589768 FUG589740:FUG589768 GEC589740:GEC589768 GNY589740:GNY589768 GXU589740:GXU589768 HHQ589740:HHQ589768 HRM589740:HRM589768 IBI589740:IBI589768 ILE589740:ILE589768 IVA589740:IVA589768 JEW589740:JEW589768 JOS589740:JOS589768 JYO589740:JYO589768 KIK589740:KIK589768 KSG589740:KSG589768 LCC589740:LCC589768 LLY589740:LLY589768 LVU589740:LVU589768 MFQ589740:MFQ589768 MPM589740:MPM589768 MZI589740:MZI589768 NJE589740:NJE589768 NTA589740:NTA589768 OCW589740:OCW589768 OMS589740:OMS589768 OWO589740:OWO589768 PGK589740:PGK589768 PQG589740:PQG589768 QAC589740:QAC589768 QJY589740:QJY589768 QTU589740:QTU589768 RDQ589740:RDQ589768 RNM589740:RNM589768 RXI589740:RXI589768 SHE589740:SHE589768 SRA589740:SRA589768 TAW589740:TAW589768 TKS589740:TKS589768 TUO589740:TUO589768 UEK589740:UEK589768 UOG589740:UOG589768 UYC589740:UYC589768 VHY589740:VHY589768 VRU589740:VRU589768 WBQ589740:WBQ589768 WLM589740:WLM589768 WVI589740:WVI589768 IW655276:IW655304 SS655276:SS655304 ACO655276:ACO655304 AMK655276:AMK655304 AWG655276:AWG655304 BGC655276:BGC655304 BPY655276:BPY655304 BZU655276:BZU655304 CJQ655276:CJQ655304 CTM655276:CTM655304 DDI655276:DDI655304 DNE655276:DNE655304 DXA655276:DXA655304 EGW655276:EGW655304 EQS655276:EQS655304 FAO655276:FAO655304 FKK655276:FKK655304 FUG655276:FUG655304 GEC655276:GEC655304 GNY655276:GNY655304 GXU655276:GXU655304 HHQ655276:HHQ655304 HRM655276:HRM655304 IBI655276:IBI655304 ILE655276:ILE655304 IVA655276:IVA655304 JEW655276:JEW655304 JOS655276:JOS655304 JYO655276:JYO655304 KIK655276:KIK655304 KSG655276:KSG655304 LCC655276:LCC655304 LLY655276:LLY655304 LVU655276:LVU655304 MFQ655276:MFQ655304 MPM655276:MPM655304 MZI655276:MZI655304 NJE655276:NJE655304 NTA655276:NTA655304 OCW655276:OCW655304 OMS655276:OMS655304 OWO655276:OWO655304 PGK655276:PGK655304 PQG655276:PQG655304 QAC655276:QAC655304 QJY655276:QJY655304 QTU655276:QTU655304 RDQ655276:RDQ655304 RNM655276:RNM655304 RXI655276:RXI655304 SHE655276:SHE655304 SRA655276:SRA655304 TAW655276:TAW655304 TKS655276:TKS655304 TUO655276:TUO655304 UEK655276:UEK655304 UOG655276:UOG655304 UYC655276:UYC655304 VHY655276:VHY655304 VRU655276:VRU655304 WBQ655276:WBQ655304 WLM655276:WLM655304 WVI655276:WVI655304 IW720812:IW720840 SS720812:SS720840 ACO720812:ACO720840 AMK720812:AMK720840 AWG720812:AWG720840 BGC720812:BGC720840 BPY720812:BPY720840 BZU720812:BZU720840 CJQ720812:CJQ720840 CTM720812:CTM720840 DDI720812:DDI720840 DNE720812:DNE720840 DXA720812:DXA720840 EGW720812:EGW720840 EQS720812:EQS720840 FAO720812:FAO720840 FKK720812:FKK720840 FUG720812:FUG720840 GEC720812:GEC720840 GNY720812:GNY720840 GXU720812:GXU720840 HHQ720812:HHQ720840 HRM720812:HRM720840 IBI720812:IBI720840 ILE720812:ILE720840 IVA720812:IVA720840 JEW720812:JEW720840 JOS720812:JOS720840 JYO720812:JYO720840 KIK720812:KIK720840 KSG720812:KSG720840 LCC720812:LCC720840 LLY720812:LLY720840 LVU720812:LVU720840 MFQ720812:MFQ720840 MPM720812:MPM720840 MZI720812:MZI720840 NJE720812:NJE720840 NTA720812:NTA720840 OCW720812:OCW720840 OMS720812:OMS720840 OWO720812:OWO720840 PGK720812:PGK720840 PQG720812:PQG720840 QAC720812:QAC720840 QJY720812:QJY720840 QTU720812:QTU720840 RDQ720812:RDQ720840 RNM720812:RNM720840 RXI720812:RXI720840 SHE720812:SHE720840 SRA720812:SRA720840 TAW720812:TAW720840 TKS720812:TKS720840 TUO720812:TUO720840 UEK720812:UEK720840 UOG720812:UOG720840 UYC720812:UYC720840 VHY720812:VHY720840 VRU720812:VRU720840 WBQ720812:WBQ720840 WLM720812:WLM720840 WVI720812:WVI720840 IW786348:IW786376 SS786348:SS786376 ACO786348:ACO786376 AMK786348:AMK786376 AWG786348:AWG786376 BGC786348:BGC786376 BPY786348:BPY786376 BZU786348:BZU786376 CJQ786348:CJQ786376 CTM786348:CTM786376 DDI786348:DDI786376 DNE786348:DNE786376 DXA786348:DXA786376 EGW786348:EGW786376 EQS786348:EQS786376 FAO786348:FAO786376 FKK786348:FKK786376 FUG786348:FUG786376 GEC786348:GEC786376 GNY786348:GNY786376 GXU786348:GXU786376 HHQ786348:HHQ786376 HRM786348:HRM786376 IBI786348:IBI786376 ILE786348:ILE786376 IVA786348:IVA786376 JEW786348:JEW786376 JOS786348:JOS786376 JYO786348:JYO786376 KIK786348:KIK786376 KSG786348:KSG786376 LCC786348:LCC786376 LLY786348:LLY786376 LVU786348:LVU786376 MFQ786348:MFQ786376 MPM786348:MPM786376 MZI786348:MZI786376 NJE786348:NJE786376 NTA786348:NTA786376 OCW786348:OCW786376 OMS786348:OMS786376 OWO786348:OWO786376 PGK786348:PGK786376 PQG786348:PQG786376 QAC786348:QAC786376 QJY786348:QJY786376 QTU786348:QTU786376 RDQ786348:RDQ786376 RNM786348:RNM786376 RXI786348:RXI786376 SHE786348:SHE786376 SRA786348:SRA786376 TAW786348:TAW786376 TKS786348:TKS786376 TUO786348:TUO786376 UEK786348:UEK786376 UOG786348:UOG786376 UYC786348:UYC786376 VHY786348:VHY786376 VRU786348:VRU786376 WBQ786348:WBQ786376 WLM786348:WLM786376 WVI786348:WVI786376 IW851884:IW851912 SS851884:SS851912 ACO851884:ACO851912 AMK851884:AMK851912 AWG851884:AWG851912 BGC851884:BGC851912 BPY851884:BPY851912 BZU851884:BZU851912 CJQ851884:CJQ851912 CTM851884:CTM851912 DDI851884:DDI851912 DNE851884:DNE851912 DXA851884:DXA851912 EGW851884:EGW851912 EQS851884:EQS851912 FAO851884:FAO851912 FKK851884:FKK851912 FUG851884:FUG851912 GEC851884:GEC851912 GNY851884:GNY851912 GXU851884:GXU851912 HHQ851884:HHQ851912 HRM851884:HRM851912 IBI851884:IBI851912 ILE851884:ILE851912 IVA851884:IVA851912 JEW851884:JEW851912 JOS851884:JOS851912 JYO851884:JYO851912 KIK851884:KIK851912 KSG851884:KSG851912 LCC851884:LCC851912 LLY851884:LLY851912 LVU851884:LVU851912 MFQ851884:MFQ851912 MPM851884:MPM851912 MZI851884:MZI851912 NJE851884:NJE851912 NTA851884:NTA851912 OCW851884:OCW851912 OMS851884:OMS851912 OWO851884:OWO851912 PGK851884:PGK851912 PQG851884:PQG851912 QAC851884:QAC851912 QJY851884:QJY851912 QTU851884:QTU851912 RDQ851884:RDQ851912 RNM851884:RNM851912 RXI851884:RXI851912 SHE851884:SHE851912 SRA851884:SRA851912 TAW851884:TAW851912 TKS851884:TKS851912 TUO851884:TUO851912 UEK851884:UEK851912 UOG851884:UOG851912 UYC851884:UYC851912 VHY851884:VHY851912 VRU851884:VRU851912 WBQ851884:WBQ851912 WLM851884:WLM851912 WVI851884:WVI851912 IW917420:IW917448 SS917420:SS917448 ACO917420:ACO917448 AMK917420:AMK917448 AWG917420:AWG917448 BGC917420:BGC917448 BPY917420:BPY917448 BZU917420:BZU917448 CJQ917420:CJQ917448 CTM917420:CTM917448 DDI917420:DDI917448 DNE917420:DNE917448 DXA917420:DXA917448 EGW917420:EGW917448 EQS917420:EQS917448 FAO917420:FAO917448 FKK917420:FKK917448 FUG917420:FUG917448 GEC917420:GEC917448 GNY917420:GNY917448 GXU917420:GXU917448 HHQ917420:HHQ917448 HRM917420:HRM917448 IBI917420:IBI917448 ILE917420:ILE917448 IVA917420:IVA917448 JEW917420:JEW917448 JOS917420:JOS917448 JYO917420:JYO917448 KIK917420:KIK917448 KSG917420:KSG917448 LCC917420:LCC917448 LLY917420:LLY917448 LVU917420:LVU917448 MFQ917420:MFQ917448 MPM917420:MPM917448 MZI917420:MZI917448 NJE917420:NJE917448 NTA917420:NTA917448 OCW917420:OCW917448 OMS917420:OMS917448 OWO917420:OWO917448 PGK917420:PGK917448 PQG917420:PQG917448 QAC917420:QAC917448 QJY917420:QJY917448 QTU917420:QTU917448 RDQ917420:RDQ917448 RNM917420:RNM917448 RXI917420:RXI917448 SHE917420:SHE917448 SRA917420:SRA917448 TAW917420:TAW917448 TKS917420:TKS917448 TUO917420:TUO917448 UEK917420:UEK917448 UOG917420:UOG917448 UYC917420:UYC917448 VHY917420:VHY917448 VRU917420:VRU917448 WBQ917420:WBQ917448 WLM917420:WLM917448 WVI917420:WVI917448 IW982956:IW982984 SS982956:SS982984 ACO982956:ACO982984 AMK982956:AMK982984 AWG982956:AWG982984 BGC982956:BGC982984 BPY982956:BPY982984 BZU982956:BZU982984 CJQ982956:CJQ982984 CTM982956:CTM982984 DDI982956:DDI982984 DNE982956:DNE982984 DXA982956:DXA982984 EGW982956:EGW982984 EQS982956:EQS982984 FAO982956:FAO982984 FKK982956:FKK982984 FUG982956:FUG982984 GEC982956:GEC982984 GNY982956:GNY982984 GXU982956:GXU982984 HHQ982956:HHQ982984 HRM982956:HRM982984 IBI982956:IBI982984 ILE982956:ILE982984 IVA982956:IVA982984 JEW982956:JEW982984 JOS982956:JOS982984 JYO982956:JYO982984 KIK982956:KIK982984 KSG982956:KSG982984 LCC982956:LCC982984 LLY982956:LLY982984 LVU982956:LVU982984 MFQ982956:MFQ982984 MPM982956:MPM982984 MZI982956:MZI982984 NJE982956:NJE982984 NTA982956:NTA982984 OCW982956:OCW982984 OMS982956:OMS982984 OWO982956:OWO982984 PGK982956:PGK982984 PQG982956:PQG982984 QAC982956:QAC982984 QJY982956:QJY982984 QTU982956:QTU982984 RDQ982956:RDQ982984 RNM982956:RNM982984 RXI982956:RXI982984 SHE982956:SHE982984 SRA982956:SRA982984 TAW982956:TAW982984 TKS982956:TKS982984 TUO982956:TUO982984 UEK982956:UEK982984 UOG982956:UOG982984 UYC982956:UYC982984 VHY982956:VHY982984 VRU982956:VRU982984 WBQ982956:WBQ982984 WLM982956:WLM982984 WVI982956:WVI982984">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E18" sqref="E18"/>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451</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441</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439</v>
      </c>
      <c r="D29" s="46" t="s">
        <v>316</v>
      </c>
      <c r="E29" s="44" t="s">
        <v>102</v>
      </c>
      <c r="F29" s="44" t="s">
        <v>233</v>
      </c>
      <c r="G29" s="44" t="s">
        <v>92</v>
      </c>
      <c r="H29" s="47" t="s">
        <v>340</v>
      </c>
      <c r="I29" s="47" t="s">
        <v>369</v>
      </c>
      <c r="J29" s="46" t="s">
        <v>231</v>
      </c>
      <c r="K29" s="44" t="s">
        <v>440</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2014-007</v>
      </c>
      <c r="C6" s="75" t="s">
        <v>474</v>
      </c>
      <c r="E6" s="43" t="s">
        <v>276</v>
      </c>
      <c r="F6" s="43">
        <v>11</v>
      </c>
      <c r="G6" s="42" t="s">
        <v>475</v>
      </c>
      <c r="H6" s="27" t="s">
        <v>19</v>
      </c>
      <c r="I6" s="27" t="s">
        <v>20</v>
      </c>
      <c r="J6" s="100" t="s">
        <v>278</v>
      </c>
      <c r="K6" s="49">
        <v>41960</v>
      </c>
      <c r="L6" s="49">
        <v>41963</v>
      </c>
      <c r="M6" s="43" t="s">
        <v>21</v>
      </c>
      <c r="N6" s="28">
        <v>1416000</v>
      </c>
      <c r="O6" s="28" t="s">
        <v>286</v>
      </c>
      <c r="P6" s="28" t="s">
        <v>287</v>
      </c>
      <c r="Q6" s="28" t="s">
        <v>289</v>
      </c>
      <c r="R6" t="s">
        <v>291</v>
      </c>
      <c r="S6" s="27"/>
      <c r="U6" s="77" t="s">
        <v>544</v>
      </c>
      <c r="W6" s="43">
        <v>1</v>
      </c>
      <c r="X6" s="27" t="s">
        <v>442</v>
      </c>
      <c r="Y6" s="42" t="s">
        <v>373</v>
      </c>
      <c r="Z6" s="27">
        <v>20</v>
      </c>
      <c r="AA6" s="50">
        <v>19800</v>
      </c>
      <c r="AB6" s="27"/>
      <c r="AD6" s="75" t="s">
        <v>477</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37</v>
      </c>
      <c r="Y7" s="42" t="s">
        <v>376</v>
      </c>
      <c r="Z7" s="27">
        <v>20</v>
      </c>
      <c r="AA7" s="50">
        <v>19800</v>
      </c>
      <c r="AB7" s="27"/>
      <c r="AF7" s="52">
        <v>2</v>
      </c>
      <c r="AG7" s="53" t="s">
        <v>98</v>
      </c>
      <c r="AH7" s="54" t="s">
        <v>294</v>
      </c>
      <c r="AI7" s="53" t="s">
        <v>102</v>
      </c>
      <c r="AJ7" s="53" t="s">
        <v>103</v>
      </c>
      <c r="AK7" s="53" t="s">
        <v>104</v>
      </c>
      <c r="AL7" s="92" t="s">
        <v>319</v>
      </c>
      <c r="AM7" s="92" t="s">
        <v>347</v>
      </c>
    </row>
    <row r="8" spans="1:39" x14ac:dyDescent="0.3">
      <c r="E8" s="43" t="s">
        <v>468</v>
      </c>
      <c r="F8" s="43">
        <v>15</v>
      </c>
      <c r="G8" s="42" t="s">
        <v>469</v>
      </c>
      <c r="H8" s="27" t="s">
        <v>470</v>
      </c>
      <c r="I8" s="27" t="s">
        <v>471</v>
      </c>
      <c r="J8" s="100" t="s">
        <v>472</v>
      </c>
      <c r="K8" s="49">
        <v>41961</v>
      </c>
      <c r="L8" s="49">
        <v>41969</v>
      </c>
      <c r="M8" s="43" t="s">
        <v>473</v>
      </c>
      <c r="N8" s="28">
        <v>2765400</v>
      </c>
      <c r="O8" s="28" t="s">
        <v>286</v>
      </c>
      <c r="P8" s="28" t="s">
        <v>466</v>
      </c>
      <c r="Q8" s="28" t="s">
        <v>465</v>
      </c>
      <c r="R8" t="s">
        <v>467</v>
      </c>
      <c r="S8" s="27"/>
      <c r="W8" s="43"/>
      <c r="X8" s="27"/>
      <c r="Y8" s="42"/>
      <c r="Z8" s="27"/>
      <c r="AA8" s="50"/>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443</v>
      </c>
      <c r="J9" s="100" t="s">
        <v>362</v>
      </c>
      <c r="K9" s="49">
        <v>41771</v>
      </c>
      <c r="L9" s="49">
        <v>41722</v>
      </c>
      <c r="M9" s="43" t="s">
        <v>444</v>
      </c>
      <c r="N9" s="28">
        <v>1233100</v>
      </c>
      <c r="O9" s="28" t="s">
        <v>445</v>
      </c>
      <c r="P9" s="28" t="s">
        <v>446</v>
      </c>
      <c r="Q9" s="28" t="s">
        <v>447</v>
      </c>
      <c r="R9" s="28" t="s">
        <v>448</v>
      </c>
      <c r="S9" s="28"/>
      <c r="W9" s="43"/>
      <c r="X9" s="27"/>
      <c r="Y9" s="42"/>
      <c r="Z9" s="27"/>
      <c r="AA9" s="50"/>
      <c r="AB9" s="27"/>
      <c r="AF9" s="52">
        <v>4</v>
      </c>
      <c r="AG9" s="53" t="s">
        <v>111</v>
      </c>
      <c r="AH9" s="54" t="s">
        <v>296</v>
      </c>
      <c r="AI9" s="53" t="s">
        <v>115</v>
      </c>
      <c r="AJ9" s="53" t="s">
        <v>116</v>
      </c>
      <c r="AK9" s="53" t="s">
        <v>117</v>
      </c>
      <c r="AL9" s="92" t="s">
        <v>321</v>
      </c>
      <c r="AM9" s="92" t="s">
        <v>349</v>
      </c>
    </row>
    <row r="10" spans="1:39" x14ac:dyDescent="0.3">
      <c r="E10" s="43" t="s">
        <v>454</v>
      </c>
      <c r="F10" s="43">
        <v>24</v>
      </c>
      <c r="G10" s="42" t="s">
        <v>455</v>
      </c>
      <c r="H10" s="27" t="s">
        <v>456</v>
      </c>
      <c r="I10" s="27" t="s">
        <v>457</v>
      </c>
      <c r="J10" s="100" t="s">
        <v>458</v>
      </c>
      <c r="K10" s="49">
        <v>41772</v>
      </c>
      <c r="L10" s="49">
        <v>41787</v>
      </c>
      <c r="M10" s="43" t="s">
        <v>459</v>
      </c>
      <c r="N10" s="28">
        <v>2789622</v>
      </c>
      <c r="O10" s="28" t="s">
        <v>460</v>
      </c>
      <c r="P10" s="28" t="s">
        <v>461</v>
      </c>
      <c r="Q10" s="28" t="s">
        <v>462</v>
      </c>
      <c r="R10" s="28" t="s">
        <v>463</v>
      </c>
      <c r="S10" s="28"/>
      <c r="W10" s="43"/>
      <c r="X10" s="27"/>
      <c r="Y10" s="42"/>
      <c r="Z10" s="27"/>
      <c r="AA10" s="50"/>
      <c r="AB10" s="27"/>
      <c r="AF10" s="52">
        <v>5</v>
      </c>
      <c r="AG10" s="53" t="s">
        <v>118</v>
      </c>
      <c r="AH10" s="54" t="s">
        <v>297</v>
      </c>
      <c r="AI10" s="53" t="s">
        <v>122</v>
      </c>
      <c r="AJ10" s="53" t="s">
        <v>123</v>
      </c>
      <c r="AK10" s="53" t="s">
        <v>124</v>
      </c>
      <c r="AL10" s="92" t="s">
        <v>345</v>
      </c>
      <c r="AM10" s="92" t="s">
        <v>350</v>
      </c>
    </row>
    <row r="11" spans="1:39" x14ac:dyDescent="0.3">
      <c r="E11" s="43" t="s">
        <v>476</v>
      </c>
      <c r="F11" s="43">
        <v>19</v>
      </c>
      <c r="G11" s="42" t="s">
        <v>478</v>
      </c>
      <c r="H11" s="27" t="s">
        <v>479</v>
      </c>
      <c r="I11" s="27" t="s">
        <v>333</v>
      </c>
      <c r="J11" s="100" t="s">
        <v>364</v>
      </c>
      <c r="K11" s="49">
        <v>41687</v>
      </c>
      <c r="L11" s="49">
        <v>41691</v>
      </c>
      <c r="M11" s="43" t="s">
        <v>480</v>
      </c>
      <c r="N11" s="28">
        <v>871200</v>
      </c>
      <c r="O11" s="28" t="s">
        <v>481</v>
      </c>
      <c r="P11" s="28" t="s">
        <v>482</v>
      </c>
      <c r="Q11" s="28" t="s">
        <v>483</v>
      </c>
      <c r="R11" s="28" t="s">
        <v>484</v>
      </c>
      <c r="S11" s="28"/>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441</v>
      </c>
      <c r="AH28" s="55" t="s">
        <v>315</v>
      </c>
      <c r="AI28" s="53"/>
      <c r="AJ28" s="53"/>
      <c r="AK28" s="53" t="s">
        <v>230</v>
      </c>
      <c r="AL28" s="92" t="s">
        <v>344</v>
      </c>
      <c r="AM28" s="92" t="s">
        <v>368</v>
      </c>
    </row>
    <row r="29" spans="32:39" x14ac:dyDescent="0.3">
      <c r="AF29" s="52">
        <v>24</v>
      </c>
      <c r="AG29" s="53" t="s">
        <v>439</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2014-02-16T15:35:36Z</cp:lastPrinted>
  <dcterms:created xsi:type="dcterms:W3CDTF">2013-11-01T06:50:11Z</dcterms:created>
  <dcterms:modified xsi:type="dcterms:W3CDTF">2014-05-17T15:51:20Z</dcterms:modified>
  <cp:category>엑셀 매크로</cp:category>
</cp:coreProperties>
</file>