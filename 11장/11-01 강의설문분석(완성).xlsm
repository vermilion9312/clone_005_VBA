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설문자료!$A$4:$S$5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B19" i="2"/>
  <c r="B6" i="2" l="1"/>
  <c r="B7" i="2"/>
  <c r="B8" i="2"/>
  <c r="B9" i="2"/>
  <c r="B10" i="2"/>
  <c r="B11" i="2"/>
  <c r="B12" i="2"/>
  <c r="B13" i="2"/>
  <c r="B14" i="2"/>
  <c r="B15" i="2"/>
  <c r="B16" i="2"/>
  <c r="I13" i="2"/>
  <c r="I12" i="2"/>
  <c r="F10" i="2"/>
  <c r="C13" i="2"/>
  <c r="C8" i="2"/>
  <c r="E7" i="2"/>
  <c r="D12" i="2"/>
  <c r="D14" i="2"/>
  <c r="F9" i="2"/>
  <c r="I6" i="2"/>
  <c r="F6" i="2"/>
  <c r="D10" i="2"/>
  <c r="G15" i="2"/>
  <c r="E6" i="2"/>
  <c r="E8" i="2"/>
  <c r="C14" i="2"/>
  <c r="D15" i="2"/>
  <c r="E11" i="2"/>
  <c r="G16" i="2"/>
  <c r="E14" i="2"/>
  <c r="E15" i="2"/>
  <c r="I8" i="2"/>
  <c r="I16" i="2"/>
  <c r="G13" i="2"/>
  <c r="I11" i="2"/>
  <c r="G9" i="2"/>
  <c r="C15" i="2"/>
  <c r="E12" i="2"/>
  <c r="C11" i="2"/>
  <c r="C7" i="2"/>
  <c r="D7" i="2"/>
  <c r="I15" i="2"/>
  <c r="I14" i="2"/>
  <c r="D9" i="2"/>
  <c r="E9" i="2"/>
  <c r="D8" i="2"/>
  <c r="F7" i="2"/>
  <c r="F14" i="2"/>
  <c r="E13" i="2"/>
  <c r="C12" i="2"/>
  <c r="D13" i="2"/>
  <c r="E10" i="2"/>
  <c r="G11" i="2"/>
  <c r="C6" i="2"/>
  <c r="G6" i="2"/>
  <c r="G14" i="2"/>
  <c r="I10" i="2"/>
  <c r="F11" i="2"/>
  <c r="G8" i="2"/>
  <c r="D6" i="2"/>
  <c r="G12" i="2"/>
  <c r="E16" i="2"/>
  <c r="F12" i="2"/>
  <c r="C9" i="2"/>
  <c r="D11" i="2"/>
  <c r="C10" i="2"/>
  <c r="D16" i="2"/>
  <c r="F13" i="2"/>
  <c r="G7" i="2"/>
  <c r="C16" i="2"/>
  <c r="F8" i="2"/>
  <c r="I7" i="2"/>
  <c r="G10" i="2"/>
  <c r="F16" i="2"/>
  <c r="I9" i="2"/>
  <c r="F15" i="2"/>
  <c r="I17" i="2" l="1"/>
  <c r="H16" i="2"/>
  <c r="H6" i="2"/>
  <c r="H9" i="2"/>
  <c r="H12" i="2"/>
  <c r="H15" i="2"/>
  <c r="H7" i="2"/>
  <c r="H10" i="2"/>
  <c r="H13" i="2"/>
  <c r="H8" i="2"/>
  <c r="H11" i="2"/>
  <c r="H14" i="2"/>
  <c r="H17" i="2" l="1"/>
</calcChain>
</file>

<file path=xl/sharedStrings.xml><?xml version="1.0" encoding="utf-8"?>
<sst xmlns="http://schemas.openxmlformats.org/spreadsheetml/2006/main" count="70" uniqueCount="68">
  <si>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</si>
  <si>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</si>
  <si>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</si>
  <si>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</si>
  <si>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</si>
  <si>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</si>
  <si>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</si>
  <si>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</si>
  <si>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</si>
  <si>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</si>
  <si>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</si>
  <si>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</si>
  <si>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</si>
  <si>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</si>
  <si>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</si>
  <si>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</si>
  <si>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</si>
  <si>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</si>
  <si>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</si>
  <si>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</si>
  <si>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</si>
  <si>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</si>
  <si>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</si>
  <si>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</si>
  <si>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</si>
  <si>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</si>
  <si>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</si>
  <si>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</si>
  <si>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이주희</t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</si>
  <si>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</si>
  <si>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</si>
  <si>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</si>
  <si>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</si>
  <si>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</si>
  <si>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</si>
  <si>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</si>
  <si>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</si>
  <si>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</si>
  <si>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</si>
  <si>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</si>
  <si>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</si>
  <si>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</si>
  <si>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</si>
  <si>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</si>
  <si>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</si>
  <si>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</si>
  <si>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</si>
  <si>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</si>
  <si>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</si>
  <si>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</si>
  <si>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</si>
  <si>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</si>
  <si>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</si>
  <si>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</si>
  <si>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</si>
  <si>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</si>
  <si>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</si>
  <si>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</si>
  <si>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최은정</t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</si>
  <si>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</si>
  <si>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</si>
  <si>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</si>
  <si>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박순영</t>
  </si>
  <si>
    <t>홍미영</t>
  </si>
  <si>
    <t>김미애</t>
  </si>
  <si>
    <t>이은영</t>
  </si>
  <si>
    <t>차수진</t>
  </si>
  <si>
    <t>비고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</si>
</sst>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0</xdr:rowOff>
        </xdr:from>
        <xdr:to>
          <xdr:col>9</xdr:col>
          <xdr:colOff>38100</xdr:colOff>
          <xdr:row>5</xdr:row>
          <xdr:rowOff>9525</xdr:rowOff>
        </xdr:to>
        <xdr:sp macro="" textlink="">
          <xdr:nvSpPr>
            <xdr:cNvPr id="1033" name="cbo강사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5" insertRow="1" totalsRowShown="0" headerRowDxfId="48" dataDxfId="46" headerRowBorderDxfId="47" tableBorderDxfId="45" totalsRowBorderDxfId="44" headerRowCellStyle="표준 3" dataCellStyle="표준 3"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workbookViewId="0">
      <pane ySplit="5" topLeftCell="A6" activePane="bottomLeft" state="frozen"/>
      <selection pane="bottomLeft" activeCell="D6" sqref="D6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1" t="s">
        <v>61</v>
      </c>
      <c r="B1" s="41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0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2" t="s">
        <v>0</v>
      </c>
      <c r="B4" s="44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59</v>
      </c>
    </row>
    <row r="5" spans="1:9" ht="19.5" customHeight="1" x14ac:dyDescent="0.3">
      <c r="A5" s="43"/>
      <c r="B5" s="45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28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0</v>
      </c>
      <c r="D6" s="6">
        <f t="shared" ca="1" si="0"/>
        <v>0</v>
      </c>
      <c r="E6" s="6">
        <f t="shared" ca="1" si="0"/>
        <v>0</v>
      </c>
      <c r="F6" s="6">
        <f t="shared" ca="1" si="0"/>
        <v>0</v>
      </c>
      <c r="G6" s="6">
        <f t="shared" ca="1" si="0"/>
        <v>0</v>
      </c>
      <c r="H6" s="24" t="e">
        <f ca="1">ROUND(SUMPRODUCT($C6:$G6,$C$5:$G$5)/SUM($C6:$G6),2)</f>
        <v>#DIV/0!</v>
      </c>
      <c r="I6" s="37" t="e">
        <f ca="1">ROUND(AVERAGEIFS(INDIRECT("tbl설문자료["&amp;$A6&amp;"번]"),tbl설문자료[강사],nm강사),2)</f>
        <v>#DIV/0!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0</v>
      </c>
      <c r="D7" s="6">
        <f t="shared" ca="1" si="0"/>
        <v>0</v>
      </c>
      <c r="E7" s="6">
        <f t="shared" ca="1" si="0"/>
        <v>0</v>
      </c>
      <c r="F7" s="6">
        <f t="shared" ca="1" si="0"/>
        <v>0</v>
      </c>
      <c r="G7" s="6">
        <f t="shared" ca="1" si="0"/>
        <v>0</v>
      </c>
      <c r="H7" s="24" t="e">
        <f t="shared" ref="H7:H15" ca="1" si="1">ROUND(SUMPRODUCT($C7:$G7,$C$5:$G$5)/SUM($C7:$G7),2)</f>
        <v>#DIV/0!</v>
      </c>
      <c r="I7" s="37" t="e">
        <f ca="1">ROUND(AVERAGEIFS(INDIRECT("tbl설문자료["&amp;$A7&amp;"번]"),tbl설문자료[강사],nm강사),2)</f>
        <v>#DIV/0!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0</v>
      </c>
      <c r="D8" s="6">
        <f t="shared" ca="1" si="0"/>
        <v>0</v>
      </c>
      <c r="E8" s="6">
        <f t="shared" ca="1" si="0"/>
        <v>0</v>
      </c>
      <c r="F8" s="6">
        <f t="shared" ca="1" si="0"/>
        <v>0</v>
      </c>
      <c r="G8" s="6">
        <f t="shared" ca="1" si="0"/>
        <v>0</v>
      </c>
      <c r="H8" s="24" t="e">
        <f t="shared" ca="1" si="1"/>
        <v>#DIV/0!</v>
      </c>
      <c r="I8" s="37" t="e">
        <f ca="1">ROUND(AVERAGEIFS(INDIRECT("tbl설문자료["&amp;$A8&amp;"번]"),tbl설문자료[강사],nm강사),2)</f>
        <v>#DIV/0!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0</v>
      </c>
      <c r="D9" s="6">
        <f t="shared" ca="1" si="0"/>
        <v>0</v>
      </c>
      <c r="E9" s="6">
        <f t="shared" ca="1" si="0"/>
        <v>0</v>
      </c>
      <c r="F9" s="6">
        <f t="shared" ca="1" si="0"/>
        <v>0</v>
      </c>
      <c r="G9" s="6">
        <f t="shared" ca="1" si="0"/>
        <v>0</v>
      </c>
      <c r="H9" s="24" t="e">
        <f t="shared" ca="1" si="1"/>
        <v>#DIV/0!</v>
      </c>
      <c r="I9" s="37" t="e">
        <f ca="1">ROUND(AVERAGEIFS(INDIRECT("tbl설문자료["&amp;$A9&amp;"번]"),tbl설문자료[강사],nm강사),2)</f>
        <v>#DIV/0!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0</v>
      </c>
      <c r="D10" s="6">
        <f t="shared" ca="1" si="0"/>
        <v>0</v>
      </c>
      <c r="E10" s="6">
        <f t="shared" ca="1" si="0"/>
        <v>0</v>
      </c>
      <c r="F10" s="6">
        <f t="shared" ca="1" si="0"/>
        <v>0</v>
      </c>
      <c r="G10" s="6">
        <f t="shared" ca="1" si="0"/>
        <v>0</v>
      </c>
      <c r="H10" s="24" t="e">
        <f t="shared" ca="1" si="1"/>
        <v>#DIV/0!</v>
      </c>
      <c r="I10" s="37" t="e">
        <f ca="1">ROUND(AVERAGEIFS(INDIRECT("tbl설문자료["&amp;$A10&amp;"번]"),tbl설문자료[강사],nm강사),2)</f>
        <v>#DIV/0!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0</v>
      </c>
      <c r="D11" s="6">
        <f t="shared" ca="1" si="0"/>
        <v>0</v>
      </c>
      <c r="E11" s="6">
        <f t="shared" ca="1" si="0"/>
        <v>0</v>
      </c>
      <c r="F11" s="6">
        <f t="shared" ca="1" si="0"/>
        <v>0</v>
      </c>
      <c r="G11" s="6">
        <f t="shared" ca="1" si="0"/>
        <v>0</v>
      </c>
      <c r="H11" s="24" t="e">
        <f t="shared" ca="1" si="1"/>
        <v>#DIV/0!</v>
      </c>
      <c r="I11" s="37" t="e">
        <f ca="1">ROUND(AVERAGEIFS(INDIRECT("tbl설문자료["&amp;$A11&amp;"번]"),tbl설문자료[강사],nm강사),2)</f>
        <v>#DIV/0!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0</v>
      </c>
      <c r="D12" s="6">
        <f t="shared" ca="1" si="0"/>
        <v>0</v>
      </c>
      <c r="E12" s="6">
        <f t="shared" ca="1" si="0"/>
        <v>0</v>
      </c>
      <c r="F12" s="6">
        <f t="shared" ca="1" si="0"/>
        <v>0</v>
      </c>
      <c r="G12" s="6">
        <f t="shared" ca="1" si="0"/>
        <v>0</v>
      </c>
      <c r="H12" s="24" t="e">
        <f t="shared" ca="1" si="1"/>
        <v>#DIV/0!</v>
      </c>
      <c r="I12" s="37" t="e">
        <f ca="1">ROUND(AVERAGEIFS(INDIRECT("tbl설문자료["&amp;$A12&amp;"번]"),tbl설문자료[강사],nm강사),2)</f>
        <v>#DIV/0!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0</v>
      </c>
      <c r="E13" s="6">
        <f t="shared" ca="1" si="0"/>
        <v>0</v>
      </c>
      <c r="F13" s="6">
        <f t="shared" ca="1" si="0"/>
        <v>0</v>
      </c>
      <c r="G13" s="6">
        <f t="shared" ca="1" si="0"/>
        <v>0</v>
      </c>
      <c r="H13" s="24" t="e">
        <f t="shared" ca="1" si="1"/>
        <v>#DIV/0!</v>
      </c>
      <c r="I13" s="37" t="e">
        <f ca="1">ROUND(AVERAGEIFS(INDIRECT("tbl설문자료["&amp;$A13&amp;"번]"),tbl설문자료[강사],nm강사),2)</f>
        <v>#DIV/0!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0</v>
      </c>
      <c r="D14" s="6">
        <f t="shared" ca="1" si="0"/>
        <v>0</v>
      </c>
      <c r="E14" s="6">
        <f t="shared" ca="1" si="0"/>
        <v>0</v>
      </c>
      <c r="F14" s="6">
        <f t="shared" ca="1" si="0"/>
        <v>0</v>
      </c>
      <c r="G14" s="6">
        <f t="shared" ca="1" si="0"/>
        <v>0</v>
      </c>
      <c r="H14" s="24" t="e">
        <f t="shared" ca="1" si="1"/>
        <v>#DIV/0!</v>
      </c>
      <c r="I14" s="37" t="e">
        <f ca="1">ROUND(AVERAGEIFS(INDIRECT("tbl설문자료["&amp;$A14&amp;"번]"),tbl설문자료[강사],nm강사),2)</f>
        <v>#DIV/0!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0</v>
      </c>
      <c r="D15" s="6">
        <f t="shared" ca="1" si="0"/>
        <v>0</v>
      </c>
      <c r="E15" s="6">
        <f t="shared" ca="1" si="0"/>
        <v>0</v>
      </c>
      <c r="F15" s="6">
        <f t="shared" ca="1" si="0"/>
        <v>0</v>
      </c>
      <c r="G15" s="6">
        <f t="shared" ca="1" si="0"/>
        <v>0</v>
      </c>
      <c r="H15" s="24" t="e">
        <f t="shared" ca="1" si="1"/>
        <v>#DIV/0!</v>
      </c>
      <c r="I15" s="37" t="e">
        <f ca="1">ROUND(AVERAGEIFS(INDIRECT("tbl설문자료["&amp;$A15&amp;"번]"),tbl설문자료[강사],nm강사),2)</f>
        <v>#DIV/0!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0</v>
      </c>
      <c r="D16" s="6">
        <f t="shared" ca="1" si="0"/>
        <v>0</v>
      </c>
      <c r="E16" s="6">
        <f t="shared" ca="1" si="0"/>
        <v>0</v>
      </c>
      <c r="F16" s="6">
        <f t="shared" ca="1" si="0"/>
        <v>0</v>
      </c>
      <c r="G16" s="6">
        <f t="shared" ca="1" si="0"/>
        <v>0</v>
      </c>
      <c r="H16" s="24" t="e">
        <f ca="1">ROUND(SUMPRODUCT($C16:$G16,$C$5:$G$5)/SUM($C16:$G16),2)</f>
        <v>#DIV/0!</v>
      </c>
      <c r="I16" s="37" t="e">
        <f ca="1">ROUND(AVERAGEIFS(INDIRECT("tbl설문자료["&amp;$A16&amp;"번]"),tbl설문자료[강사],nm강사),2)</f>
        <v>#DIV/0!</v>
      </c>
    </row>
    <row r="17" spans="1:9" ht="20.25" customHeight="1" thickBot="1" x14ac:dyDescent="0.35">
      <c r="A17" s="46" t="s">
        <v>60</v>
      </c>
      <c r="B17" s="47"/>
      <c r="C17" s="48"/>
      <c r="D17" s="48"/>
      <c r="E17" s="48"/>
      <c r="F17" s="48"/>
      <c r="G17" s="48"/>
      <c r="H17" s="38" t="e">
        <f ca="1">AVERAGE(H6:H16)</f>
        <v>#DIV/0!</v>
      </c>
      <c r="I17" s="39" t="e">
        <f ca="1">AVERAGE(I6:I16)</f>
        <v>#DIV/0!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67</v>
      </c>
      <c r="B19" s="49" t="e">
        <f ca="1">fn비고병합표시(nm강사)</f>
        <v>#VALUE!</v>
      </c>
      <c r="C19" s="49"/>
      <c r="D19" s="49"/>
      <c r="E19" s="49"/>
      <c r="F19" s="49"/>
      <c r="G19" s="49"/>
      <c r="H19" s="49"/>
      <c r="I19" s="50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bo강사">
          <controlPr defaultSize="0" autoLine="0" linkedCell="$I$5" listFillRange="'@작업시트'!$A$5:$A$11" r:id="rId5">
            <anchor moveWithCells="1">
              <from>
                <xdr:col>8</xdr:col>
                <xdr:colOff>19050</xdr:colOff>
                <xdr:row>4</xdr:row>
                <xdr:rowOff>0</xdr:rowOff>
              </from>
              <to>
                <xdr:col>9</xdr:col>
                <xdr:colOff>38100</xdr:colOff>
                <xdr:row>5</xdr:row>
                <xdr:rowOff>9525</xdr:rowOff>
              </to>
            </anchor>
          </controlPr>
        </control>
      </mc:Choice>
      <mc:Fallback>
        <control shapeId="1033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43" sqref="B43:S56"/>
    </sheetView>
  </sheetViews>
  <sheetFormatPr defaultRowHeight="13.5" x14ac:dyDescent="0.3"/>
  <cols>
    <col min="1" max="1" width="16.75" style="2" bestFit="1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55</v>
      </c>
    </row>
    <row r="2" spans="1:19" s="17" customFormat="1" x14ac:dyDescent="0.3">
      <c r="A2" s="17" t="s">
        <v>56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/>
      <c r="B5" s="27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9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54</v>
      </c>
    </row>
    <row r="2" spans="1:3" s="17" customFormat="1" x14ac:dyDescent="0.3">
      <c r="A2" s="17" t="s">
        <v>57</v>
      </c>
    </row>
    <row r="4" spans="1:3" ht="18.75" customHeight="1" x14ac:dyDescent="0.3">
      <c r="A4" s="11" t="s">
        <v>53</v>
      </c>
      <c r="B4" s="12" t="s">
        <v>29</v>
      </c>
      <c r="C4" s="13" t="s">
        <v>30</v>
      </c>
    </row>
    <row r="5" spans="1:3" ht="18.75" customHeight="1" x14ac:dyDescent="0.3">
      <c r="A5" s="9">
        <v>1</v>
      </c>
      <c r="B5" s="5" t="s">
        <v>42</v>
      </c>
      <c r="C5" s="10" t="s">
        <v>31</v>
      </c>
    </row>
    <row r="6" spans="1:3" ht="18.75" customHeight="1" x14ac:dyDescent="0.3">
      <c r="A6" s="9">
        <v>2</v>
      </c>
      <c r="B6" s="5" t="s">
        <v>43</v>
      </c>
      <c r="C6" s="10" t="s">
        <v>32</v>
      </c>
    </row>
    <row r="7" spans="1:3" ht="18.75" customHeight="1" x14ac:dyDescent="0.3">
      <c r="A7" s="9">
        <v>3</v>
      </c>
      <c r="B7" s="5" t="s">
        <v>44</v>
      </c>
      <c r="C7" s="10" t="s">
        <v>33</v>
      </c>
    </row>
    <row r="8" spans="1:3" ht="18.75" customHeight="1" x14ac:dyDescent="0.3">
      <c r="A8" s="9">
        <v>4</v>
      </c>
      <c r="B8" s="5" t="s">
        <v>45</v>
      </c>
      <c r="C8" s="10" t="s">
        <v>34</v>
      </c>
    </row>
    <row r="9" spans="1:3" ht="18.75" customHeight="1" x14ac:dyDescent="0.3">
      <c r="A9" s="9">
        <v>5</v>
      </c>
      <c r="B9" s="5" t="s">
        <v>46</v>
      </c>
      <c r="C9" s="10" t="s">
        <v>35</v>
      </c>
    </row>
    <row r="10" spans="1:3" ht="18.75" customHeight="1" x14ac:dyDescent="0.3">
      <c r="A10" s="9">
        <v>6</v>
      </c>
      <c r="B10" s="5" t="s">
        <v>47</v>
      </c>
      <c r="C10" s="10" t="s">
        <v>36</v>
      </c>
    </row>
    <row r="11" spans="1:3" ht="18.75" customHeight="1" x14ac:dyDescent="0.3">
      <c r="A11" s="9">
        <v>7</v>
      </c>
      <c r="B11" s="5" t="s">
        <v>48</v>
      </c>
      <c r="C11" s="10" t="s">
        <v>37</v>
      </c>
    </row>
    <row r="12" spans="1:3" ht="18.75" customHeight="1" x14ac:dyDescent="0.3">
      <c r="A12" s="9">
        <v>8</v>
      </c>
      <c r="B12" s="5" t="s">
        <v>49</v>
      </c>
      <c r="C12" s="10" t="s">
        <v>38</v>
      </c>
    </row>
    <row r="13" spans="1:3" ht="18.75" customHeight="1" x14ac:dyDescent="0.3">
      <c r="A13" s="9">
        <v>9</v>
      </c>
      <c r="B13" s="5" t="s">
        <v>50</v>
      </c>
      <c r="C13" s="10" t="s">
        <v>39</v>
      </c>
    </row>
    <row r="14" spans="1:3" ht="18.75" customHeight="1" x14ac:dyDescent="0.3">
      <c r="A14" s="9">
        <v>10</v>
      </c>
      <c r="B14" s="5" t="s">
        <v>51</v>
      </c>
      <c r="C14" s="10" t="s">
        <v>40</v>
      </c>
    </row>
    <row r="15" spans="1:3" ht="18.75" customHeight="1" x14ac:dyDescent="0.3">
      <c r="A15" s="14">
        <v>11</v>
      </c>
      <c r="B15" s="15" t="s">
        <v>52</v>
      </c>
      <c r="C15" s="16" t="s">
        <v>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28</v>
      </c>
    </row>
    <row r="6" spans="1:1" x14ac:dyDescent="0.3">
      <c r="A6" s="28" t="s">
        <v>58</v>
      </c>
    </row>
    <row r="7" spans="1:1" x14ac:dyDescent="0.3">
      <c r="A7" s="28" t="s">
        <v>62</v>
      </c>
    </row>
    <row r="8" spans="1:1" x14ac:dyDescent="0.3">
      <c r="A8" s="28" t="s">
        <v>63</v>
      </c>
    </row>
    <row r="9" spans="1:1" x14ac:dyDescent="0.3">
      <c r="A9" s="28" t="s">
        <v>64</v>
      </c>
    </row>
    <row r="10" spans="1:1" x14ac:dyDescent="0.3">
      <c r="A10" s="28" t="s">
        <v>65</v>
      </c>
    </row>
    <row r="11" spans="1:1" x14ac:dyDescent="0.3">
      <c r="A11" s="28" t="s">
        <v>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2014-05-17T17:53:03Z</dcterms:modified>
  <cp:category>엑셀 매크로</cp:category>
</cp:coreProperties>
</file>