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11장\"/>
    </mc:Choice>
  </mc:AlternateContent>
  <bookViews>
    <workbookView xWindow="0" yWindow="0" windowWidth="25200" windowHeight="10890"/>
  </bookViews>
  <sheets>
    <sheet name="평가분석" sheetId="2" r:id="rId1"/>
    <sheet name="설문자료" sheetId="3" r:id="rId2"/>
    <sheet name="문항내용" sheetId="4" r:id="rId3"/>
    <sheet name="@작업시트" sheetId="5" r:id="rId4"/>
  </sheets>
  <functionGroups builtInGroupCount="18"/>
  <definedNames>
    <definedName name="_xlnm._FilterDatabase" localSheetId="1" hidden="1">설문자료!$A$4:$S$70</definedName>
    <definedName name="_xlnm.Extract" localSheetId="3">'@작업시트'!$A$4</definedName>
    <definedName name="nm강사">평가분석!$I$5</definedName>
    <definedName name="nm강사_출력">'@작업시트'!$A$4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2" l="1"/>
  <c r="A2" i="2" l="1"/>
  <c r="D7" i="2"/>
  <c r="C9" i="2"/>
  <c r="I8" i="2"/>
  <c r="D10" i="2"/>
  <c r="F14" i="2"/>
  <c r="F9" i="2"/>
  <c r="F16" i="2"/>
  <c r="E8" i="2"/>
  <c r="G16" i="2"/>
  <c r="D12" i="2"/>
  <c r="F10" i="2"/>
  <c r="E14" i="2"/>
  <c r="F8" i="2"/>
  <c r="G13" i="2"/>
  <c r="I16" i="2"/>
  <c r="C7" i="2"/>
  <c r="F12" i="2"/>
  <c r="C8" i="2"/>
  <c r="I15" i="2"/>
  <c r="D6" i="2"/>
  <c r="F11" i="2"/>
  <c r="E16" i="2"/>
  <c r="C6" i="2"/>
  <c r="E11" i="2"/>
  <c r="E15" i="2"/>
  <c r="G8" i="2"/>
  <c r="C15" i="2"/>
  <c r="E13" i="2"/>
  <c r="C11" i="2"/>
  <c r="C13" i="2"/>
  <c r="F7" i="2"/>
  <c r="C12" i="2"/>
  <c r="D11" i="2"/>
  <c r="F13" i="2"/>
  <c r="G10" i="2"/>
  <c r="I9" i="2"/>
  <c r="I13" i="2"/>
  <c r="E7" i="2"/>
  <c r="C16" i="2"/>
  <c r="F15" i="2"/>
  <c r="G12" i="2"/>
  <c r="C14" i="2"/>
  <c r="D13" i="2"/>
  <c r="G6" i="2"/>
  <c r="G11" i="2"/>
  <c r="F6" i="2"/>
  <c r="G9" i="2"/>
  <c r="D16" i="2"/>
  <c r="G7" i="2"/>
  <c r="I11" i="2"/>
  <c r="I10" i="2"/>
  <c r="C10" i="2"/>
  <c r="G14" i="2"/>
  <c r="D8" i="2"/>
  <c r="D15" i="2"/>
  <c r="E9" i="2"/>
  <c r="I12" i="2"/>
  <c r="I7" i="2"/>
  <c r="E12" i="2"/>
  <c r="B19" i="2"/>
  <c r="D14" i="2"/>
  <c r="I6" i="2"/>
  <c r="E10" i="2"/>
  <c r="I14" i="2"/>
  <c r="D9" i="2"/>
  <c r="G15" i="2"/>
  <c r="E6" i="2"/>
  <c r="H11" i="2" l="1"/>
  <c r="H9" i="2"/>
  <c r="H12" i="2"/>
  <c r="H7" i="2"/>
  <c r="H13" i="2"/>
  <c r="H14" i="2"/>
  <c r="H6" i="2"/>
  <c r="H15" i="2"/>
  <c r="H10" i="2"/>
  <c r="H16" i="2"/>
  <c r="H8" i="2"/>
  <c r="B6" i="2"/>
  <c r="B7" i="2"/>
  <c r="B8" i="2"/>
  <c r="B9" i="2"/>
  <c r="B11" i="2"/>
  <c r="B12" i="2"/>
  <c r="B13" i="2"/>
  <c r="B14" i="2"/>
  <c r="B15" i="2"/>
  <c r="B16" i="2"/>
  <c r="I17" i="2" l="1"/>
  <c r="H17" i="2" l="1"/>
</calcChain>
</file>

<file path=xl/sharedStrings.xml><?xml version="1.0" encoding="utf-8"?>
<sst xmlns="http://schemas.openxmlformats.org/spreadsheetml/2006/main" count="480" uniqueCount="182">
  <si>
    <t>설문 
문항</t>
    <phoneticPr fontId="4" type="noConversion"/>
  </si>
  <si>
    <t>▣ 강의 평가</t>
    <phoneticPr fontId="4" type="noConversion"/>
  </si>
  <si>
    <t>우수</t>
    <phoneticPr fontId="4" type="noConversion"/>
  </si>
  <si>
    <t>양호</t>
    <phoneticPr fontId="4" type="noConversion"/>
  </si>
  <si>
    <t>보통</t>
    <phoneticPr fontId="4" type="noConversion"/>
  </si>
  <si>
    <t>보완</t>
    <phoneticPr fontId="4" type="noConversion"/>
  </si>
  <si>
    <t>미숙</t>
    <phoneticPr fontId="4" type="noConversion"/>
  </si>
  <si>
    <t>평균</t>
    <phoneticPr fontId="4" type="noConversion"/>
  </si>
  <si>
    <t>(5점만점)</t>
    <phoneticPr fontId="4" type="noConversion"/>
  </si>
  <si>
    <t>파일명</t>
    <phoneticPr fontId="4" type="noConversion"/>
  </si>
  <si>
    <t>교육일</t>
    <phoneticPr fontId="4" type="noConversion"/>
  </si>
  <si>
    <t>과목</t>
    <phoneticPr fontId="4" type="noConversion"/>
  </si>
  <si>
    <t>강사</t>
    <phoneticPr fontId="4" type="noConversion"/>
  </si>
  <si>
    <t>담당자</t>
    <phoneticPr fontId="4" type="noConversion"/>
  </si>
  <si>
    <t>회사</t>
    <phoneticPr fontId="4" type="noConversion"/>
  </si>
  <si>
    <t>응답자</t>
    <phoneticPr fontId="4" type="noConversion"/>
  </si>
  <si>
    <t>1번</t>
    <phoneticPr fontId="4" type="noConversion"/>
  </si>
  <si>
    <t>2번</t>
  </si>
  <si>
    <t>3번</t>
  </si>
  <si>
    <t>4번</t>
  </si>
  <si>
    <t>5번</t>
  </si>
  <si>
    <t>6번</t>
  </si>
  <si>
    <t>7번</t>
  </si>
  <si>
    <t>8번</t>
  </si>
  <si>
    <t>9번</t>
  </si>
  <si>
    <t>10번</t>
  </si>
  <si>
    <t>11번</t>
  </si>
  <si>
    <t>기타</t>
    <phoneticPr fontId="4" type="noConversion"/>
  </si>
  <si>
    <t>▣ 강의 평가</t>
    <phoneticPr fontId="4" type="noConversion"/>
  </si>
  <si>
    <t>차트제목</t>
    <phoneticPr fontId="1" type="noConversion"/>
  </si>
  <si>
    <t>강의준비</t>
    <phoneticPr fontId="4" type="noConversion"/>
  </si>
  <si>
    <t>계획완료</t>
    <phoneticPr fontId="4" type="noConversion"/>
  </si>
  <si>
    <t>이해도</t>
    <phoneticPr fontId="4" type="noConversion"/>
  </si>
  <si>
    <t>충실도</t>
    <phoneticPr fontId="4" type="noConversion"/>
  </si>
  <si>
    <t>강사평가</t>
    <phoneticPr fontId="4" type="noConversion"/>
  </si>
  <si>
    <t>프론트</t>
    <phoneticPr fontId="4" type="noConversion"/>
  </si>
  <si>
    <t>담당AE</t>
    <phoneticPr fontId="4" type="noConversion"/>
  </si>
  <si>
    <t>교재</t>
    <phoneticPr fontId="4" type="noConversion"/>
  </si>
  <si>
    <t>실습환경</t>
    <phoneticPr fontId="4" type="noConversion"/>
  </si>
  <si>
    <t>휴식환경</t>
    <phoneticPr fontId="4" type="noConversion"/>
  </si>
  <si>
    <t>컴퓨터</t>
    <phoneticPr fontId="4" type="noConversion"/>
  </si>
  <si>
    <t>강의가 체계적으로 준비되었습니까?</t>
    <phoneticPr fontId="4" type="noConversion"/>
  </si>
  <si>
    <t>강의 시작전 제시된 진도 계획이 모두 완료되었습니까?</t>
    <phoneticPr fontId="4" type="noConversion"/>
  </si>
  <si>
    <t>수강 이전에 비해 학습한 주제들의 이해도는 향상되었습니까?</t>
    <phoneticPr fontId="4" type="noConversion"/>
  </si>
  <si>
    <t>질문에 대해 강사가 충실히 답변했습니까?</t>
    <phoneticPr fontId="4" type="noConversion"/>
  </si>
  <si>
    <t>총괄적으로 강사의 평가를 내리신다면?</t>
    <phoneticPr fontId="4" type="noConversion"/>
  </si>
  <si>
    <t>프로트 데스크의 서비스는?</t>
    <phoneticPr fontId="4" type="noConversion"/>
  </si>
  <si>
    <t>담당 AE의 서비스는?</t>
    <phoneticPr fontId="4" type="noConversion"/>
  </si>
  <si>
    <t>교육에 사용된 교재에 대한 평가는?</t>
    <phoneticPr fontId="4" type="noConversion"/>
  </si>
  <si>
    <t>강의 장 및 시스템 환경에 대한 평가는?</t>
    <phoneticPr fontId="4" type="noConversion"/>
  </si>
  <si>
    <t>휴게실 및 강의실 주변환경에 대한 평가는?</t>
    <phoneticPr fontId="4" type="noConversion"/>
  </si>
  <si>
    <t>컴퓨터가 제대로 작동되었습니까?</t>
    <phoneticPr fontId="4" type="noConversion"/>
  </si>
  <si>
    <t>문항</t>
    <phoneticPr fontId="4" type="noConversion"/>
  </si>
  <si>
    <t>▶ 자료 내용 :</t>
    <phoneticPr fontId="1" type="noConversion"/>
  </si>
  <si>
    <t>▶ 자료 내용 : 강의 설문 자료 전체</t>
    <phoneticPr fontId="1" type="noConversion"/>
  </si>
  <si>
    <t>▶ 정의된 표 이름 : tbl설문자료</t>
    <phoneticPr fontId="1" type="noConversion"/>
  </si>
  <si>
    <t>▶ 정의된 표 이름 : tbl문항내용</t>
    <phoneticPr fontId="1" type="noConversion"/>
  </si>
  <si>
    <t>강사선택</t>
    <phoneticPr fontId="4" type="noConversion"/>
  </si>
  <si>
    <t>평    균</t>
    <phoneticPr fontId="1" type="noConversion"/>
  </si>
  <si>
    <t>강의 평가 요약 분석</t>
    <phoneticPr fontId="4" type="noConversion"/>
  </si>
  <si>
    <t>비고</t>
    <phoneticPr fontId="1" type="noConversion"/>
  </si>
  <si>
    <t>파워포인트</t>
  </si>
  <si>
    <t>차수경</t>
  </si>
  <si>
    <t>중앙대학교</t>
  </si>
  <si>
    <t>액세스</t>
  </si>
  <si>
    <t>유진무역</t>
  </si>
  <si>
    <t>한겨레교육</t>
  </si>
  <si>
    <t>이동시스템</t>
  </si>
  <si>
    <t>감진해운</t>
  </si>
  <si>
    <t>이몽룡</t>
  </si>
  <si>
    <t>직접입력</t>
    <phoneticPr fontId="1" type="noConversion"/>
  </si>
  <si>
    <t>김나영</t>
    <phoneticPr fontId="1" type="noConversion"/>
  </si>
  <si>
    <t>이진주</t>
  </si>
  <si>
    <t>이진주</t>
    <phoneticPr fontId="1" type="noConversion"/>
  </si>
  <si>
    <t>홍민희</t>
    <phoneticPr fontId="1" type="noConversion"/>
  </si>
  <si>
    <t>SKC가스</t>
    <phoneticPr fontId="1" type="noConversion"/>
  </si>
  <si>
    <t>알트스프링</t>
    <phoneticPr fontId="1" type="noConversion"/>
  </si>
  <si>
    <t>최혜란</t>
    <phoneticPr fontId="1" type="noConversion"/>
  </si>
  <si>
    <t>이수진</t>
    <phoneticPr fontId="1" type="noConversion"/>
  </si>
  <si>
    <t>홍미경</t>
    <phoneticPr fontId="1" type="noConversion"/>
  </si>
  <si>
    <t>이진경</t>
    <phoneticPr fontId="1" type="noConversion"/>
  </si>
  <si>
    <t>김재운</t>
    <phoneticPr fontId="1" type="noConversion"/>
  </si>
  <si>
    <t>정사민</t>
    <phoneticPr fontId="1" type="noConversion"/>
  </si>
  <si>
    <t>박시연</t>
    <phoneticPr fontId="1" type="noConversion"/>
  </si>
  <si>
    <t>홍미진</t>
    <phoneticPr fontId="1" type="noConversion"/>
  </si>
  <si>
    <t>나해정</t>
    <phoneticPr fontId="1" type="noConversion"/>
  </si>
  <si>
    <t>공민지</t>
    <phoneticPr fontId="1" type="noConversion"/>
  </si>
  <si>
    <t>최보람</t>
    <phoneticPr fontId="1" type="noConversion"/>
  </si>
  <si>
    <t>우진희</t>
    <phoneticPr fontId="1" type="noConversion"/>
  </si>
  <si>
    <t>서진우</t>
    <phoneticPr fontId="1" type="noConversion"/>
  </si>
  <si>
    <t>최찬욱</t>
    <phoneticPr fontId="1" type="noConversion"/>
  </si>
  <si>
    <t>열성적인 강의 감사합니다.</t>
    <phoneticPr fontId="1" type="noConversion"/>
  </si>
  <si>
    <t>SNS 활용하기</t>
    <phoneticPr fontId="1" type="noConversion"/>
  </si>
  <si>
    <t>포토샵 사진 보정 과정</t>
    <phoneticPr fontId="1" type="noConversion"/>
  </si>
  <si>
    <t>실습장 환경 개선</t>
    <phoneticPr fontId="1" type="noConversion"/>
  </si>
  <si>
    <t>강의실 마이크 시스템</t>
    <phoneticPr fontId="1" type="noConversion"/>
  </si>
  <si>
    <t>발표력 향상 과정</t>
    <phoneticPr fontId="1" type="noConversion"/>
  </si>
  <si>
    <t>키노트 강의</t>
    <phoneticPr fontId="1" type="noConversion"/>
  </si>
  <si>
    <t>이주희</t>
  </si>
  <si>
    <t>대장금</t>
  </si>
  <si>
    <t>프레젠테이션 후속 과정 안내 부탁!!</t>
  </si>
  <si>
    <t>홍길동</t>
  </si>
  <si>
    <t>감사합니다.</t>
  </si>
  <si>
    <t>이미정</t>
  </si>
  <si>
    <t>홍수화</t>
  </si>
  <si>
    <t>이명정</t>
  </si>
  <si>
    <t>호진우</t>
  </si>
  <si>
    <t>김상범</t>
  </si>
  <si>
    <t>이찬우</t>
  </si>
  <si>
    <t>김채진</t>
  </si>
  <si>
    <t>최은정</t>
  </si>
  <si>
    <t>정다래</t>
  </si>
  <si>
    <t>땡~큐</t>
  </si>
  <si>
    <t>김사홍</t>
  </si>
  <si>
    <t>이정길</t>
  </si>
  <si>
    <t>박미정</t>
  </si>
  <si>
    <t>홍미라</t>
  </si>
  <si>
    <t>강남-강의설문.xlsx</t>
  </si>
  <si>
    <t>박순영</t>
  </si>
  <si>
    <t>김새롬</t>
  </si>
  <si>
    <t>부산해운</t>
  </si>
  <si>
    <t>강미연</t>
  </si>
  <si>
    <t>강민우</t>
  </si>
  <si>
    <t>미오컨설팅</t>
  </si>
  <si>
    <t>김나래</t>
  </si>
  <si>
    <t>해진정보</t>
  </si>
  <si>
    <t>김대정</t>
  </si>
  <si>
    <t>수고하셨습니다.</t>
  </si>
  <si>
    <t>우지상사</t>
  </si>
  <si>
    <t>김빛나래</t>
  </si>
  <si>
    <t>김정하</t>
  </si>
  <si>
    <t>엑셀</t>
  </si>
  <si>
    <t>홍미영</t>
  </si>
  <si>
    <t>김선진</t>
  </si>
  <si>
    <t>미래교역</t>
  </si>
  <si>
    <t>김지연</t>
  </si>
  <si>
    <t>함수활용 과정 오픈 요망</t>
  </si>
  <si>
    <t>김지영</t>
  </si>
  <si>
    <t>한누리상사</t>
  </si>
  <si>
    <t>김현영</t>
  </si>
  <si>
    <t>마경민</t>
  </si>
  <si>
    <t>한진무역</t>
  </si>
  <si>
    <t>박다미</t>
  </si>
  <si>
    <t>김해은행</t>
  </si>
  <si>
    <t>박민아</t>
  </si>
  <si>
    <t>박새미</t>
  </si>
  <si>
    <t>대진건설</t>
  </si>
  <si>
    <t>배성우</t>
  </si>
  <si>
    <t>액세스와 DB연동 과정</t>
  </si>
  <si>
    <t>엑셀활용</t>
  </si>
  <si>
    <t>김미애</t>
  </si>
  <si>
    <t>정유진</t>
  </si>
  <si>
    <t>배승훈</t>
  </si>
  <si>
    <t>석아라</t>
  </si>
  <si>
    <t>송민정</t>
  </si>
  <si>
    <t>신유나</t>
  </si>
  <si>
    <t>안용상</t>
  </si>
  <si>
    <t>엑셀VBA과정 희망</t>
  </si>
  <si>
    <t>안재원</t>
  </si>
  <si>
    <t>이상영</t>
  </si>
  <si>
    <t>이신구</t>
  </si>
  <si>
    <t>이양원</t>
  </si>
  <si>
    <t>이영한</t>
  </si>
  <si>
    <t>강북-강의설문.xlsx</t>
  </si>
  <si>
    <t>이은영</t>
  </si>
  <si>
    <t>홍진경</t>
  </si>
  <si>
    <t>강민구</t>
  </si>
  <si>
    <t>강은혜</t>
  </si>
  <si>
    <t>권지혜</t>
  </si>
  <si>
    <t>김대은</t>
  </si>
  <si>
    <t>김민정</t>
  </si>
  <si>
    <t>차수진</t>
  </si>
  <si>
    <t>김미진</t>
  </si>
  <si>
    <t>김바롬</t>
  </si>
  <si>
    <t>김유리</t>
  </si>
  <si>
    <t>김조욱</t>
  </si>
  <si>
    <t>김지윤</t>
  </si>
  <si>
    <t>문지수</t>
  </si>
  <si>
    <t>백이슬</t>
  </si>
  <si>
    <t>변영주</t>
  </si>
  <si>
    <t>송경빈</t>
  </si>
  <si>
    <t>부산-강의설문.xlsx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</si>
</sst>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\(0\)"/>
    <numFmt numFmtId="177" formatCode="#,##0\ &quot;명&quot;"/>
    <numFmt numFmtId="178" formatCode="yy&quot;-&quot;m&quot;-&quot;d;@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6"/>
      <color indexed="18"/>
      <name val="맑은 고딕"/>
      <family val="3"/>
      <charset val="129"/>
      <scheme val="minor"/>
    </font>
    <font>
      <sz val="8"/>
      <name val="굴림"/>
      <family val="3"/>
      <charset val="129"/>
    </font>
    <font>
      <sz val="10"/>
      <name val="굴림"/>
      <family val="3"/>
      <charset val="129"/>
    </font>
    <font>
      <sz val="10"/>
      <name val="맑은 고딕"/>
      <family val="3"/>
      <charset val="129"/>
      <scheme val="minor"/>
    </font>
    <font>
      <b/>
      <sz val="12"/>
      <color indexed="16"/>
      <name val="맑은 고딕"/>
      <family val="3"/>
      <charset val="129"/>
      <scheme val="minor"/>
    </font>
    <font>
      <sz val="12"/>
      <color indexed="8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0"/>
      <color rgb="FF0000FF"/>
      <name val="굴림"/>
      <family val="3"/>
      <charset val="129"/>
    </font>
    <font>
      <b/>
      <sz val="10"/>
      <color rgb="FFFF0000"/>
      <name val="굴림"/>
      <family val="3"/>
      <charset val="129"/>
    </font>
    <font>
      <b/>
      <sz val="10"/>
      <color rgb="FF993300"/>
      <name val="굴림"/>
      <family val="3"/>
      <charset val="129"/>
    </font>
    <font>
      <b/>
      <sz val="10"/>
      <color rgb="FF333333"/>
      <name val="굴림"/>
      <family val="3"/>
      <charset val="129"/>
    </font>
    <font>
      <b/>
      <sz val="12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</borders>
  <cellStyleXfs count="3">
    <xf numFmtId="0" fontId="0" fillId="0" borderId="0">
      <alignment vertical="center"/>
    </xf>
    <xf numFmtId="0" fontId="2" fillId="0" borderId="0"/>
    <xf numFmtId="0" fontId="5" fillId="0" borderId="0">
      <alignment vertical="center"/>
    </xf>
  </cellStyleXfs>
  <cellXfs count="55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6" fillId="0" borderId="0" xfId="2" applyFont="1">
      <alignment vertical="center"/>
    </xf>
    <xf numFmtId="0" fontId="8" fillId="0" borderId="0" xfId="1" applyFont="1"/>
    <xf numFmtId="14" fontId="6" fillId="0" borderId="0" xfId="2" applyNumberFormat="1" applyFont="1">
      <alignment vertical="center"/>
    </xf>
    <xf numFmtId="14" fontId="11" fillId="0" borderId="1" xfId="1" applyNumberFormat="1" applyFont="1" applyBorder="1" applyAlignment="1">
      <alignment vertical="center"/>
    </xf>
    <xf numFmtId="177" fontId="11" fillId="0" borderId="1" xfId="1" applyNumberFormat="1" applyFont="1" applyBorder="1" applyAlignment="1">
      <alignment horizontal="center" vertical="center"/>
    </xf>
    <xf numFmtId="14" fontId="11" fillId="0" borderId="0" xfId="1" applyNumberFormat="1" applyFont="1"/>
    <xf numFmtId="0" fontId="12" fillId="3" borderId="3" xfId="2" applyFont="1" applyFill="1" applyBorder="1" applyAlignment="1">
      <alignment horizontal="center" vertical="center"/>
    </xf>
    <xf numFmtId="0" fontId="10" fillId="0" borderId="4" xfId="2" applyFont="1" applyBorder="1" applyAlignment="1">
      <alignment horizontal="center" vertical="center"/>
    </xf>
    <xf numFmtId="0" fontId="6" fillId="5" borderId="2" xfId="2" applyFont="1" applyFill="1" applyBorder="1" applyAlignment="1">
      <alignment horizontal="center" vertical="center"/>
    </xf>
    <xf numFmtId="0" fontId="13" fillId="5" borderId="5" xfId="1" applyFont="1" applyFill="1" applyBorder="1" applyAlignment="1">
      <alignment horizontal="center" vertical="center" wrapText="1"/>
    </xf>
    <xf numFmtId="14" fontId="13" fillId="5" borderId="6" xfId="1" applyNumberFormat="1" applyFont="1" applyFill="1" applyBorder="1" applyAlignment="1">
      <alignment horizontal="center" vertical="center"/>
    </xf>
    <xf numFmtId="0" fontId="14" fillId="4" borderId="7" xfId="2" applyFont="1" applyFill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14" fontId="11" fillId="0" borderId="9" xfId="1" applyNumberFormat="1" applyFont="1" applyBorder="1" applyAlignment="1">
      <alignment vertical="center"/>
    </xf>
    <xf numFmtId="0" fontId="6" fillId="5" borderId="10" xfId="2" applyFont="1" applyFill="1" applyBorder="1" applyAlignment="1">
      <alignment horizontal="center" vertical="center"/>
    </xf>
    <xf numFmtId="0" fontId="10" fillId="0" borderId="0" xfId="2" applyFont="1">
      <alignment vertical="center"/>
    </xf>
    <xf numFmtId="178" fontId="12" fillId="2" borderId="13" xfId="1" applyNumberFormat="1" applyFont="1" applyFill="1" applyBorder="1" applyAlignment="1">
      <alignment horizontal="center" vertical="center"/>
    </xf>
    <xf numFmtId="178" fontId="12" fillId="3" borderId="14" xfId="2" applyNumberFormat="1" applyFont="1" applyFill="1" applyBorder="1" applyAlignment="1">
      <alignment horizontal="center" vertical="center"/>
    </xf>
    <xf numFmtId="0" fontId="12" fillId="3" borderId="14" xfId="2" applyFont="1" applyFill="1" applyBorder="1" applyAlignment="1">
      <alignment horizontal="center" vertical="center"/>
    </xf>
    <xf numFmtId="0" fontId="12" fillId="3" borderId="15" xfId="2" applyFont="1" applyFill="1" applyBorder="1" applyAlignment="1">
      <alignment horizontal="center" vertical="center" wrapText="1"/>
    </xf>
    <xf numFmtId="176" fontId="10" fillId="7" borderId="1" xfId="1" applyNumberFormat="1" applyFont="1" applyFill="1" applyBorder="1" applyAlignment="1">
      <alignment horizontal="center" vertical="center"/>
    </xf>
    <xf numFmtId="49" fontId="9" fillId="6" borderId="1" xfId="1" applyNumberFormat="1" applyFont="1" applyFill="1" applyBorder="1" applyAlignment="1">
      <alignment horizontal="center" vertical="center"/>
    </xf>
    <xf numFmtId="0" fontId="6" fillId="5" borderId="1" xfId="2" applyFont="1" applyFill="1" applyBorder="1" applyAlignment="1">
      <alignment horizontal="center" vertical="center"/>
    </xf>
    <xf numFmtId="14" fontId="11" fillId="0" borderId="2" xfId="1" applyNumberFormat="1" applyFont="1" applyBorder="1" applyAlignment="1">
      <alignment vertical="center" shrinkToFit="1"/>
    </xf>
    <xf numFmtId="14" fontId="6" fillId="0" borderId="11" xfId="2" applyNumberFormat="1" applyFont="1" applyFill="1" applyBorder="1">
      <alignment vertical="center"/>
    </xf>
    <xf numFmtId="14" fontId="6" fillId="0" borderId="3" xfId="2" applyNumberFormat="1" applyFont="1" applyFill="1" applyBorder="1">
      <alignment vertical="center"/>
    </xf>
    <xf numFmtId="0" fontId="6" fillId="0" borderId="3" xfId="2" applyFont="1" applyFill="1" applyBorder="1">
      <alignment vertical="center"/>
    </xf>
    <xf numFmtId="0" fontId="6" fillId="0" borderId="12" xfId="2" applyFont="1" applyFill="1" applyBorder="1">
      <alignment vertical="center"/>
    </xf>
    <xf numFmtId="14" fontId="7" fillId="12" borderId="0" xfId="1" applyNumberFormat="1" applyFont="1" applyFill="1" applyAlignment="1">
      <alignment horizontal="left"/>
    </xf>
    <xf numFmtId="0" fontId="19" fillId="12" borderId="0" xfId="2" applyFont="1" applyFill="1">
      <alignment vertical="center"/>
    </xf>
    <xf numFmtId="0" fontId="10" fillId="7" borderId="17" xfId="1" applyFont="1" applyFill="1" applyBorder="1" applyAlignment="1">
      <alignment horizontal="center" vertical="center"/>
    </xf>
    <xf numFmtId="0" fontId="9" fillId="6" borderId="17" xfId="1" applyFont="1" applyFill="1" applyBorder="1" applyAlignment="1">
      <alignment horizontal="center" vertical="center"/>
    </xf>
    <xf numFmtId="0" fontId="9" fillId="2" borderId="18" xfId="1" applyFont="1" applyFill="1" applyBorder="1" applyAlignment="1">
      <alignment horizontal="center" vertical="center"/>
    </xf>
    <xf numFmtId="49" fontId="9" fillId="2" borderId="20" xfId="1" applyNumberFormat="1" applyFont="1" applyFill="1" applyBorder="1" applyAlignment="1">
      <alignment horizontal="center" vertical="center"/>
    </xf>
    <xf numFmtId="0" fontId="10" fillId="0" borderId="19" xfId="2" applyFont="1" applyBorder="1" applyAlignment="1">
      <alignment horizontal="center" vertical="center"/>
    </xf>
    <xf numFmtId="0" fontId="6" fillId="8" borderId="20" xfId="2" applyFont="1" applyFill="1" applyBorder="1" applyAlignment="1">
      <alignment horizontal="center" vertical="center"/>
    </xf>
    <xf numFmtId="2" fontId="10" fillId="10" borderId="22" xfId="2" applyNumberFormat="1" applyFont="1" applyFill="1" applyBorder="1" applyAlignment="1">
      <alignment horizontal="center" vertical="center"/>
    </xf>
    <xf numFmtId="2" fontId="10" fillId="11" borderId="23" xfId="2" applyNumberFormat="1" applyFont="1" applyFill="1" applyBorder="1" applyAlignment="1">
      <alignment horizontal="center" vertical="center"/>
    </xf>
    <xf numFmtId="0" fontId="6" fillId="12" borderId="26" xfId="2" applyFont="1" applyFill="1" applyBorder="1">
      <alignment vertical="center"/>
    </xf>
    <xf numFmtId="14" fontId="6" fillId="0" borderId="28" xfId="2" applyNumberFormat="1" applyFont="1" applyFill="1" applyBorder="1">
      <alignment vertical="center"/>
    </xf>
    <xf numFmtId="14" fontId="6" fillId="0" borderId="29" xfId="2" applyNumberFormat="1" applyFont="1" applyFill="1" applyBorder="1">
      <alignment vertical="center"/>
    </xf>
    <xf numFmtId="0" fontId="6" fillId="0" borderId="29" xfId="2" applyFont="1" applyFill="1" applyBorder="1">
      <alignment vertical="center"/>
    </xf>
    <xf numFmtId="0" fontId="6" fillId="0" borderId="27" xfId="2" applyFont="1" applyFill="1" applyBorder="1">
      <alignment vertical="center"/>
    </xf>
    <xf numFmtId="0" fontId="3" fillId="0" borderId="0" xfId="1" applyFont="1" applyAlignment="1">
      <alignment horizontal="left" vertical="center"/>
    </xf>
    <xf numFmtId="0" fontId="13" fillId="7" borderId="16" xfId="1" applyFont="1" applyFill="1" applyBorder="1" applyAlignment="1">
      <alignment horizontal="center" vertical="center" wrapText="1"/>
    </xf>
    <xf numFmtId="0" fontId="13" fillId="7" borderId="19" xfId="1" applyFont="1" applyFill="1" applyBorder="1" applyAlignment="1">
      <alignment horizontal="center" vertical="center"/>
    </xf>
    <xf numFmtId="14" fontId="13" fillId="7" borderId="17" xfId="1" applyNumberFormat="1" applyFont="1" applyFill="1" applyBorder="1" applyAlignment="1">
      <alignment horizontal="center" vertical="center"/>
    </xf>
    <xf numFmtId="14" fontId="13" fillId="7" borderId="1" xfId="1" applyNumberFormat="1" applyFont="1" applyFill="1" applyBorder="1" applyAlignment="1">
      <alignment horizontal="center" vertical="center"/>
    </xf>
    <xf numFmtId="0" fontId="10" fillId="9" borderId="21" xfId="2" applyFont="1" applyFill="1" applyBorder="1" applyAlignment="1">
      <alignment horizontal="center" vertical="center"/>
    </xf>
    <xf numFmtId="14" fontId="10" fillId="9" borderId="22" xfId="2" applyNumberFormat="1" applyFont="1" applyFill="1" applyBorder="1" applyAlignment="1">
      <alignment horizontal="center" vertical="center"/>
    </xf>
    <xf numFmtId="0" fontId="10" fillId="9" borderId="22" xfId="2" applyFont="1" applyFill="1" applyBorder="1" applyAlignment="1">
      <alignment horizontal="center" vertical="center"/>
    </xf>
    <xf numFmtId="14" fontId="6" fillId="0" borderId="24" xfId="2" applyNumberFormat="1" applyFont="1" applyBorder="1" applyAlignment="1">
      <alignment horizontal="left" vertical="top" wrapText="1"/>
    </xf>
    <xf numFmtId="14" fontId="6" fillId="0" borderId="25" xfId="2" applyNumberFormat="1" applyFont="1" applyBorder="1" applyAlignment="1">
      <alignment horizontal="left" vertical="top" wrapText="1"/>
    </xf>
  </cellXfs>
  <cellStyles count="3">
    <cellStyle name="표준" xfId="0" builtinId="0"/>
    <cellStyle name="표준 3" xfId="2"/>
    <cellStyle name="표준_설문결과(9월)" xfId="1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numFmt numFmtId="19" formatCode="yyyy/mm/dd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/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/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/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</dxf>
    <dxf>
      <border outline="0"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맑은 고딕"/>
        <scheme val="minor"/>
      </font>
      <fill>
        <patternFill patternType="solid">
          <fgColor indexed="64"/>
          <bgColor indexed="1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</xdr:row>
          <xdr:rowOff>38100</xdr:rowOff>
        </xdr:from>
        <xdr:to>
          <xdr:col>9</xdr:col>
          <xdr:colOff>104775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굴림"/>
                  <a:ea typeface="굴림"/>
                </a:rPr>
                <a:t>To Access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104775</xdr:rowOff>
        </xdr:from>
        <xdr:to>
          <xdr:col>4</xdr:col>
          <xdr:colOff>400050</xdr:colOff>
          <xdr:row>1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엑셀 파일 가져오기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38100</xdr:rowOff>
        </xdr:from>
        <xdr:to>
          <xdr:col>4</xdr:col>
          <xdr:colOff>400050</xdr:colOff>
          <xdr:row>2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설문자료 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104775</xdr:rowOff>
        </xdr:from>
        <xdr:to>
          <xdr:col>7</xdr:col>
          <xdr:colOff>390525</xdr:colOff>
          <xdr:row>1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Word로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0</xdr:row>
          <xdr:rowOff>104775</xdr:rowOff>
        </xdr:from>
        <xdr:to>
          <xdr:col>6</xdr:col>
          <xdr:colOff>238125</xdr:colOff>
          <xdr:row>1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차트작성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</xdr:row>
          <xdr:rowOff>38100</xdr:rowOff>
        </xdr:from>
        <xdr:to>
          <xdr:col>6</xdr:col>
          <xdr:colOff>238125</xdr:colOff>
          <xdr:row>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차트삭제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1</xdr:row>
          <xdr:rowOff>38100</xdr:rowOff>
        </xdr:from>
        <xdr:to>
          <xdr:col>7</xdr:col>
          <xdr:colOff>390525</xdr:colOff>
          <xdr:row>2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PPT로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0</xdr:row>
          <xdr:rowOff>104775</xdr:rowOff>
        </xdr:from>
        <xdr:to>
          <xdr:col>9</xdr:col>
          <xdr:colOff>95250</xdr:colOff>
          <xdr:row>1</xdr:row>
          <xdr:rowOff>19050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From AccessDB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9525</xdr:rowOff>
        </xdr:from>
        <xdr:to>
          <xdr:col>9</xdr:col>
          <xdr:colOff>9525</xdr:colOff>
          <xdr:row>5</xdr:row>
          <xdr:rowOff>0</xdr:rowOff>
        </xdr:to>
        <xdr:sp macro="" textlink="">
          <xdr:nvSpPr>
            <xdr:cNvPr id="1120" name="cbo강사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bl설문자료" displayName="tbl설문자료" ref="A4:S70" totalsRowShown="0" headerRowDxfId="48" dataDxfId="46" headerRowBorderDxfId="47" tableBorderDxfId="45" totalsRowBorderDxfId="44" headerRowCellStyle="표준 3" dataCellStyle="표준 3">
  <sortState ref="A5:S18">
    <sortCondition ref="C5"/>
  </sortState>
  <tableColumns count="19">
    <tableColumn id="1" name="파일명" dataDxfId="43" totalsRowDxfId="42" dataCellStyle="표준 3"/>
    <tableColumn id="2" name="교육일" dataDxfId="41" totalsRowDxfId="40" dataCellStyle="표준 3"/>
    <tableColumn id="3" name="과목" dataDxfId="39" totalsRowDxfId="38" dataCellStyle="표준 3"/>
    <tableColumn id="4" name="강사" dataDxfId="37" totalsRowDxfId="36" dataCellStyle="표준 3"/>
    <tableColumn id="5" name="담당자" dataDxfId="35" totalsRowDxfId="34" dataCellStyle="표준 3"/>
    <tableColumn id="6" name="회사" dataDxfId="33" totalsRowDxfId="32" dataCellStyle="표준 3"/>
    <tableColumn id="7" name="응답자" dataDxfId="31" totalsRowDxfId="30" dataCellStyle="표준 3"/>
    <tableColumn id="8" name="1번" dataDxfId="29" totalsRowDxfId="28" dataCellStyle="표준 3"/>
    <tableColumn id="9" name="2번" dataDxfId="27" totalsRowDxfId="26" dataCellStyle="표준 3"/>
    <tableColumn id="10" name="3번" dataDxfId="25" totalsRowDxfId="24" dataCellStyle="표준 3"/>
    <tableColumn id="11" name="4번" dataDxfId="23" totalsRowDxfId="22" dataCellStyle="표준 3"/>
    <tableColumn id="12" name="5번" dataDxfId="21" totalsRowDxfId="20" dataCellStyle="표준 3"/>
    <tableColumn id="13" name="6번" dataDxfId="19" totalsRowDxfId="18" dataCellStyle="표준 3"/>
    <tableColumn id="14" name="7번" dataDxfId="17" totalsRowDxfId="16" dataCellStyle="표준 3"/>
    <tableColumn id="15" name="8번" dataDxfId="15" totalsRowDxfId="14" dataCellStyle="표준 3"/>
    <tableColumn id="16" name="9번" dataDxfId="13" totalsRowDxfId="12" dataCellStyle="표준 3"/>
    <tableColumn id="17" name="10번" dataDxfId="11" totalsRowDxfId="10" dataCellStyle="표준 3"/>
    <tableColumn id="18" name="11번" dataDxfId="9" totalsRowDxfId="8" dataCellStyle="표준 3"/>
    <tableColumn id="19" name="기타" dataDxfId="7" totalsRowDxfId="6" dataCellStyle="표준 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tbl문항내용" displayName="tbl문항내용" ref="A4:C15" totalsRowShown="0" headerRowBorderDxfId="5" tableBorderDxfId="4" totalsRowBorderDxfId="3">
  <autoFilter ref="A4:C15"/>
  <tableColumns count="3">
    <tableColumn id="1" name="문항" dataDxfId="2" dataCellStyle="표준 3"/>
    <tableColumn id="2" name="▣ 강의 평가" dataDxfId="1" dataCellStyle="표준_설문결과(9월)"/>
    <tableColumn id="3" name="차트제목" dataDxfId="0" dataCellStyle="표준 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  <pageSetUpPr fitToPage="1"/>
  </sheetPr>
  <dimension ref="A1:I19"/>
  <sheetViews>
    <sheetView showGridLines="0" tabSelected="1" zoomScaleNormal="100" workbookViewId="0">
      <pane ySplit="5" topLeftCell="A6" activePane="bottomLeft" state="frozen"/>
      <selection pane="bottomLeft" activeCell="G7" sqref="G7"/>
    </sheetView>
  </sheetViews>
  <sheetFormatPr defaultRowHeight="13.5" x14ac:dyDescent="0.3"/>
  <cols>
    <col min="1" max="1" width="5.875" style="2" customWidth="1"/>
    <col min="2" max="2" width="34" style="4" customWidth="1"/>
    <col min="3" max="7" width="6.125" style="2" customWidth="1"/>
    <col min="8" max="8" width="9" style="2"/>
    <col min="9" max="9" width="9.25" style="2" customWidth="1"/>
    <col min="10" max="253" width="9" style="2"/>
    <col min="254" max="254" width="5.875" style="2" customWidth="1"/>
    <col min="255" max="255" width="46.875" style="2" customWidth="1"/>
    <col min="256" max="260" width="6.125" style="2" customWidth="1"/>
    <col min="261" max="509" width="9" style="2"/>
    <col min="510" max="510" width="5.875" style="2" customWidth="1"/>
    <col min="511" max="511" width="46.875" style="2" customWidth="1"/>
    <col min="512" max="516" width="6.125" style="2" customWidth="1"/>
    <col min="517" max="765" width="9" style="2"/>
    <col min="766" max="766" width="5.875" style="2" customWidth="1"/>
    <col min="767" max="767" width="46.875" style="2" customWidth="1"/>
    <col min="768" max="772" width="6.125" style="2" customWidth="1"/>
    <col min="773" max="1021" width="9" style="2"/>
    <col min="1022" max="1022" width="5.875" style="2" customWidth="1"/>
    <col min="1023" max="1023" width="46.875" style="2" customWidth="1"/>
    <col min="1024" max="1028" width="6.125" style="2" customWidth="1"/>
    <col min="1029" max="1277" width="9" style="2"/>
    <col min="1278" max="1278" width="5.875" style="2" customWidth="1"/>
    <col min="1279" max="1279" width="46.875" style="2" customWidth="1"/>
    <col min="1280" max="1284" width="6.125" style="2" customWidth="1"/>
    <col min="1285" max="1533" width="9" style="2"/>
    <col min="1534" max="1534" width="5.875" style="2" customWidth="1"/>
    <col min="1535" max="1535" width="46.875" style="2" customWidth="1"/>
    <col min="1536" max="1540" width="6.125" style="2" customWidth="1"/>
    <col min="1541" max="1789" width="9" style="2"/>
    <col min="1790" max="1790" width="5.875" style="2" customWidth="1"/>
    <col min="1791" max="1791" width="46.875" style="2" customWidth="1"/>
    <col min="1792" max="1796" width="6.125" style="2" customWidth="1"/>
    <col min="1797" max="2045" width="9" style="2"/>
    <col min="2046" max="2046" width="5.875" style="2" customWidth="1"/>
    <col min="2047" max="2047" width="46.875" style="2" customWidth="1"/>
    <col min="2048" max="2052" width="6.125" style="2" customWidth="1"/>
    <col min="2053" max="2301" width="9" style="2"/>
    <col min="2302" max="2302" width="5.875" style="2" customWidth="1"/>
    <col min="2303" max="2303" width="46.875" style="2" customWidth="1"/>
    <col min="2304" max="2308" width="6.125" style="2" customWidth="1"/>
    <col min="2309" max="2557" width="9" style="2"/>
    <col min="2558" max="2558" width="5.875" style="2" customWidth="1"/>
    <col min="2559" max="2559" width="46.875" style="2" customWidth="1"/>
    <col min="2560" max="2564" width="6.125" style="2" customWidth="1"/>
    <col min="2565" max="2813" width="9" style="2"/>
    <col min="2814" max="2814" width="5.875" style="2" customWidth="1"/>
    <col min="2815" max="2815" width="46.875" style="2" customWidth="1"/>
    <col min="2816" max="2820" width="6.125" style="2" customWidth="1"/>
    <col min="2821" max="3069" width="9" style="2"/>
    <col min="3070" max="3070" width="5.875" style="2" customWidth="1"/>
    <col min="3071" max="3071" width="46.875" style="2" customWidth="1"/>
    <col min="3072" max="3076" width="6.125" style="2" customWidth="1"/>
    <col min="3077" max="3325" width="9" style="2"/>
    <col min="3326" max="3326" width="5.875" style="2" customWidth="1"/>
    <col min="3327" max="3327" width="46.875" style="2" customWidth="1"/>
    <col min="3328" max="3332" width="6.125" style="2" customWidth="1"/>
    <col min="3333" max="3581" width="9" style="2"/>
    <col min="3582" max="3582" width="5.875" style="2" customWidth="1"/>
    <col min="3583" max="3583" width="46.875" style="2" customWidth="1"/>
    <col min="3584" max="3588" width="6.125" style="2" customWidth="1"/>
    <col min="3589" max="3837" width="9" style="2"/>
    <col min="3838" max="3838" width="5.875" style="2" customWidth="1"/>
    <col min="3839" max="3839" width="46.875" style="2" customWidth="1"/>
    <col min="3840" max="3844" width="6.125" style="2" customWidth="1"/>
    <col min="3845" max="4093" width="9" style="2"/>
    <col min="4094" max="4094" width="5.875" style="2" customWidth="1"/>
    <col min="4095" max="4095" width="46.875" style="2" customWidth="1"/>
    <col min="4096" max="4100" width="6.125" style="2" customWidth="1"/>
    <col min="4101" max="4349" width="9" style="2"/>
    <col min="4350" max="4350" width="5.875" style="2" customWidth="1"/>
    <col min="4351" max="4351" width="46.875" style="2" customWidth="1"/>
    <col min="4352" max="4356" width="6.125" style="2" customWidth="1"/>
    <col min="4357" max="4605" width="9" style="2"/>
    <col min="4606" max="4606" width="5.875" style="2" customWidth="1"/>
    <col min="4607" max="4607" width="46.875" style="2" customWidth="1"/>
    <col min="4608" max="4612" width="6.125" style="2" customWidth="1"/>
    <col min="4613" max="4861" width="9" style="2"/>
    <col min="4862" max="4862" width="5.875" style="2" customWidth="1"/>
    <col min="4863" max="4863" width="46.875" style="2" customWidth="1"/>
    <col min="4864" max="4868" width="6.125" style="2" customWidth="1"/>
    <col min="4869" max="5117" width="9" style="2"/>
    <col min="5118" max="5118" width="5.875" style="2" customWidth="1"/>
    <col min="5119" max="5119" width="46.875" style="2" customWidth="1"/>
    <col min="5120" max="5124" width="6.125" style="2" customWidth="1"/>
    <col min="5125" max="5373" width="9" style="2"/>
    <col min="5374" max="5374" width="5.875" style="2" customWidth="1"/>
    <col min="5375" max="5375" width="46.875" style="2" customWidth="1"/>
    <col min="5376" max="5380" width="6.125" style="2" customWidth="1"/>
    <col min="5381" max="5629" width="9" style="2"/>
    <col min="5630" max="5630" width="5.875" style="2" customWidth="1"/>
    <col min="5631" max="5631" width="46.875" style="2" customWidth="1"/>
    <col min="5632" max="5636" width="6.125" style="2" customWidth="1"/>
    <col min="5637" max="5885" width="9" style="2"/>
    <col min="5886" max="5886" width="5.875" style="2" customWidth="1"/>
    <col min="5887" max="5887" width="46.875" style="2" customWidth="1"/>
    <col min="5888" max="5892" width="6.125" style="2" customWidth="1"/>
    <col min="5893" max="6141" width="9" style="2"/>
    <col min="6142" max="6142" width="5.875" style="2" customWidth="1"/>
    <col min="6143" max="6143" width="46.875" style="2" customWidth="1"/>
    <col min="6144" max="6148" width="6.125" style="2" customWidth="1"/>
    <col min="6149" max="6397" width="9" style="2"/>
    <col min="6398" max="6398" width="5.875" style="2" customWidth="1"/>
    <col min="6399" max="6399" width="46.875" style="2" customWidth="1"/>
    <col min="6400" max="6404" width="6.125" style="2" customWidth="1"/>
    <col min="6405" max="6653" width="9" style="2"/>
    <col min="6654" max="6654" width="5.875" style="2" customWidth="1"/>
    <col min="6655" max="6655" width="46.875" style="2" customWidth="1"/>
    <col min="6656" max="6660" width="6.125" style="2" customWidth="1"/>
    <col min="6661" max="6909" width="9" style="2"/>
    <col min="6910" max="6910" width="5.875" style="2" customWidth="1"/>
    <col min="6911" max="6911" width="46.875" style="2" customWidth="1"/>
    <col min="6912" max="6916" width="6.125" style="2" customWidth="1"/>
    <col min="6917" max="7165" width="9" style="2"/>
    <col min="7166" max="7166" width="5.875" style="2" customWidth="1"/>
    <col min="7167" max="7167" width="46.875" style="2" customWidth="1"/>
    <col min="7168" max="7172" width="6.125" style="2" customWidth="1"/>
    <col min="7173" max="7421" width="9" style="2"/>
    <col min="7422" max="7422" width="5.875" style="2" customWidth="1"/>
    <col min="7423" max="7423" width="46.875" style="2" customWidth="1"/>
    <col min="7424" max="7428" width="6.125" style="2" customWidth="1"/>
    <col min="7429" max="7677" width="9" style="2"/>
    <col min="7678" max="7678" width="5.875" style="2" customWidth="1"/>
    <col min="7679" max="7679" width="46.875" style="2" customWidth="1"/>
    <col min="7680" max="7684" width="6.125" style="2" customWidth="1"/>
    <col min="7685" max="7933" width="9" style="2"/>
    <col min="7934" max="7934" width="5.875" style="2" customWidth="1"/>
    <col min="7935" max="7935" width="46.875" style="2" customWidth="1"/>
    <col min="7936" max="7940" width="6.125" style="2" customWidth="1"/>
    <col min="7941" max="8189" width="9" style="2"/>
    <col min="8190" max="8190" width="5.875" style="2" customWidth="1"/>
    <col min="8191" max="8191" width="46.875" style="2" customWidth="1"/>
    <col min="8192" max="8196" width="6.125" style="2" customWidth="1"/>
    <col min="8197" max="8445" width="9" style="2"/>
    <col min="8446" max="8446" width="5.875" style="2" customWidth="1"/>
    <col min="8447" max="8447" width="46.875" style="2" customWidth="1"/>
    <col min="8448" max="8452" width="6.125" style="2" customWidth="1"/>
    <col min="8453" max="8701" width="9" style="2"/>
    <col min="8702" max="8702" width="5.875" style="2" customWidth="1"/>
    <col min="8703" max="8703" width="46.875" style="2" customWidth="1"/>
    <col min="8704" max="8708" width="6.125" style="2" customWidth="1"/>
    <col min="8709" max="8957" width="9" style="2"/>
    <col min="8958" max="8958" width="5.875" style="2" customWidth="1"/>
    <col min="8959" max="8959" width="46.875" style="2" customWidth="1"/>
    <col min="8960" max="8964" width="6.125" style="2" customWidth="1"/>
    <col min="8965" max="9213" width="9" style="2"/>
    <col min="9214" max="9214" width="5.875" style="2" customWidth="1"/>
    <col min="9215" max="9215" width="46.875" style="2" customWidth="1"/>
    <col min="9216" max="9220" width="6.125" style="2" customWidth="1"/>
    <col min="9221" max="9469" width="9" style="2"/>
    <col min="9470" max="9470" width="5.875" style="2" customWidth="1"/>
    <col min="9471" max="9471" width="46.875" style="2" customWidth="1"/>
    <col min="9472" max="9476" width="6.125" style="2" customWidth="1"/>
    <col min="9477" max="9725" width="9" style="2"/>
    <col min="9726" max="9726" width="5.875" style="2" customWidth="1"/>
    <col min="9727" max="9727" width="46.875" style="2" customWidth="1"/>
    <col min="9728" max="9732" width="6.125" style="2" customWidth="1"/>
    <col min="9733" max="9981" width="9" style="2"/>
    <col min="9982" max="9982" width="5.875" style="2" customWidth="1"/>
    <col min="9983" max="9983" width="46.875" style="2" customWidth="1"/>
    <col min="9984" max="9988" width="6.125" style="2" customWidth="1"/>
    <col min="9989" max="10237" width="9" style="2"/>
    <col min="10238" max="10238" width="5.875" style="2" customWidth="1"/>
    <col min="10239" max="10239" width="46.875" style="2" customWidth="1"/>
    <col min="10240" max="10244" width="6.125" style="2" customWidth="1"/>
    <col min="10245" max="10493" width="9" style="2"/>
    <col min="10494" max="10494" width="5.875" style="2" customWidth="1"/>
    <col min="10495" max="10495" width="46.875" style="2" customWidth="1"/>
    <col min="10496" max="10500" width="6.125" style="2" customWidth="1"/>
    <col min="10501" max="10749" width="9" style="2"/>
    <col min="10750" max="10750" width="5.875" style="2" customWidth="1"/>
    <col min="10751" max="10751" width="46.875" style="2" customWidth="1"/>
    <col min="10752" max="10756" width="6.125" style="2" customWidth="1"/>
    <col min="10757" max="11005" width="9" style="2"/>
    <col min="11006" max="11006" width="5.875" style="2" customWidth="1"/>
    <col min="11007" max="11007" width="46.875" style="2" customWidth="1"/>
    <col min="11008" max="11012" width="6.125" style="2" customWidth="1"/>
    <col min="11013" max="11261" width="9" style="2"/>
    <col min="11262" max="11262" width="5.875" style="2" customWidth="1"/>
    <col min="11263" max="11263" width="46.875" style="2" customWidth="1"/>
    <col min="11264" max="11268" width="6.125" style="2" customWidth="1"/>
    <col min="11269" max="11517" width="9" style="2"/>
    <col min="11518" max="11518" width="5.875" style="2" customWidth="1"/>
    <col min="11519" max="11519" width="46.875" style="2" customWidth="1"/>
    <col min="11520" max="11524" width="6.125" style="2" customWidth="1"/>
    <col min="11525" max="11773" width="9" style="2"/>
    <col min="11774" max="11774" width="5.875" style="2" customWidth="1"/>
    <col min="11775" max="11775" width="46.875" style="2" customWidth="1"/>
    <col min="11776" max="11780" width="6.125" style="2" customWidth="1"/>
    <col min="11781" max="12029" width="9" style="2"/>
    <col min="12030" max="12030" width="5.875" style="2" customWidth="1"/>
    <col min="12031" max="12031" width="46.875" style="2" customWidth="1"/>
    <col min="12032" max="12036" width="6.125" style="2" customWidth="1"/>
    <col min="12037" max="12285" width="9" style="2"/>
    <col min="12286" max="12286" width="5.875" style="2" customWidth="1"/>
    <col min="12287" max="12287" width="46.875" style="2" customWidth="1"/>
    <col min="12288" max="12292" width="6.125" style="2" customWidth="1"/>
    <col min="12293" max="12541" width="9" style="2"/>
    <col min="12542" max="12542" width="5.875" style="2" customWidth="1"/>
    <col min="12543" max="12543" width="46.875" style="2" customWidth="1"/>
    <col min="12544" max="12548" width="6.125" style="2" customWidth="1"/>
    <col min="12549" max="12797" width="9" style="2"/>
    <col min="12798" max="12798" width="5.875" style="2" customWidth="1"/>
    <col min="12799" max="12799" width="46.875" style="2" customWidth="1"/>
    <col min="12800" max="12804" width="6.125" style="2" customWidth="1"/>
    <col min="12805" max="13053" width="9" style="2"/>
    <col min="13054" max="13054" width="5.875" style="2" customWidth="1"/>
    <col min="13055" max="13055" width="46.875" style="2" customWidth="1"/>
    <col min="13056" max="13060" width="6.125" style="2" customWidth="1"/>
    <col min="13061" max="13309" width="9" style="2"/>
    <col min="13310" max="13310" width="5.875" style="2" customWidth="1"/>
    <col min="13311" max="13311" width="46.875" style="2" customWidth="1"/>
    <col min="13312" max="13316" width="6.125" style="2" customWidth="1"/>
    <col min="13317" max="13565" width="9" style="2"/>
    <col min="13566" max="13566" width="5.875" style="2" customWidth="1"/>
    <col min="13567" max="13567" width="46.875" style="2" customWidth="1"/>
    <col min="13568" max="13572" width="6.125" style="2" customWidth="1"/>
    <col min="13573" max="13821" width="9" style="2"/>
    <col min="13822" max="13822" width="5.875" style="2" customWidth="1"/>
    <col min="13823" max="13823" width="46.875" style="2" customWidth="1"/>
    <col min="13824" max="13828" width="6.125" style="2" customWidth="1"/>
    <col min="13829" max="14077" width="9" style="2"/>
    <col min="14078" max="14078" width="5.875" style="2" customWidth="1"/>
    <col min="14079" max="14079" width="46.875" style="2" customWidth="1"/>
    <col min="14080" max="14084" width="6.125" style="2" customWidth="1"/>
    <col min="14085" max="14333" width="9" style="2"/>
    <col min="14334" max="14334" width="5.875" style="2" customWidth="1"/>
    <col min="14335" max="14335" width="46.875" style="2" customWidth="1"/>
    <col min="14336" max="14340" width="6.125" style="2" customWidth="1"/>
    <col min="14341" max="14589" width="9" style="2"/>
    <col min="14590" max="14590" width="5.875" style="2" customWidth="1"/>
    <col min="14591" max="14591" width="46.875" style="2" customWidth="1"/>
    <col min="14592" max="14596" width="6.125" style="2" customWidth="1"/>
    <col min="14597" max="14845" width="9" style="2"/>
    <col min="14846" max="14846" width="5.875" style="2" customWidth="1"/>
    <col min="14847" max="14847" width="46.875" style="2" customWidth="1"/>
    <col min="14848" max="14852" width="6.125" style="2" customWidth="1"/>
    <col min="14853" max="15101" width="9" style="2"/>
    <col min="15102" max="15102" width="5.875" style="2" customWidth="1"/>
    <col min="15103" max="15103" width="46.875" style="2" customWidth="1"/>
    <col min="15104" max="15108" width="6.125" style="2" customWidth="1"/>
    <col min="15109" max="15357" width="9" style="2"/>
    <col min="15358" max="15358" width="5.875" style="2" customWidth="1"/>
    <col min="15359" max="15359" width="46.875" style="2" customWidth="1"/>
    <col min="15360" max="15364" width="6.125" style="2" customWidth="1"/>
    <col min="15365" max="15613" width="9" style="2"/>
    <col min="15614" max="15614" width="5.875" style="2" customWidth="1"/>
    <col min="15615" max="15615" width="46.875" style="2" customWidth="1"/>
    <col min="15616" max="15620" width="6.125" style="2" customWidth="1"/>
    <col min="15621" max="15869" width="9" style="2"/>
    <col min="15870" max="15870" width="5.875" style="2" customWidth="1"/>
    <col min="15871" max="15871" width="46.875" style="2" customWidth="1"/>
    <col min="15872" max="15876" width="6.125" style="2" customWidth="1"/>
    <col min="15877" max="16125" width="9" style="2"/>
    <col min="16126" max="16126" width="5.875" style="2" customWidth="1"/>
    <col min="16127" max="16127" width="46.875" style="2" customWidth="1"/>
    <col min="16128" max="16132" width="6.125" style="2" customWidth="1"/>
    <col min="16133" max="16384" width="9" style="2"/>
  </cols>
  <sheetData>
    <row r="1" spans="1:9" ht="29.25" customHeight="1" x14ac:dyDescent="0.3">
      <c r="A1" s="45" t="s">
        <v>59</v>
      </c>
      <c r="B1" s="45"/>
      <c r="C1" s="1"/>
      <c r="D1" s="1"/>
      <c r="E1" s="1"/>
      <c r="F1" s="1"/>
      <c r="G1" s="1"/>
    </row>
    <row r="2" spans="1:9" ht="17.25" x14ac:dyDescent="0.3">
      <c r="A2" s="31" t="str">
        <f>"※ 설문 응답자수: " &amp; TEXT(COUNTA(tbl설문자료[교육일]),"#,##0 명")</f>
        <v>※ 설문 응답자수: 66 명</v>
      </c>
      <c r="B2" s="30"/>
      <c r="C2" s="3"/>
      <c r="D2" s="3"/>
      <c r="E2" s="3"/>
      <c r="F2" s="3"/>
      <c r="G2" s="3"/>
    </row>
    <row r="3" spans="1:9" ht="18" thickBot="1" x14ac:dyDescent="0.35">
      <c r="C3" s="3"/>
      <c r="D3" s="3"/>
      <c r="E3" s="3"/>
      <c r="F3" s="3"/>
      <c r="G3" s="3"/>
    </row>
    <row r="4" spans="1:9" ht="19.5" customHeight="1" x14ac:dyDescent="0.3">
      <c r="A4" s="46" t="s">
        <v>0</v>
      </c>
      <c r="B4" s="48" t="s">
        <v>1</v>
      </c>
      <c r="C4" s="32" t="s">
        <v>2</v>
      </c>
      <c r="D4" s="32" t="s">
        <v>3</v>
      </c>
      <c r="E4" s="32" t="s">
        <v>4</v>
      </c>
      <c r="F4" s="32" t="s">
        <v>5</v>
      </c>
      <c r="G4" s="32" t="s">
        <v>6</v>
      </c>
      <c r="H4" s="33" t="s">
        <v>7</v>
      </c>
      <c r="I4" s="34" t="s">
        <v>57</v>
      </c>
    </row>
    <row r="5" spans="1:9" ht="19.5" customHeight="1" x14ac:dyDescent="0.3">
      <c r="A5" s="47"/>
      <c r="B5" s="49"/>
      <c r="C5" s="22">
        <v>5</v>
      </c>
      <c r="D5" s="22">
        <v>4</v>
      </c>
      <c r="E5" s="22">
        <v>3</v>
      </c>
      <c r="F5" s="22">
        <v>2</v>
      </c>
      <c r="G5" s="22">
        <v>1</v>
      </c>
      <c r="H5" s="23" t="s">
        <v>8</v>
      </c>
      <c r="I5" s="35" t="s">
        <v>72</v>
      </c>
    </row>
    <row r="6" spans="1:9" ht="20.25" customHeight="1" x14ac:dyDescent="0.3">
      <c r="A6" s="36">
        <v>1</v>
      </c>
      <c r="B6" s="25" t="str">
        <f>IFERROR(VLOOKUP(A6,tbl문항내용[],2,0),"")</f>
        <v>강의가 체계적으로 준비되었습니까?</v>
      </c>
      <c r="C6" s="6">
        <f t="shared" ref="C6:G16" ca="1" si="0">COUNTIF(INDIRECT("tbl설문자료["&amp;$A6&amp;"번]"),C$5)</f>
        <v>26</v>
      </c>
      <c r="D6" s="6">
        <f t="shared" ca="1" si="0"/>
        <v>24</v>
      </c>
      <c r="E6" s="6">
        <f t="shared" ca="1" si="0"/>
        <v>8</v>
      </c>
      <c r="F6" s="6">
        <f t="shared" ca="1" si="0"/>
        <v>4</v>
      </c>
      <c r="G6" s="6">
        <f t="shared" ca="1" si="0"/>
        <v>4</v>
      </c>
      <c r="H6" s="24">
        <f t="shared" ref="H6:H16" ca="1" si="1">ROUND(SUMPRODUCT($C6:$G6,$C$5:$G$5)/SUM($C6:$G6),2)</f>
        <v>3.97</v>
      </c>
      <c r="I6" s="37">
        <f ca="1">ROUND(AVERAGEIFS(INDIRECT("tbl설문자료["&amp;$A6&amp;"번]"),tbl설문자료[강사],nm강사),2)</f>
        <v>3.4</v>
      </c>
    </row>
    <row r="7" spans="1:9" ht="20.25" customHeight="1" x14ac:dyDescent="0.3">
      <c r="A7" s="36">
        <v>2</v>
      </c>
      <c r="B7" s="25" t="str">
        <f>IFERROR(VLOOKUP(A7,tbl문항내용[],2,0),"")</f>
        <v>강의 시작전 제시된 진도 계획이 모두 완료되었습니까?</v>
      </c>
      <c r="C7" s="6">
        <f t="shared" ca="1" si="0"/>
        <v>16</v>
      </c>
      <c r="D7" s="6">
        <f t="shared" ca="1" si="0"/>
        <v>26</v>
      </c>
      <c r="E7" s="6">
        <f t="shared" ca="1" si="0"/>
        <v>8</v>
      </c>
      <c r="F7" s="6">
        <f t="shared" ca="1" si="0"/>
        <v>16</v>
      </c>
      <c r="G7" s="6">
        <f t="shared" ca="1" si="0"/>
        <v>0</v>
      </c>
      <c r="H7" s="24">
        <f t="shared" ca="1" si="1"/>
        <v>3.64</v>
      </c>
      <c r="I7" s="37">
        <f ca="1">ROUND(AVERAGEIFS(INDIRECT("tbl설문자료["&amp;$A7&amp;"번]"),tbl설문자료[강사],nm강사),2)</f>
        <v>3.2</v>
      </c>
    </row>
    <row r="8" spans="1:9" ht="20.25" customHeight="1" x14ac:dyDescent="0.3">
      <c r="A8" s="36">
        <v>3</v>
      </c>
      <c r="B8" s="25" t="str">
        <f>IFERROR(VLOOKUP(A8,tbl문항내용[],2,0),"")</f>
        <v>수강 이전에 비해 학습한 주제들의 이해도는 향상되었습니까?</v>
      </c>
      <c r="C8" s="6">
        <f t="shared" ca="1" si="0"/>
        <v>22</v>
      </c>
      <c r="D8" s="6">
        <f t="shared" ca="1" si="0"/>
        <v>8</v>
      </c>
      <c r="E8" s="6">
        <f t="shared" ca="1" si="0"/>
        <v>32</v>
      </c>
      <c r="F8" s="6">
        <f t="shared" ca="1" si="0"/>
        <v>0</v>
      </c>
      <c r="G8" s="6">
        <f t="shared" ca="1" si="0"/>
        <v>4</v>
      </c>
      <c r="H8" s="24">
        <f t="shared" ca="1" si="1"/>
        <v>3.67</v>
      </c>
      <c r="I8" s="37">
        <f ca="1">ROUND(AVERAGEIFS(INDIRECT("tbl설문자료["&amp;$A8&amp;"번]"),tbl설문자료[강사],nm강사),2)</f>
        <v>3.2</v>
      </c>
    </row>
    <row r="9" spans="1:9" ht="20.25" customHeight="1" x14ac:dyDescent="0.3">
      <c r="A9" s="36">
        <v>4</v>
      </c>
      <c r="B9" s="25" t="str">
        <f>IFERROR(VLOOKUP(A9,tbl문항내용[],2,0),"")</f>
        <v>질문에 대해 강사가 충실히 답변했습니까?</v>
      </c>
      <c r="C9" s="6">
        <f t="shared" ca="1" si="0"/>
        <v>4</v>
      </c>
      <c r="D9" s="6">
        <f t="shared" ca="1" si="0"/>
        <v>0</v>
      </c>
      <c r="E9" s="6">
        <f t="shared" ca="1" si="0"/>
        <v>14</v>
      </c>
      <c r="F9" s="6">
        <f t="shared" ca="1" si="0"/>
        <v>48</v>
      </c>
      <c r="G9" s="6">
        <f t="shared" ca="1" si="0"/>
        <v>0</v>
      </c>
      <c r="H9" s="24">
        <f t="shared" ca="1" si="1"/>
        <v>2.39</v>
      </c>
      <c r="I9" s="37">
        <f ca="1">ROUND(AVERAGEIFS(INDIRECT("tbl설문자료["&amp;$A9&amp;"번]"),tbl설문자료[강사],nm강사),2)</f>
        <v>2.2000000000000002</v>
      </c>
    </row>
    <row r="10" spans="1:9" ht="20.25" customHeight="1" x14ac:dyDescent="0.3">
      <c r="A10" s="36">
        <v>5</v>
      </c>
      <c r="B10" s="25" t="str">
        <f>IFERROR(VLOOKUP(A10,tbl문항내용[],2,0),"")</f>
        <v>총괄적으로 강사의 평가를 내리신다면?</v>
      </c>
      <c r="C10" s="6">
        <f t="shared" ca="1" si="0"/>
        <v>4</v>
      </c>
      <c r="D10" s="6">
        <f t="shared" ca="1" si="0"/>
        <v>26</v>
      </c>
      <c r="E10" s="6">
        <f t="shared" ca="1" si="0"/>
        <v>12</v>
      </c>
      <c r="F10" s="6">
        <f t="shared" ca="1" si="0"/>
        <v>0</v>
      </c>
      <c r="G10" s="6">
        <f t="shared" ca="1" si="0"/>
        <v>20</v>
      </c>
      <c r="H10" s="24">
        <f t="shared" ca="1" si="1"/>
        <v>2.9</v>
      </c>
      <c r="I10" s="37">
        <f ca="1">ROUND(AVERAGEIFS(INDIRECT("tbl설문자료["&amp;$A10&amp;"번]"),tbl설문자료[강사],nm강사),2)</f>
        <v>3.6</v>
      </c>
    </row>
    <row r="11" spans="1:9" ht="20.25" customHeight="1" x14ac:dyDescent="0.3">
      <c r="A11" s="36">
        <v>6</v>
      </c>
      <c r="B11" s="25" t="str">
        <f>IFERROR(VLOOKUP(A11,tbl문항내용[],2,0),"")</f>
        <v>프로트 데스크의 서비스는?</v>
      </c>
      <c r="C11" s="6">
        <f t="shared" ca="1" si="0"/>
        <v>14</v>
      </c>
      <c r="D11" s="6">
        <f t="shared" ca="1" si="0"/>
        <v>0</v>
      </c>
      <c r="E11" s="6">
        <f t="shared" ca="1" si="0"/>
        <v>0</v>
      </c>
      <c r="F11" s="6">
        <f t="shared" ca="1" si="0"/>
        <v>52</v>
      </c>
      <c r="G11" s="6">
        <f t="shared" ca="1" si="0"/>
        <v>0</v>
      </c>
      <c r="H11" s="24">
        <f t="shared" ca="1" si="1"/>
        <v>2.64</v>
      </c>
      <c r="I11" s="37">
        <f ca="1">ROUND(AVERAGEIFS(INDIRECT("tbl설문자료["&amp;$A11&amp;"번]"),tbl설문자료[강사],nm강사),2)</f>
        <v>2.6</v>
      </c>
    </row>
    <row r="12" spans="1:9" ht="20.25" customHeight="1" x14ac:dyDescent="0.3">
      <c r="A12" s="36">
        <v>7</v>
      </c>
      <c r="B12" s="25" t="str">
        <f>IFERROR(VLOOKUP(A12,tbl문항내용[],2,0),"")</f>
        <v>담당 AE의 서비스는?</v>
      </c>
      <c r="C12" s="6">
        <f t="shared" ca="1" si="0"/>
        <v>12</v>
      </c>
      <c r="D12" s="6">
        <f t="shared" ca="1" si="0"/>
        <v>8</v>
      </c>
      <c r="E12" s="6">
        <f t="shared" ca="1" si="0"/>
        <v>18</v>
      </c>
      <c r="F12" s="6">
        <f t="shared" ca="1" si="0"/>
        <v>8</v>
      </c>
      <c r="G12" s="6">
        <f t="shared" ca="1" si="0"/>
        <v>20</v>
      </c>
      <c r="H12" s="24">
        <f t="shared" ca="1" si="1"/>
        <v>2.76</v>
      </c>
      <c r="I12" s="37">
        <f ca="1">ROUND(AVERAGEIFS(INDIRECT("tbl설문자료["&amp;$A12&amp;"번]"),tbl설문자료[강사],nm강사),2)</f>
        <v>2</v>
      </c>
    </row>
    <row r="13" spans="1:9" ht="20.25" customHeight="1" x14ac:dyDescent="0.3">
      <c r="A13" s="36">
        <v>8</v>
      </c>
      <c r="B13" s="25" t="str">
        <f>IFERROR(VLOOKUP(A13,tbl문항내용[],2,0),"")</f>
        <v>교육에 사용된 교재에 대한 평가는?</v>
      </c>
      <c r="C13" s="6">
        <f t="shared" ca="1" si="0"/>
        <v>0</v>
      </c>
      <c r="D13" s="6">
        <f t="shared" ca="1" si="0"/>
        <v>62</v>
      </c>
      <c r="E13" s="6">
        <f t="shared" ca="1" si="0"/>
        <v>0</v>
      </c>
      <c r="F13" s="6">
        <f t="shared" ca="1" si="0"/>
        <v>0</v>
      </c>
      <c r="G13" s="6">
        <f t="shared" ca="1" si="0"/>
        <v>4</v>
      </c>
      <c r="H13" s="24">
        <f t="shared" ca="1" si="1"/>
        <v>3.82</v>
      </c>
      <c r="I13" s="37">
        <f ca="1">ROUND(AVERAGEIFS(INDIRECT("tbl설문자료["&amp;$A13&amp;"번]"),tbl설문자료[강사],nm강사),2)</f>
        <v>3.4</v>
      </c>
    </row>
    <row r="14" spans="1:9" ht="20.25" customHeight="1" x14ac:dyDescent="0.3">
      <c r="A14" s="36">
        <v>9</v>
      </c>
      <c r="B14" s="25" t="str">
        <f>IFERROR(VLOOKUP(A14,tbl문항내용[],2,0),"")</f>
        <v>강의 장 및 시스템 환경에 대한 평가는?</v>
      </c>
      <c r="C14" s="6">
        <f t="shared" ca="1" si="0"/>
        <v>26</v>
      </c>
      <c r="D14" s="6">
        <f t="shared" ca="1" si="0"/>
        <v>12</v>
      </c>
      <c r="E14" s="6">
        <f t="shared" ca="1" si="0"/>
        <v>12</v>
      </c>
      <c r="F14" s="6">
        <f t="shared" ca="1" si="0"/>
        <v>16</v>
      </c>
      <c r="G14" s="6">
        <f t="shared" ca="1" si="0"/>
        <v>0</v>
      </c>
      <c r="H14" s="24">
        <f t="shared" ca="1" si="1"/>
        <v>3.73</v>
      </c>
      <c r="I14" s="37">
        <f ca="1">ROUND(AVERAGEIFS(INDIRECT("tbl설문자료["&amp;$A14&amp;"번]"),tbl설문자료[강사],nm강사),2)</f>
        <v>3.8</v>
      </c>
    </row>
    <row r="15" spans="1:9" ht="20.25" customHeight="1" x14ac:dyDescent="0.3">
      <c r="A15" s="36">
        <v>10</v>
      </c>
      <c r="B15" s="25" t="str">
        <f>IFERROR(VLOOKUP(A15,tbl문항내용[],2,0),"")</f>
        <v>휴게실 및 강의실 주변환경에 대한 평가는?</v>
      </c>
      <c r="C15" s="6">
        <f t="shared" ca="1" si="0"/>
        <v>12</v>
      </c>
      <c r="D15" s="6">
        <f t="shared" ca="1" si="0"/>
        <v>16</v>
      </c>
      <c r="E15" s="6">
        <f t="shared" ca="1" si="0"/>
        <v>12</v>
      </c>
      <c r="F15" s="6">
        <f t="shared" ca="1" si="0"/>
        <v>8</v>
      </c>
      <c r="G15" s="6">
        <f t="shared" ca="1" si="0"/>
        <v>4</v>
      </c>
      <c r="H15" s="24">
        <f t="shared" ca="1" si="1"/>
        <v>3.46</v>
      </c>
      <c r="I15" s="37">
        <f ca="1">ROUND(AVERAGEIFS(INDIRECT("tbl설문자료["&amp;$A15&amp;"번]"),tbl설문자료[강사],nm강사),2)</f>
        <v>4.4000000000000004</v>
      </c>
    </row>
    <row r="16" spans="1:9" ht="20.25" customHeight="1" x14ac:dyDescent="0.3">
      <c r="A16" s="36">
        <v>11</v>
      </c>
      <c r="B16" s="25" t="str">
        <f>IFERROR(VLOOKUP(A16,tbl문항내용[],2,0),"")</f>
        <v>컴퓨터가 제대로 작동되었습니까?</v>
      </c>
      <c r="C16" s="6">
        <f t="shared" ca="1" si="0"/>
        <v>30</v>
      </c>
      <c r="D16" s="6">
        <f t="shared" ca="1" si="0"/>
        <v>12</v>
      </c>
      <c r="E16" s="6">
        <f t="shared" ca="1" si="0"/>
        <v>4</v>
      </c>
      <c r="F16" s="6">
        <f t="shared" ca="1" si="0"/>
        <v>16</v>
      </c>
      <c r="G16" s="6">
        <f t="shared" ca="1" si="0"/>
        <v>4</v>
      </c>
      <c r="H16" s="24">
        <f t="shared" ca="1" si="1"/>
        <v>3.73</v>
      </c>
      <c r="I16" s="37">
        <f ca="1">ROUND(AVERAGEIFS(INDIRECT("tbl설문자료["&amp;$A16&amp;"번]"),tbl설문자료[강사],nm강사),2)</f>
        <v>4</v>
      </c>
    </row>
    <row r="17" spans="1:9" ht="20.25" customHeight="1" thickBot="1" x14ac:dyDescent="0.35">
      <c r="A17" s="50" t="s">
        <v>58</v>
      </c>
      <c r="B17" s="51"/>
      <c r="C17" s="52"/>
      <c r="D17" s="52"/>
      <c r="E17" s="52"/>
      <c r="F17" s="52"/>
      <c r="G17" s="52"/>
      <c r="H17" s="38">
        <f ca="1">AVERAGE(H6:H16)</f>
        <v>3.3372727272727265</v>
      </c>
      <c r="I17" s="39">
        <f ca="1">AVERAGE(I6:I16)</f>
        <v>3.2545454545454544</v>
      </c>
    </row>
    <row r="18" spans="1:9" ht="14.25" customHeight="1" thickBot="1" x14ac:dyDescent="0.3">
      <c r="B18" s="7"/>
    </row>
    <row r="19" spans="1:9" ht="55.5" customHeight="1" thickBot="1" x14ac:dyDescent="0.35">
      <c r="A19" s="40" t="s">
        <v>60</v>
      </c>
      <c r="B19" s="53" t="e">
        <f ca="1">fn비고병합표시(nm강사)</f>
        <v>#VALUE!</v>
      </c>
      <c r="C19" s="53"/>
      <c r="D19" s="53"/>
      <c r="E19" s="53"/>
      <c r="F19" s="53"/>
      <c r="G19" s="53"/>
      <c r="H19" s="53"/>
      <c r="I19" s="54"/>
    </row>
  </sheetData>
  <mergeCells count="5">
    <mergeCell ref="A1:B1"/>
    <mergeCell ref="A4:A5"/>
    <mergeCell ref="B4:B5"/>
    <mergeCell ref="A17:G17"/>
    <mergeCell ref="B19:I19"/>
  </mergeCells>
  <phoneticPr fontId="1" type="noConversion"/>
  <printOptions horizontalCentered="1"/>
  <pageMargins left="0.3" right="0.28000000000000003" top="0.98425196850393704" bottom="0.98425196850393704" header="0.51181102362204722" footer="0.51181102362204722"/>
  <pageSetup paperSize="9" scale="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0" r:id="rId4" name="cbo강사">
          <controlPr defaultSize="0" autoLine="0" linkedCell="$I$5" listFillRange="'@작업시트'!$A$5:$A$7" r:id="rId5">
            <anchor moveWithCells="1">
              <from>
                <xdr:col>8</xdr:col>
                <xdr:colOff>0</xdr:colOff>
                <xdr:row>4</xdr:row>
                <xdr:rowOff>9525</xdr:rowOff>
              </from>
              <to>
                <xdr:col>9</xdr:col>
                <xdr:colOff>9525</xdr:colOff>
                <xdr:row>5</xdr:row>
                <xdr:rowOff>0</xdr:rowOff>
              </to>
            </anchor>
          </controlPr>
        </control>
      </mc:Choice>
      <mc:Fallback>
        <control shapeId="1120" r:id="rId4" name="cbo강사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sbExcelToAccess">
            <anchor moveWithCells="1" sizeWithCells="1">
              <from>
                <xdr:col>7</xdr:col>
                <xdr:colOff>409575</xdr:colOff>
                <xdr:row>1</xdr:row>
                <xdr:rowOff>38100</xdr:rowOff>
              </from>
              <to>
                <xdr:col>9</xdr:col>
                <xdr:colOff>104775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sbExcel_Import">
            <anchor moveWithCells="1" sizeWithCells="1">
              <from>
                <xdr:col>2</xdr:col>
                <xdr:colOff>28575</xdr:colOff>
                <xdr:row>0</xdr:row>
                <xdr:rowOff>104775</xdr:rowOff>
              </from>
              <to>
                <xdr:col>4</xdr:col>
                <xdr:colOff>400050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8" name="Button 3">
          <controlPr defaultSize="0" print="0" autoFill="0" autoPict="0" macro="[0]!sb전체시트지우기">
            <anchor moveWithCells="1" sizeWithCells="1">
              <from>
                <xdr:col>2</xdr:col>
                <xdr:colOff>28575</xdr:colOff>
                <xdr:row>1</xdr:row>
                <xdr:rowOff>38100</xdr:rowOff>
              </from>
              <to>
                <xdr:col>4</xdr:col>
                <xdr:colOff>400050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9" name="Button 4">
          <controlPr defaultSize="0" print="0" autoFill="0" autoPict="0" macro="[0]!sbMSWord문서작성">
            <anchor moveWithCells="1" sizeWithCells="1">
              <from>
                <xdr:col>6</xdr:col>
                <xdr:colOff>247650</xdr:colOff>
                <xdr:row>0</xdr:row>
                <xdr:rowOff>104775</xdr:rowOff>
              </from>
              <to>
                <xdr:col>7</xdr:col>
                <xdr:colOff>390525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0]!sb분석차트">
            <anchor moveWithCells="1" sizeWithCells="1">
              <from>
                <xdr:col>4</xdr:col>
                <xdr:colOff>409575</xdr:colOff>
                <xdr:row>0</xdr:row>
                <xdr:rowOff>104775</xdr:rowOff>
              </from>
              <to>
                <xdr:col>6</xdr:col>
                <xdr:colOff>238125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1" name="Button 6">
          <controlPr defaultSize="0" print="0" autoFill="0" autoPict="0" macro="[0]!sb차트삭제">
            <anchor moveWithCells="1" sizeWithCells="1">
              <from>
                <xdr:col>4</xdr:col>
                <xdr:colOff>409575</xdr:colOff>
                <xdr:row>1</xdr:row>
                <xdr:rowOff>38100</xdr:rowOff>
              </from>
              <to>
                <xdr:col>6</xdr:col>
                <xdr:colOff>238125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2" name="Button 7">
          <controlPr defaultSize="0" print="0" autoFill="0" autoPict="0" macro="[0]!sbExcelToPowerPoint">
            <anchor moveWithCells="1" sizeWithCells="1">
              <from>
                <xdr:col>6</xdr:col>
                <xdr:colOff>247650</xdr:colOff>
                <xdr:row>1</xdr:row>
                <xdr:rowOff>38100</xdr:rowOff>
              </from>
              <to>
                <xdr:col>7</xdr:col>
                <xdr:colOff>390525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13" name="Button 83">
          <controlPr defaultSize="0" print="0" autoFill="0" autoPict="0" macro="[0]!sbFromAccess">
            <anchor moveWithCells="1" sizeWithCells="1">
              <from>
                <xdr:col>7</xdr:col>
                <xdr:colOff>400050</xdr:colOff>
                <xdr:row>0</xdr:row>
                <xdr:rowOff>104775</xdr:rowOff>
              </from>
              <to>
                <xdr:col>9</xdr:col>
                <xdr:colOff>95250</xdr:colOff>
                <xdr:row>1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70"/>
  <sheetViews>
    <sheetView showGridLines="0" workbookViewId="0">
      <pane xSplit="4" ySplit="4" topLeftCell="E5" activePane="bottomRight" state="frozen"/>
      <selection pane="topRight" activeCell="E1" sqref="E1"/>
      <selection pane="bottomLeft" activeCell="A6" sqref="A6"/>
      <selection pane="bottomRight" activeCell="B57" sqref="B57:S70"/>
    </sheetView>
  </sheetViews>
  <sheetFormatPr defaultRowHeight="13.5" x14ac:dyDescent="0.3"/>
  <cols>
    <col min="1" max="1" width="8.125" style="2" customWidth="1"/>
    <col min="2" max="3" width="9.625" style="2" customWidth="1"/>
    <col min="4" max="5" width="6.375" style="2" bestFit="1" customWidth="1"/>
    <col min="6" max="6" width="9.625" style="2" bestFit="1" customWidth="1"/>
    <col min="7" max="7" width="6.375" style="2" bestFit="1" customWidth="1"/>
    <col min="8" max="16" width="4" style="2" bestFit="1" customWidth="1"/>
    <col min="17" max="18" width="4.875" style="2" bestFit="1" customWidth="1"/>
    <col min="19" max="19" width="20.625" style="2" bestFit="1" customWidth="1"/>
    <col min="20" max="256" width="9" style="2"/>
    <col min="257" max="257" width="16.75" style="2" bestFit="1" customWidth="1"/>
    <col min="258" max="260" width="9.625" style="2" customWidth="1"/>
    <col min="261" max="261" width="9" style="2"/>
    <col min="262" max="262" width="15.75" style="2" bestFit="1" customWidth="1"/>
    <col min="263" max="263" width="9" style="2"/>
    <col min="264" max="272" width="4.125" style="2" bestFit="1" customWidth="1"/>
    <col min="273" max="274" width="5" style="2" bestFit="1" customWidth="1"/>
    <col min="275" max="275" width="17.625" style="2" customWidth="1"/>
    <col min="276" max="512" width="9" style="2"/>
    <col min="513" max="513" width="16.75" style="2" bestFit="1" customWidth="1"/>
    <col min="514" max="516" width="9.625" style="2" customWidth="1"/>
    <col min="517" max="517" width="9" style="2"/>
    <col min="518" max="518" width="15.75" style="2" bestFit="1" customWidth="1"/>
    <col min="519" max="519" width="9" style="2"/>
    <col min="520" max="528" width="4.125" style="2" bestFit="1" customWidth="1"/>
    <col min="529" max="530" width="5" style="2" bestFit="1" customWidth="1"/>
    <col min="531" max="531" width="17.625" style="2" customWidth="1"/>
    <col min="532" max="768" width="9" style="2"/>
    <col min="769" max="769" width="16.75" style="2" bestFit="1" customWidth="1"/>
    <col min="770" max="772" width="9.625" style="2" customWidth="1"/>
    <col min="773" max="773" width="9" style="2"/>
    <col min="774" max="774" width="15.75" style="2" bestFit="1" customWidth="1"/>
    <col min="775" max="775" width="9" style="2"/>
    <col min="776" max="784" width="4.125" style="2" bestFit="1" customWidth="1"/>
    <col min="785" max="786" width="5" style="2" bestFit="1" customWidth="1"/>
    <col min="787" max="787" width="17.625" style="2" customWidth="1"/>
    <col min="788" max="1024" width="9" style="2"/>
    <col min="1025" max="1025" width="16.75" style="2" bestFit="1" customWidth="1"/>
    <col min="1026" max="1028" width="9.625" style="2" customWidth="1"/>
    <col min="1029" max="1029" width="9" style="2"/>
    <col min="1030" max="1030" width="15.75" style="2" bestFit="1" customWidth="1"/>
    <col min="1031" max="1031" width="9" style="2"/>
    <col min="1032" max="1040" width="4.125" style="2" bestFit="1" customWidth="1"/>
    <col min="1041" max="1042" width="5" style="2" bestFit="1" customWidth="1"/>
    <col min="1043" max="1043" width="17.625" style="2" customWidth="1"/>
    <col min="1044" max="1280" width="9" style="2"/>
    <col min="1281" max="1281" width="16.75" style="2" bestFit="1" customWidth="1"/>
    <col min="1282" max="1284" width="9.625" style="2" customWidth="1"/>
    <col min="1285" max="1285" width="9" style="2"/>
    <col min="1286" max="1286" width="15.75" style="2" bestFit="1" customWidth="1"/>
    <col min="1287" max="1287" width="9" style="2"/>
    <col min="1288" max="1296" width="4.125" style="2" bestFit="1" customWidth="1"/>
    <col min="1297" max="1298" width="5" style="2" bestFit="1" customWidth="1"/>
    <col min="1299" max="1299" width="17.625" style="2" customWidth="1"/>
    <col min="1300" max="1536" width="9" style="2"/>
    <col min="1537" max="1537" width="16.75" style="2" bestFit="1" customWidth="1"/>
    <col min="1538" max="1540" width="9.625" style="2" customWidth="1"/>
    <col min="1541" max="1541" width="9" style="2"/>
    <col min="1542" max="1542" width="15.75" style="2" bestFit="1" customWidth="1"/>
    <col min="1543" max="1543" width="9" style="2"/>
    <col min="1544" max="1552" width="4.125" style="2" bestFit="1" customWidth="1"/>
    <col min="1553" max="1554" width="5" style="2" bestFit="1" customWidth="1"/>
    <col min="1555" max="1555" width="17.625" style="2" customWidth="1"/>
    <col min="1556" max="1792" width="9" style="2"/>
    <col min="1793" max="1793" width="16.75" style="2" bestFit="1" customWidth="1"/>
    <col min="1794" max="1796" width="9.625" style="2" customWidth="1"/>
    <col min="1797" max="1797" width="9" style="2"/>
    <col min="1798" max="1798" width="15.75" style="2" bestFit="1" customWidth="1"/>
    <col min="1799" max="1799" width="9" style="2"/>
    <col min="1800" max="1808" width="4.125" style="2" bestFit="1" customWidth="1"/>
    <col min="1809" max="1810" width="5" style="2" bestFit="1" customWidth="1"/>
    <col min="1811" max="1811" width="17.625" style="2" customWidth="1"/>
    <col min="1812" max="2048" width="9" style="2"/>
    <col min="2049" max="2049" width="16.75" style="2" bestFit="1" customWidth="1"/>
    <col min="2050" max="2052" width="9.625" style="2" customWidth="1"/>
    <col min="2053" max="2053" width="9" style="2"/>
    <col min="2054" max="2054" width="15.75" style="2" bestFit="1" customWidth="1"/>
    <col min="2055" max="2055" width="9" style="2"/>
    <col min="2056" max="2064" width="4.125" style="2" bestFit="1" customWidth="1"/>
    <col min="2065" max="2066" width="5" style="2" bestFit="1" customWidth="1"/>
    <col min="2067" max="2067" width="17.625" style="2" customWidth="1"/>
    <col min="2068" max="2304" width="9" style="2"/>
    <col min="2305" max="2305" width="16.75" style="2" bestFit="1" customWidth="1"/>
    <col min="2306" max="2308" width="9.625" style="2" customWidth="1"/>
    <col min="2309" max="2309" width="9" style="2"/>
    <col min="2310" max="2310" width="15.75" style="2" bestFit="1" customWidth="1"/>
    <col min="2311" max="2311" width="9" style="2"/>
    <col min="2312" max="2320" width="4.125" style="2" bestFit="1" customWidth="1"/>
    <col min="2321" max="2322" width="5" style="2" bestFit="1" customWidth="1"/>
    <col min="2323" max="2323" width="17.625" style="2" customWidth="1"/>
    <col min="2324" max="2560" width="9" style="2"/>
    <col min="2561" max="2561" width="16.75" style="2" bestFit="1" customWidth="1"/>
    <col min="2562" max="2564" width="9.625" style="2" customWidth="1"/>
    <col min="2565" max="2565" width="9" style="2"/>
    <col min="2566" max="2566" width="15.75" style="2" bestFit="1" customWidth="1"/>
    <col min="2567" max="2567" width="9" style="2"/>
    <col min="2568" max="2576" width="4.125" style="2" bestFit="1" customWidth="1"/>
    <col min="2577" max="2578" width="5" style="2" bestFit="1" customWidth="1"/>
    <col min="2579" max="2579" width="17.625" style="2" customWidth="1"/>
    <col min="2580" max="2816" width="9" style="2"/>
    <col min="2817" max="2817" width="16.75" style="2" bestFit="1" customWidth="1"/>
    <col min="2818" max="2820" width="9.625" style="2" customWidth="1"/>
    <col min="2821" max="2821" width="9" style="2"/>
    <col min="2822" max="2822" width="15.75" style="2" bestFit="1" customWidth="1"/>
    <col min="2823" max="2823" width="9" style="2"/>
    <col min="2824" max="2832" width="4.125" style="2" bestFit="1" customWidth="1"/>
    <col min="2833" max="2834" width="5" style="2" bestFit="1" customWidth="1"/>
    <col min="2835" max="2835" width="17.625" style="2" customWidth="1"/>
    <col min="2836" max="3072" width="9" style="2"/>
    <col min="3073" max="3073" width="16.75" style="2" bestFit="1" customWidth="1"/>
    <col min="3074" max="3076" width="9.625" style="2" customWidth="1"/>
    <col min="3077" max="3077" width="9" style="2"/>
    <col min="3078" max="3078" width="15.75" style="2" bestFit="1" customWidth="1"/>
    <col min="3079" max="3079" width="9" style="2"/>
    <col min="3080" max="3088" width="4.125" style="2" bestFit="1" customWidth="1"/>
    <col min="3089" max="3090" width="5" style="2" bestFit="1" customWidth="1"/>
    <col min="3091" max="3091" width="17.625" style="2" customWidth="1"/>
    <col min="3092" max="3328" width="9" style="2"/>
    <col min="3329" max="3329" width="16.75" style="2" bestFit="1" customWidth="1"/>
    <col min="3330" max="3332" width="9.625" style="2" customWidth="1"/>
    <col min="3333" max="3333" width="9" style="2"/>
    <col min="3334" max="3334" width="15.75" style="2" bestFit="1" customWidth="1"/>
    <col min="3335" max="3335" width="9" style="2"/>
    <col min="3336" max="3344" width="4.125" style="2" bestFit="1" customWidth="1"/>
    <col min="3345" max="3346" width="5" style="2" bestFit="1" customWidth="1"/>
    <col min="3347" max="3347" width="17.625" style="2" customWidth="1"/>
    <col min="3348" max="3584" width="9" style="2"/>
    <col min="3585" max="3585" width="16.75" style="2" bestFit="1" customWidth="1"/>
    <col min="3586" max="3588" width="9.625" style="2" customWidth="1"/>
    <col min="3589" max="3589" width="9" style="2"/>
    <col min="3590" max="3590" width="15.75" style="2" bestFit="1" customWidth="1"/>
    <col min="3591" max="3591" width="9" style="2"/>
    <col min="3592" max="3600" width="4.125" style="2" bestFit="1" customWidth="1"/>
    <col min="3601" max="3602" width="5" style="2" bestFit="1" customWidth="1"/>
    <col min="3603" max="3603" width="17.625" style="2" customWidth="1"/>
    <col min="3604" max="3840" width="9" style="2"/>
    <col min="3841" max="3841" width="16.75" style="2" bestFit="1" customWidth="1"/>
    <col min="3842" max="3844" width="9.625" style="2" customWidth="1"/>
    <col min="3845" max="3845" width="9" style="2"/>
    <col min="3846" max="3846" width="15.75" style="2" bestFit="1" customWidth="1"/>
    <col min="3847" max="3847" width="9" style="2"/>
    <col min="3848" max="3856" width="4.125" style="2" bestFit="1" customWidth="1"/>
    <col min="3857" max="3858" width="5" style="2" bestFit="1" customWidth="1"/>
    <col min="3859" max="3859" width="17.625" style="2" customWidth="1"/>
    <col min="3860" max="4096" width="9" style="2"/>
    <col min="4097" max="4097" width="16.75" style="2" bestFit="1" customWidth="1"/>
    <col min="4098" max="4100" width="9.625" style="2" customWidth="1"/>
    <col min="4101" max="4101" width="9" style="2"/>
    <col min="4102" max="4102" width="15.75" style="2" bestFit="1" customWidth="1"/>
    <col min="4103" max="4103" width="9" style="2"/>
    <col min="4104" max="4112" width="4.125" style="2" bestFit="1" customWidth="1"/>
    <col min="4113" max="4114" width="5" style="2" bestFit="1" customWidth="1"/>
    <col min="4115" max="4115" width="17.625" style="2" customWidth="1"/>
    <col min="4116" max="4352" width="9" style="2"/>
    <col min="4353" max="4353" width="16.75" style="2" bestFit="1" customWidth="1"/>
    <col min="4354" max="4356" width="9.625" style="2" customWidth="1"/>
    <col min="4357" max="4357" width="9" style="2"/>
    <col min="4358" max="4358" width="15.75" style="2" bestFit="1" customWidth="1"/>
    <col min="4359" max="4359" width="9" style="2"/>
    <col min="4360" max="4368" width="4.125" style="2" bestFit="1" customWidth="1"/>
    <col min="4369" max="4370" width="5" style="2" bestFit="1" customWidth="1"/>
    <col min="4371" max="4371" width="17.625" style="2" customWidth="1"/>
    <col min="4372" max="4608" width="9" style="2"/>
    <col min="4609" max="4609" width="16.75" style="2" bestFit="1" customWidth="1"/>
    <col min="4610" max="4612" width="9.625" style="2" customWidth="1"/>
    <col min="4613" max="4613" width="9" style="2"/>
    <col min="4614" max="4614" width="15.75" style="2" bestFit="1" customWidth="1"/>
    <col min="4615" max="4615" width="9" style="2"/>
    <col min="4616" max="4624" width="4.125" style="2" bestFit="1" customWidth="1"/>
    <col min="4625" max="4626" width="5" style="2" bestFit="1" customWidth="1"/>
    <col min="4627" max="4627" width="17.625" style="2" customWidth="1"/>
    <col min="4628" max="4864" width="9" style="2"/>
    <col min="4865" max="4865" width="16.75" style="2" bestFit="1" customWidth="1"/>
    <col min="4866" max="4868" width="9.625" style="2" customWidth="1"/>
    <col min="4869" max="4869" width="9" style="2"/>
    <col min="4870" max="4870" width="15.75" style="2" bestFit="1" customWidth="1"/>
    <col min="4871" max="4871" width="9" style="2"/>
    <col min="4872" max="4880" width="4.125" style="2" bestFit="1" customWidth="1"/>
    <col min="4881" max="4882" width="5" style="2" bestFit="1" customWidth="1"/>
    <col min="4883" max="4883" width="17.625" style="2" customWidth="1"/>
    <col min="4884" max="5120" width="9" style="2"/>
    <col min="5121" max="5121" width="16.75" style="2" bestFit="1" customWidth="1"/>
    <col min="5122" max="5124" width="9.625" style="2" customWidth="1"/>
    <col min="5125" max="5125" width="9" style="2"/>
    <col min="5126" max="5126" width="15.75" style="2" bestFit="1" customWidth="1"/>
    <col min="5127" max="5127" width="9" style="2"/>
    <col min="5128" max="5136" width="4.125" style="2" bestFit="1" customWidth="1"/>
    <col min="5137" max="5138" width="5" style="2" bestFit="1" customWidth="1"/>
    <col min="5139" max="5139" width="17.625" style="2" customWidth="1"/>
    <col min="5140" max="5376" width="9" style="2"/>
    <col min="5377" max="5377" width="16.75" style="2" bestFit="1" customWidth="1"/>
    <col min="5378" max="5380" width="9.625" style="2" customWidth="1"/>
    <col min="5381" max="5381" width="9" style="2"/>
    <col min="5382" max="5382" width="15.75" style="2" bestFit="1" customWidth="1"/>
    <col min="5383" max="5383" width="9" style="2"/>
    <col min="5384" max="5392" width="4.125" style="2" bestFit="1" customWidth="1"/>
    <col min="5393" max="5394" width="5" style="2" bestFit="1" customWidth="1"/>
    <col min="5395" max="5395" width="17.625" style="2" customWidth="1"/>
    <col min="5396" max="5632" width="9" style="2"/>
    <col min="5633" max="5633" width="16.75" style="2" bestFit="1" customWidth="1"/>
    <col min="5634" max="5636" width="9.625" style="2" customWidth="1"/>
    <col min="5637" max="5637" width="9" style="2"/>
    <col min="5638" max="5638" width="15.75" style="2" bestFit="1" customWidth="1"/>
    <col min="5639" max="5639" width="9" style="2"/>
    <col min="5640" max="5648" width="4.125" style="2" bestFit="1" customWidth="1"/>
    <col min="5649" max="5650" width="5" style="2" bestFit="1" customWidth="1"/>
    <col min="5651" max="5651" width="17.625" style="2" customWidth="1"/>
    <col min="5652" max="5888" width="9" style="2"/>
    <col min="5889" max="5889" width="16.75" style="2" bestFit="1" customWidth="1"/>
    <col min="5890" max="5892" width="9.625" style="2" customWidth="1"/>
    <col min="5893" max="5893" width="9" style="2"/>
    <col min="5894" max="5894" width="15.75" style="2" bestFit="1" customWidth="1"/>
    <col min="5895" max="5895" width="9" style="2"/>
    <col min="5896" max="5904" width="4.125" style="2" bestFit="1" customWidth="1"/>
    <col min="5905" max="5906" width="5" style="2" bestFit="1" customWidth="1"/>
    <col min="5907" max="5907" width="17.625" style="2" customWidth="1"/>
    <col min="5908" max="6144" width="9" style="2"/>
    <col min="6145" max="6145" width="16.75" style="2" bestFit="1" customWidth="1"/>
    <col min="6146" max="6148" width="9.625" style="2" customWidth="1"/>
    <col min="6149" max="6149" width="9" style="2"/>
    <col min="6150" max="6150" width="15.75" style="2" bestFit="1" customWidth="1"/>
    <col min="6151" max="6151" width="9" style="2"/>
    <col min="6152" max="6160" width="4.125" style="2" bestFit="1" customWidth="1"/>
    <col min="6161" max="6162" width="5" style="2" bestFit="1" customWidth="1"/>
    <col min="6163" max="6163" width="17.625" style="2" customWidth="1"/>
    <col min="6164" max="6400" width="9" style="2"/>
    <col min="6401" max="6401" width="16.75" style="2" bestFit="1" customWidth="1"/>
    <col min="6402" max="6404" width="9.625" style="2" customWidth="1"/>
    <col min="6405" max="6405" width="9" style="2"/>
    <col min="6406" max="6406" width="15.75" style="2" bestFit="1" customWidth="1"/>
    <col min="6407" max="6407" width="9" style="2"/>
    <col min="6408" max="6416" width="4.125" style="2" bestFit="1" customWidth="1"/>
    <col min="6417" max="6418" width="5" style="2" bestFit="1" customWidth="1"/>
    <col min="6419" max="6419" width="17.625" style="2" customWidth="1"/>
    <col min="6420" max="6656" width="9" style="2"/>
    <col min="6657" max="6657" width="16.75" style="2" bestFit="1" customWidth="1"/>
    <col min="6658" max="6660" width="9.625" style="2" customWidth="1"/>
    <col min="6661" max="6661" width="9" style="2"/>
    <col min="6662" max="6662" width="15.75" style="2" bestFit="1" customWidth="1"/>
    <col min="6663" max="6663" width="9" style="2"/>
    <col min="6664" max="6672" width="4.125" style="2" bestFit="1" customWidth="1"/>
    <col min="6673" max="6674" width="5" style="2" bestFit="1" customWidth="1"/>
    <col min="6675" max="6675" width="17.625" style="2" customWidth="1"/>
    <col min="6676" max="6912" width="9" style="2"/>
    <col min="6913" max="6913" width="16.75" style="2" bestFit="1" customWidth="1"/>
    <col min="6914" max="6916" width="9.625" style="2" customWidth="1"/>
    <col min="6917" max="6917" width="9" style="2"/>
    <col min="6918" max="6918" width="15.75" style="2" bestFit="1" customWidth="1"/>
    <col min="6919" max="6919" width="9" style="2"/>
    <col min="6920" max="6928" width="4.125" style="2" bestFit="1" customWidth="1"/>
    <col min="6929" max="6930" width="5" style="2" bestFit="1" customWidth="1"/>
    <col min="6931" max="6931" width="17.625" style="2" customWidth="1"/>
    <col min="6932" max="7168" width="9" style="2"/>
    <col min="7169" max="7169" width="16.75" style="2" bestFit="1" customWidth="1"/>
    <col min="7170" max="7172" width="9.625" style="2" customWidth="1"/>
    <col min="7173" max="7173" width="9" style="2"/>
    <col min="7174" max="7174" width="15.75" style="2" bestFit="1" customWidth="1"/>
    <col min="7175" max="7175" width="9" style="2"/>
    <col min="7176" max="7184" width="4.125" style="2" bestFit="1" customWidth="1"/>
    <col min="7185" max="7186" width="5" style="2" bestFit="1" customWidth="1"/>
    <col min="7187" max="7187" width="17.625" style="2" customWidth="1"/>
    <col min="7188" max="7424" width="9" style="2"/>
    <col min="7425" max="7425" width="16.75" style="2" bestFit="1" customWidth="1"/>
    <col min="7426" max="7428" width="9.625" style="2" customWidth="1"/>
    <col min="7429" max="7429" width="9" style="2"/>
    <col min="7430" max="7430" width="15.75" style="2" bestFit="1" customWidth="1"/>
    <col min="7431" max="7431" width="9" style="2"/>
    <col min="7432" max="7440" width="4.125" style="2" bestFit="1" customWidth="1"/>
    <col min="7441" max="7442" width="5" style="2" bestFit="1" customWidth="1"/>
    <col min="7443" max="7443" width="17.625" style="2" customWidth="1"/>
    <col min="7444" max="7680" width="9" style="2"/>
    <col min="7681" max="7681" width="16.75" style="2" bestFit="1" customWidth="1"/>
    <col min="7682" max="7684" width="9.625" style="2" customWidth="1"/>
    <col min="7685" max="7685" width="9" style="2"/>
    <col min="7686" max="7686" width="15.75" style="2" bestFit="1" customWidth="1"/>
    <col min="7687" max="7687" width="9" style="2"/>
    <col min="7688" max="7696" width="4.125" style="2" bestFit="1" customWidth="1"/>
    <col min="7697" max="7698" width="5" style="2" bestFit="1" customWidth="1"/>
    <col min="7699" max="7699" width="17.625" style="2" customWidth="1"/>
    <col min="7700" max="7936" width="9" style="2"/>
    <col min="7937" max="7937" width="16.75" style="2" bestFit="1" customWidth="1"/>
    <col min="7938" max="7940" width="9.625" style="2" customWidth="1"/>
    <col min="7941" max="7941" width="9" style="2"/>
    <col min="7942" max="7942" width="15.75" style="2" bestFit="1" customWidth="1"/>
    <col min="7943" max="7943" width="9" style="2"/>
    <col min="7944" max="7952" width="4.125" style="2" bestFit="1" customWidth="1"/>
    <col min="7953" max="7954" width="5" style="2" bestFit="1" customWidth="1"/>
    <col min="7955" max="7955" width="17.625" style="2" customWidth="1"/>
    <col min="7956" max="8192" width="9" style="2"/>
    <col min="8193" max="8193" width="16.75" style="2" bestFit="1" customWidth="1"/>
    <col min="8194" max="8196" width="9.625" style="2" customWidth="1"/>
    <col min="8197" max="8197" width="9" style="2"/>
    <col min="8198" max="8198" width="15.75" style="2" bestFit="1" customWidth="1"/>
    <col min="8199" max="8199" width="9" style="2"/>
    <col min="8200" max="8208" width="4.125" style="2" bestFit="1" customWidth="1"/>
    <col min="8209" max="8210" width="5" style="2" bestFit="1" customWidth="1"/>
    <col min="8211" max="8211" width="17.625" style="2" customWidth="1"/>
    <col min="8212" max="8448" width="9" style="2"/>
    <col min="8449" max="8449" width="16.75" style="2" bestFit="1" customWidth="1"/>
    <col min="8450" max="8452" width="9.625" style="2" customWidth="1"/>
    <col min="8453" max="8453" width="9" style="2"/>
    <col min="8454" max="8454" width="15.75" style="2" bestFit="1" customWidth="1"/>
    <col min="8455" max="8455" width="9" style="2"/>
    <col min="8456" max="8464" width="4.125" style="2" bestFit="1" customWidth="1"/>
    <col min="8465" max="8466" width="5" style="2" bestFit="1" customWidth="1"/>
    <col min="8467" max="8467" width="17.625" style="2" customWidth="1"/>
    <col min="8468" max="8704" width="9" style="2"/>
    <col min="8705" max="8705" width="16.75" style="2" bestFit="1" customWidth="1"/>
    <col min="8706" max="8708" width="9.625" style="2" customWidth="1"/>
    <col min="8709" max="8709" width="9" style="2"/>
    <col min="8710" max="8710" width="15.75" style="2" bestFit="1" customWidth="1"/>
    <col min="8711" max="8711" width="9" style="2"/>
    <col min="8712" max="8720" width="4.125" style="2" bestFit="1" customWidth="1"/>
    <col min="8721" max="8722" width="5" style="2" bestFit="1" customWidth="1"/>
    <col min="8723" max="8723" width="17.625" style="2" customWidth="1"/>
    <col min="8724" max="8960" width="9" style="2"/>
    <col min="8961" max="8961" width="16.75" style="2" bestFit="1" customWidth="1"/>
    <col min="8962" max="8964" width="9.625" style="2" customWidth="1"/>
    <col min="8965" max="8965" width="9" style="2"/>
    <col min="8966" max="8966" width="15.75" style="2" bestFit="1" customWidth="1"/>
    <col min="8967" max="8967" width="9" style="2"/>
    <col min="8968" max="8976" width="4.125" style="2" bestFit="1" customWidth="1"/>
    <col min="8977" max="8978" width="5" style="2" bestFit="1" customWidth="1"/>
    <col min="8979" max="8979" width="17.625" style="2" customWidth="1"/>
    <col min="8980" max="9216" width="9" style="2"/>
    <col min="9217" max="9217" width="16.75" style="2" bestFit="1" customWidth="1"/>
    <col min="9218" max="9220" width="9.625" style="2" customWidth="1"/>
    <col min="9221" max="9221" width="9" style="2"/>
    <col min="9222" max="9222" width="15.75" style="2" bestFit="1" customWidth="1"/>
    <col min="9223" max="9223" width="9" style="2"/>
    <col min="9224" max="9232" width="4.125" style="2" bestFit="1" customWidth="1"/>
    <col min="9233" max="9234" width="5" style="2" bestFit="1" customWidth="1"/>
    <col min="9235" max="9235" width="17.625" style="2" customWidth="1"/>
    <col min="9236" max="9472" width="9" style="2"/>
    <col min="9473" max="9473" width="16.75" style="2" bestFit="1" customWidth="1"/>
    <col min="9474" max="9476" width="9.625" style="2" customWidth="1"/>
    <col min="9477" max="9477" width="9" style="2"/>
    <col min="9478" max="9478" width="15.75" style="2" bestFit="1" customWidth="1"/>
    <col min="9479" max="9479" width="9" style="2"/>
    <col min="9480" max="9488" width="4.125" style="2" bestFit="1" customWidth="1"/>
    <col min="9489" max="9490" width="5" style="2" bestFit="1" customWidth="1"/>
    <col min="9491" max="9491" width="17.625" style="2" customWidth="1"/>
    <col min="9492" max="9728" width="9" style="2"/>
    <col min="9729" max="9729" width="16.75" style="2" bestFit="1" customWidth="1"/>
    <col min="9730" max="9732" width="9.625" style="2" customWidth="1"/>
    <col min="9733" max="9733" width="9" style="2"/>
    <col min="9734" max="9734" width="15.75" style="2" bestFit="1" customWidth="1"/>
    <col min="9735" max="9735" width="9" style="2"/>
    <col min="9736" max="9744" width="4.125" style="2" bestFit="1" customWidth="1"/>
    <col min="9745" max="9746" width="5" style="2" bestFit="1" customWidth="1"/>
    <col min="9747" max="9747" width="17.625" style="2" customWidth="1"/>
    <col min="9748" max="9984" width="9" style="2"/>
    <col min="9985" max="9985" width="16.75" style="2" bestFit="1" customWidth="1"/>
    <col min="9986" max="9988" width="9.625" style="2" customWidth="1"/>
    <col min="9989" max="9989" width="9" style="2"/>
    <col min="9990" max="9990" width="15.75" style="2" bestFit="1" customWidth="1"/>
    <col min="9991" max="9991" width="9" style="2"/>
    <col min="9992" max="10000" width="4.125" style="2" bestFit="1" customWidth="1"/>
    <col min="10001" max="10002" width="5" style="2" bestFit="1" customWidth="1"/>
    <col min="10003" max="10003" width="17.625" style="2" customWidth="1"/>
    <col min="10004" max="10240" width="9" style="2"/>
    <col min="10241" max="10241" width="16.75" style="2" bestFit="1" customWidth="1"/>
    <col min="10242" max="10244" width="9.625" style="2" customWidth="1"/>
    <col min="10245" max="10245" width="9" style="2"/>
    <col min="10246" max="10246" width="15.75" style="2" bestFit="1" customWidth="1"/>
    <col min="10247" max="10247" width="9" style="2"/>
    <col min="10248" max="10256" width="4.125" style="2" bestFit="1" customWidth="1"/>
    <col min="10257" max="10258" width="5" style="2" bestFit="1" customWidth="1"/>
    <col min="10259" max="10259" width="17.625" style="2" customWidth="1"/>
    <col min="10260" max="10496" width="9" style="2"/>
    <col min="10497" max="10497" width="16.75" style="2" bestFit="1" customWidth="1"/>
    <col min="10498" max="10500" width="9.625" style="2" customWidth="1"/>
    <col min="10501" max="10501" width="9" style="2"/>
    <col min="10502" max="10502" width="15.75" style="2" bestFit="1" customWidth="1"/>
    <col min="10503" max="10503" width="9" style="2"/>
    <col min="10504" max="10512" width="4.125" style="2" bestFit="1" customWidth="1"/>
    <col min="10513" max="10514" width="5" style="2" bestFit="1" customWidth="1"/>
    <col min="10515" max="10515" width="17.625" style="2" customWidth="1"/>
    <col min="10516" max="10752" width="9" style="2"/>
    <col min="10753" max="10753" width="16.75" style="2" bestFit="1" customWidth="1"/>
    <col min="10754" max="10756" width="9.625" style="2" customWidth="1"/>
    <col min="10757" max="10757" width="9" style="2"/>
    <col min="10758" max="10758" width="15.75" style="2" bestFit="1" customWidth="1"/>
    <col min="10759" max="10759" width="9" style="2"/>
    <col min="10760" max="10768" width="4.125" style="2" bestFit="1" customWidth="1"/>
    <col min="10769" max="10770" width="5" style="2" bestFit="1" customWidth="1"/>
    <col min="10771" max="10771" width="17.625" style="2" customWidth="1"/>
    <col min="10772" max="11008" width="9" style="2"/>
    <col min="11009" max="11009" width="16.75" style="2" bestFit="1" customWidth="1"/>
    <col min="11010" max="11012" width="9.625" style="2" customWidth="1"/>
    <col min="11013" max="11013" width="9" style="2"/>
    <col min="11014" max="11014" width="15.75" style="2" bestFit="1" customWidth="1"/>
    <col min="11015" max="11015" width="9" style="2"/>
    <col min="11016" max="11024" width="4.125" style="2" bestFit="1" customWidth="1"/>
    <col min="11025" max="11026" width="5" style="2" bestFit="1" customWidth="1"/>
    <col min="11027" max="11027" width="17.625" style="2" customWidth="1"/>
    <col min="11028" max="11264" width="9" style="2"/>
    <col min="11265" max="11265" width="16.75" style="2" bestFit="1" customWidth="1"/>
    <col min="11266" max="11268" width="9.625" style="2" customWidth="1"/>
    <col min="11269" max="11269" width="9" style="2"/>
    <col min="11270" max="11270" width="15.75" style="2" bestFit="1" customWidth="1"/>
    <col min="11271" max="11271" width="9" style="2"/>
    <col min="11272" max="11280" width="4.125" style="2" bestFit="1" customWidth="1"/>
    <col min="11281" max="11282" width="5" style="2" bestFit="1" customWidth="1"/>
    <col min="11283" max="11283" width="17.625" style="2" customWidth="1"/>
    <col min="11284" max="11520" width="9" style="2"/>
    <col min="11521" max="11521" width="16.75" style="2" bestFit="1" customWidth="1"/>
    <col min="11522" max="11524" width="9.625" style="2" customWidth="1"/>
    <col min="11525" max="11525" width="9" style="2"/>
    <col min="11526" max="11526" width="15.75" style="2" bestFit="1" customWidth="1"/>
    <col min="11527" max="11527" width="9" style="2"/>
    <col min="11528" max="11536" width="4.125" style="2" bestFit="1" customWidth="1"/>
    <col min="11537" max="11538" width="5" style="2" bestFit="1" customWidth="1"/>
    <col min="11539" max="11539" width="17.625" style="2" customWidth="1"/>
    <col min="11540" max="11776" width="9" style="2"/>
    <col min="11777" max="11777" width="16.75" style="2" bestFit="1" customWidth="1"/>
    <col min="11778" max="11780" width="9.625" style="2" customWidth="1"/>
    <col min="11781" max="11781" width="9" style="2"/>
    <col min="11782" max="11782" width="15.75" style="2" bestFit="1" customWidth="1"/>
    <col min="11783" max="11783" width="9" style="2"/>
    <col min="11784" max="11792" width="4.125" style="2" bestFit="1" customWidth="1"/>
    <col min="11793" max="11794" width="5" style="2" bestFit="1" customWidth="1"/>
    <col min="11795" max="11795" width="17.625" style="2" customWidth="1"/>
    <col min="11796" max="12032" width="9" style="2"/>
    <col min="12033" max="12033" width="16.75" style="2" bestFit="1" customWidth="1"/>
    <col min="12034" max="12036" width="9.625" style="2" customWidth="1"/>
    <col min="12037" max="12037" width="9" style="2"/>
    <col min="12038" max="12038" width="15.75" style="2" bestFit="1" customWidth="1"/>
    <col min="12039" max="12039" width="9" style="2"/>
    <col min="12040" max="12048" width="4.125" style="2" bestFit="1" customWidth="1"/>
    <col min="12049" max="12050" width="5" style="2" bestFit="1" customWidth="1"/>
    <col min="12051" max="12051" width="17.625" style="2" customWidth="1"/>
    <col min="12052" max="12288" width="9" style="2"/>
    <col min="12289" max="12289" width="16.75" style="2" bestFit="1" customWidth="1"/>
    <col min="12290" max="12292" width="9.625" style="2" customWidth="1"/>
    <col min="12293" max="12293" width="9" style="2"/>
    <col min="12294" max="12294" width="15.75" style="2" bestFit="1" customWidth="1"/>
    <col min="12295" max="12295" width="9" style="2"/>
    <col min="12296" max="12304" width="4.125" style="2" bestFit="1" customWidth="1"/>
    <col min="12305" max="12306" width="5" style="2" bestFit="1" customWidth="1"/>
    <col min="12307" max="12307" width="17.625" style="2" customWidth="1"/>
    <col min="12308" max="12544" width="9" style="2"/>
    <col min="12545" max="12545" width="16.75" style="2" bestFit="1" customWidth="1"/>
    <col min="12546" max="12548" width="9.625" style="2" customWidth="1"/>
    <col min="12549" max="12549" width="9" style="2"/>
    <col min="12550" max="12550" width="15.75" style="2" bestFit="1" customWidth="1"/>
    <col min="12551" max="12551" width="9" style="2"/>
    <col min="12552" max="12560" width="4.125" style="2" bestFit="1" customWidth="1"/>
    <col min="12561" max="12562" width="5" style="2" bestFit="1" customWidth="1"/>
    <col min="12563" max="12563" width="17.625" style="2" customWidth="1"/>
    <col min="12564" max="12800" width="9" style="2"/>
    <col min="12801" max="12801" width="16.75" style="2" bestFit="1" customWidth="1"/>
    <col min="12802" max="12804" width="9.625" style="2" customWidth="1"/>
    <col min="12805" max="12805" width="9" style="2"/>
    <col min="12806" max="12806" width="15.75" style="2" bestFit="1" customWidth="1"/>
    <col min="12807" max="12807" width="9" style="2"/>
    <col min="12808" max="12816" width="4.125" style="2" bestFit="1" customWidth="1"/>
    <col min="12817" max="12818" width="5" style="2" bestFit="1" customWidth="1"/>
    <col min="12819" max="12819" width="17.625" style="2" customWidth="1"/>
    <col min="12820" max="13056" width="9" style="2"/>
    <col min="13057" max="13057" width="16.75" style="2" bestFit="1" customWidth="1"/>
    <col min="13058" max="13060" width="9.625" style="2" customWidth="1"/>
    <col min="13061" max="13061" width="9" style="2"/>
    <col min="13062" max="13062" width="15.75" style="2" bestFit="1" customWidth="1"/>
    <col min="13063" max="13063" width="9" style="2"/>
    <col min="13064" max="13072" width="4.125" style="2" bestFit="1" customWidth="1"/>
    <col min="13073" max="13074" width="5" style="2" bestFit="1" customWidth="1"/>
    <col min="13075" max="13075" width="17.625" style="2" customWidth="1"/>
    <col min="13076" max="13312" width="9" style="2"/>
    <col min="13313" max="13313" width="16.75" style="2" bestFit="1" customWidth="1"/>
    <col min="13314" max="13316" width="9.625" style="2" customWidth="1"/>
    <col min="13317" max="13317" width="9" style="2"/>
    <col min="13318" max="13318" width="15.75" style="2" bestFit="1" customWidth="1"/>
    <col min="13319" max="13319" width="9" style="2"/>
    <col min="13320" max="13328" width="4.125" style="2" bestFit="1" customWidth="1"/>
    <col min="13329" max="13330" width="5" style="2" bestFit="1" customWidth="1"/>
    <col min="13331" max="13331" width="17.625" style="2" customWidth="1"/>
    <col min="13332" max="13568" width="9" style="2"/>
    <col min="13569" max="13569" width="16.75" style="2" bestFit="1" customWidth="1"/>
    <col min="13570" max="13572" width="9.625" style="2" customWidth="1"/>
    <col min="13573" max="13573" width="9" style="2"/>
    <col min="13574" max="13574" width="15.75" style="2" bestFit="1" customWidth="1"/>
    <col min="13575" max="13575" width="9" style="2"/>
    <col min="13576" max="13584" width="4.125" style="2" bestFit="1" customWidth="1"/>
    <col min="13585" max="13586" width="5" style="2" bestFit="1" customWidth="1"/>
    <col min="13587" max="13587" width="17.625" style="2" customWidth="1"/>
    <col min="13588" max="13824" width="9" style="2"/>
    <col min="13825" max="13825" width="16.75" style="2" bestFit="1" customWidth="1"/>
    <col min="13826" max="13828" width="9.625" style="2" customWidth="1"/>
    <col min="13829" max="13829" width="9" style="2"/>
    <col min="13830" max="13830" width="15.75" style="2" bestFit="1" customWidth="1"/>
    <col min="13831" max="13831" width="9" style="2"/>
    <col min="13832" max="13840" width="4.125" style="2" bestFit="1" customWidth="1"/>
    <col min="13841" max="13842" width="5" style="2" bestFit="1" customWidth="1"/>
    <col min="13843" max="13843" width="17.625" style="2" customWidth="1"/>
    <col min="13844" max="14080" width="9" style="2"/>
    <col min="14081" max="14081" width="16.75" style="2" bestFit="1" customWidth="1"/>
    <col min="14082" max="14084" width="9.625" style="2" customWidth="1"/>
    <col min="14085" max="14085" width="9" style="2"/>
    <col min="14086" max="14086" width="15.75" style="2" bestFit="1" customWidth="1"/>
    <col min="14087" max="14087" width="9" style="2"/>
    <col min="14088" max="14096" width="4.125" style="2" bestFit="1" customWidth="1"/>
    <col min="14097" max="14098" width="5" style="2" bestFit="1" customWidth="1"/>
    <col min="14099" max="14099" width="17.625" style="2" customWidth="1"/>
    <col min="14100" max="14336" width="9" style="2"/>
    <col min="14337" max="14337" width="16.75" style="2" bestFit="1" customWidth="1"/>
    <col min="14338" max="14340" width="9.625" style="2" customWidth="1"/>
    <col min="14341" max="14341" width="9" style="2"/>
    <col min="14342" max="14342" width="15.75" style="2" bestFit="1" customWidth="1"/>
    <col min="14343" max="14343" width="9" style="2"/>
    <col min="14344" max="14352" width="4.125" style="2" bestFit="1" customWidth="1"/>
    <col min="14353" max="14354" width="5" style="2" bestFit="1" customWidth="1"/>
    <col min="14355" max="14355" width="17.625" style="2" customWidth="1"/>
    <col min="14356" max="14592" width="9" style="2"/>
    <col min="14593" max="14593" width="16.75" style="2" bestFit="1" customWidth="1"/>
    <col min="14594" max="14596" width="9.625" style="2" customWidth="1"/>
    <col min="14597" max="14597" width="9" style="2"/>
    <col min="14598" max="14598" width="15.75" style="2" bestFit="1" customWidth="1"/>
    <col min="14599" max="14599" width="9" style="2"/>
    <col min="14600" max="14608" width="4.125" style="2" bestFit="1" customWidth="1"/>
    <col min="14609" max="14610" width="5" style="2" bestFit="1" customWidth="1"/>
    <col min="14611" max="14611" width="17.625" style="2" customWidth="1"/>
    <col min="14612" max="14848" width="9" style="2"/>
    <col min="14849" max="14849" width="16.75" style="2" bestFit="1" customWidth="1"/>
    <col min="14850" max="14852" width="9.625" style="2" customWidth="1"/>
    <col min="14853" max="14853" width="9" style="2"/>
    <col min="14854" max="14854" width="15.75" style="2" bestFit="1" customWidth="1"/>
    <col min="14855" max="14855" width="9" style="2"/>
    <col min="14856" max="14864" width="4.125" style="2" bestFit="1" customWidth="1"/>
    <col min="14865" max="14866" width="5" style="2" bestFit="1" customWidth="1"/>
    <col min="14867" max="14867" width="17.625" style="2" customWidth="1"/>
    <col min="14868" max="15104" width="9" style="2"/>
    <col min="15105" max="15105" width="16.75" style="2" bestFit="1" customWidth="1"/>
    <col min="15106" max="15108" width="9.625" style="2" customWidth="1"/>
    <col min="15109" max="15109" width="9" style="2"/>
    <col min="15110" max="15110" width="15.75" style="2" bestFit="1" customWidth="1"/>
    <col min="15111" max="15111" width="9" style="2"/>
    <col min="15112" max="15120" width="4.125" style="2" bestFit="1" customWidth="1"/>
    <col min="15121" max="15122" width="5" style="2" bestFit="1" customWidth="1"/>
    <col min="15123" max="15123" width="17.625" style="2" customWidth="1"/>
    <col min="15124" max="15360" width="9" style="2"/>
    <col min="15361" max="15361" width="16.75" style="2" bestFit="1" customWidth="1"/>
    <col min="15362" max="15364" width="9.625" style="2" customWidth="1"/>
    <col min="15365" max="15365" width="9" style="2"/>
    <col min="15366" max="15366" width="15.75" style="2" bestFit="1" customWidth="1"/>
    <col min="15367" max="15367" width="9" style="2"/>
    <col min="15368" max="15376" width="4.125" style="2" bestFit="1" customWidth="1"/>
    <col min="15377" max="15378" width="5" style="2" bestFit="1" customWidth="1"/>
    <col min="15379" max="15379" width="17.625" style="2" customWidth="1"/>
    <col min="15380" max="15616" width="9" style="2"/>
    <col min="15617" max="15617" width="16.75" style="2" bestFit="1" customWidth="1"/>
    <col min="15618" max="15620" width="9.625" style="2" customWidth="1"/>
    <col min="15621" max="15621" width="9" style="2"/>
    <col min="15622" max="15622" width="15.75" style="2" bestFit="1" customWidth="1"/>
    <col min="15623" max="15623" width="9" style="2"/>
    <col min="15624" max="15632" width="4.125" style="2" bestFit="1" customWidth="1"/>
    <col min="15633" max="15634" width="5" style="2" bestFit="1" customWidth="1"/>
    <col min="15635" max="15635" width="17.625" style="2" customWidth="1"/>
    <col min="15636" max="15872" width="9" style="2"/>
    <col min="15873" max="15873" width="16.75" style="2" bestFit="1" customWidth="1"/>
    <col min="15874" max="15876" width="9.625" style="2" customWidth="1"/>
    <col min="15877" max="15877" width="9" style="2"/>
    <col min="15878" max="15878" width="15.75" style="2" bestFit="1" customWidth="1"/>
    <col min="15879" max="15879" width="9" style="2"/>
    <col min="15880" max="15888" width="4.125" style="2" bestFit="1" customWidth="1"/>
    <col min="15889" max="15890" width="5" style="2" bestFit="1" customWidth="1"/>
    <col min="15891" max="15891" width="17.625" style="2" customWidth="1"/>
    <col min="15892" max="16128" width="9" style="2"/>
    <col min="16129" max="16129" width="16.75" style="2" bestFit="1" customWidth="1"/>
    <col min="16130" max="16132" width="9.625" style="2" customWidth="1"/>
    <col min="16133" max="16133" width="9" style="2"/>
    <col min="16134" max="16134" width="15.75" style="2" bestFit="1" customWidth="1"/>
    <col min="16135" max="16135" width="9" style="2"/>
    <col min="16136" max="16144" width="4.125" style="2" bestFit="1" customWidth="1"/>
    <col min="16145" max="16146" width="5" style="2" bestFit="1" customWidth="1"/>
    <col min="16147" max="16147" width="17.625" style="2" customWidth="1"/>
    <col min="16148" max="16384" width="9" style="2"/>
  </cols>
  <sheetData>
    <row r="1" spans="1:19" s="17" customFormat="1" x14ac:dyDescent="0.3">
      <c r="A1" s="17" t="s">
        <v>54</v>
      </c>
    </row>
    <row r="2" spans="1:19" s="17" customFormat="1" x14ac:dyDescent="0.3">
      <c r="A2" s="17" t="s">
        <v>55</v>
      </c>
    </row>
    <row r="4" spans="1:19" ht="20.100000000000001" customHeight="1" x14ac:dyDescent="0.3">
      <c r="A4" s="18" t="s">
        <v>9</v>
      </c>
      <c r="B4" s="19" t="s">
        <v>10</v>
      </c>
      <c r="C4" s="20" t="s">
        <v>11</v>
      </c>
      <c r="D4" s="20" t="s">
        <v>12</v>
      </c>
      <c r="E4" s="20" t="s">
        <v>13</v>
      </c>
      <c r="F4" s="20" t="s">
        <v>14</v>
      </c>
      <c r="G4" s="20" t="s">
        <v>15</v>
      </c>
      <c r="H4" s="20" t="s">
        <v>16</v>
      </c>
      <c r="I4" s="20" t="s">
        <v>17</v>
      </c>
      <c r="J4" s="20" t="s">
        <v>18</v>
      </c>
      <c r="K4" s="20" t="s">
        <v>19</v>
      </c>
      <c r="L4" s="20" t="s">
        <v>20</v>
      </c>
      <c r="M4" s="20" t="s">
        <v>21</v>
      </c>
      <c r="N4" s="20" t="s">
        <v>22</v>
      </c>
      <c r="O4" s="20" t="s">
        <v>23</v>
      </c>
      <c r="P4" s="20" t="s">
        <v>24</v>
      </c>
      <c r="Q4" s="20" t="s">
        <v>25</v>
      </c>
      <c r="R4" s="20" t="s">
        <v>26</v>
      </c>
      <c r="S4" s="21" t="s">
        <v>27</v>
      </c>
    </row>
    <row r="5" spans="1:19" x14ac:dyDescent="0.3">
      <c r="A5" s="26" t="s">
        <v>70</v>
      </c>
      <c r="B5" s="27">
        <v>41805</v>
      </c>
      <c r="C5" s="28" t="s">
        <v>64</v>
      </c>
      <c r="D5" s="28" t="s">
        <v>71</v>
      </c>
      <c r="E5" s="28" t="s">
        <v>62</v>
      </c>
      <c r="F5" s="28" t="s">
        <v>75</v>
      </c>
      <c r="G5" s="28" t="s">
        <v>77</v>
      </c>
      <c r="H5" s="28">
        <v>4</v>
      </c>
      <c r="I5" s="28">
        <v>3</v>
      </c>
      <c r="J5" s="28">
        <v>3</v>
      </c>
      <c r="K5" s="28">
        <v>5</v>
      </c>
      <c r="L5" s="28">
        <v>1</v>
      </c>
      <c r="M5" s="28">
        <v>2</v>
      </c>
      <c r="N5" s="28">
        <v>5</v>
      </c>
      <c r="O5" s="28">
        <v>4</v>
      </c>
      <c r="P5" s="28">
        <v>3</v>
      </c>
      <c r="Q5" s="28">
        <v>4</v>
      </c>
      <c r="R5" s="28">
        <v>4</v>
      </c>
      <c r="S5" s="29" t="s">
        <v>91</v>
      </c>
    </row>
    <row r="6" spans="1:19" x14ac:dyDescent="0.3">
      <c r="A6" s="26" t="s">
        <v>70</v>
      </c>
      <c r="B6" s="27">
        <v>41805</v>
      </c>
      <c r="C6" s="28" t="s">
        <v>64</v>
      </c>
      <c r="D6" s="28" t="s">
        <v>71</v>
      </c>
      <c r="E6" s="28" t="s">
        <v>62</v>
      </c>
      <c r="F6" s="28" t="s">
        <v>76</v>
      </c>
      <c r="G6" s="28" t="s">
        <v>78</v>
      </c>
      <c r="H6" s="28">
        <v>4</v>
      </c>
      <c r="I6" s="28">
        <v>5</v>
      </c>
      <c r="J6" s="28">
        <v>3</v>
      </c>
      <c r="K6" s="28">
        <v>2</v>
      </c>
      <c r="L6" s="28">
        <v>5</v>
      </c>
      <c r="M6" s="28">
        <v>2</v>
      </c>
      <c r="N6" s="28">
        <v>5</v>
      </c>
      <c r="O6" s="28">
        <v>4</v>
      </c>
      <c r="P6" s="28">
        <v>5</v>
      </c>
      <c r="Q6" s="28">
        <v>3</v>
      </c>
      <c r="R6" s="28">
        <v>2</v>
      </c>
      <c r="S6" s="29" t="s">
        <v>92</v>
      </c>
    </row>
    <row r="7" spans="1:19" x14ac:dyDescent="0.3">
      <c r="A7" s="26" t="s">
        <v>70</v>
      </c>
      <c r="B7" s="27">
        <v>41805</v>
      </c>
      <c r="C7" s="28" t="s">
        <v>64</v>
      </c>
      <c r="D7" s="28" t="s">
        <v>71</v>
      </c>
      <c r="E7" s="28" t="s">
        <v>62</v>
      </c>
      <c r="F7" s="28" t="s">
        <v>66</v>
      </c>
      <c r="G7" s="28" t="s">
        <v>79</v>
      </c>
      <c r="H7" s="28">
        <v>3</v>
      </c>
      <c r="I7" s="28">
        <v>5</v>
      </c>
      <c r="J7" s="28">
        <v>3</v>
      </c>
      <c r="K7" s="28">
        <v>2</v>
      </c>
      <c r="L7" s="28">
        <v>1</v>
      </c>
      <c r="M7" s="28">
        <v>2</v>
      </c>
      <c r="N7" s="28">
        <v>1</v>
      </c>
      <c r="O7" s="28">
        <v>4</v>
      </c>
      <c r="P7" s="28">
        <v>5</v>
      </c>
      <c r="Q7" s="28">
        <v>1</v>
      </c>
      <c r="R7" s="28">
        <v>5</v>
      </c>
      <c r="S7" s="29"/>
    </row>
    <row r="8" spans="1:19" x14ac:dyDescent="0.3">
      <c r="A8" s="26" t="s">
        <v>70</v>
      </c>
      <c r="B8" s="27">
        <v>41805</v>
      </c>
      <c r="C8" s="28" t="s">
        <v>64</v>
      </c>
      <c r="D8" s="28" t="s">
        <v>71</v>
      </c>
      <c r="E8" s="28" t="s">
        <v>62</v>
      </c>
      <c r="F8" s="28" t="s">
        <v>76</v>
      </c>
      <c r="G8" s="28" t="s">
        <v>80</v>
      </c>
      <c r="H8" s="28">
        <v>4</v>
      </c>
      <c r="I8" s="28">
        <v>2</v>
      </c>
      <c r="J8" s="28">
        <v>3</v>
      </c>
      <c r="K8" s="28">
        <v>2</v>
      </c>
      <c r="L8" s="28">
        <v>1</v>
      </c>
      <c r="M8" s="28">
        <v>2</v>
      </c>
      <c r="N8" s="28">
        <v>2</v>
      </c>
      <c r="O8" s="28">
        <v>4</v>
      </c>
      <c r="P8" s="28">
        <v>2</v>
      </c>
      <c r="Q8" s="28">
        <v>2</v>
      </c>
      <c r="R8" s="28">
        <v>2</v>
      </c>
      <c r="S8" s="29"/>
    </row>
    <row r="9" spans="1:19" x14ac:dyDescent="0.3">
      <c r="A9" s="26" t="s">
        <v>70</v>
      </c>
      <c r="B9" s="27">
        <v>41810</v>
      </c>
      <c r="C9" s="28" t="s">
        <v>64</v>
      </c>
      <c r="D9" s="28" t="s">
        <v>73</v>
      </c>
      <c r="E9" s="28" t="s">
        <v>69</v>
      </c>
      <c r="F9" s="28" t="s">
        <v>65</v>
      </c>
      <c r="G9" s="28" t="s">
        <v>81</v>
      </c>
      <c r="H9" s="28">
        <v>1</v>
      </c>
      <c r="I9" s="28">
        <v>2</v>
      </c>
      <c r="J9" s="28">
        <v>1</v>
      </c>
      <c r="K9" s="28">
        <v>2</v>
      </c>
      <c r="L9" s="28">
        <v>6</v>
      </c>
      <c r="M9" s="28">
        <v>2</v>
      </c>
      <c r="N9" s="28">
        <v>1</v>
      </c>
      <c r="O9" s="28">
        <v>1</v>
      </c>
      <c r="P9" s="28">
        <v>4</v>
      </c>
      <c r="Q9" s="28">
        <v>5</v>
      </c>
      <c r="R9" s="28">
        <v>1</v>
      </c>
      <c r="S9" s="29" t="s">
        <v>93</v>
      </c>
    </row>
    <row r="10" spans="1:19" x14ac:dyDescent="0.3">
      <c r="A10" s="26" t="s">
        <v>70</v>
      </c>
      <c r="B10" s="27">
        <v>41810</v>
      </c>
      <c r="C10" s="28" t="s">
        <v>64</v>
      </c>
      <c r="D10" s="28" t="s">
        <v>73</v>
      </c>
      <c r="E10" s="28" t="s">
        <v>69</v>
      </c>
      <c r="F10" s="28" t="s">
        <v>75</v>
      </c>
      <c r="G10" s="28" t="s">
        <v>82</v>
      </c>
      <c r="H10" s="28">
        <v>5</v>
      </c>
      <c r="I10" s="28">
        <v>5</v>
      </c>
      <c r="J10" s="28">
        <v>3</v>
      </c>
      <c r="K10" s="28">
        <v>2</v>
      </c>
      <c r="L10" s="28">
        <v>1</v>
      </c>
      <c r="M10" s="28">
        <v>2</v>
      </c>
      <c r="N10" s="28">
        <v>1</v>
      </c>
      <c r="O10" s="28">
        <v>4</v>
      </c>
      <c r="P10" s="28">
        <v>3</v>
      </c>
      <c r="Q10" s="28">
        <v>4</v>
      </c>
      <c r="R10" s="28">
        <v>4</v>
      </c>
      <c r="S10" s="29" t="s">
        <v>94</v>
      </c>
    </row>
    <row r="11" spans="1:19" x14ac:dyDescent="0.3">
      <c r="A11" s="26" t="s">
        <v>70</v>
      </c>
      <c r="B11" s="27">
        <v>41810</v>
      </c>
      <c r="C11" s="28" t="s">
        <v>64</v>
      </c>
      <c r="D11" s="28" t="s">
        <v>73</v>
      </c>
      <c r="E11" s="28" t="s">
        <v>69</v>
      </c>
      <c r="F11" s="28" t="s">
        <v>67</v>
      </c>
      <c r="G11" s="28" t="s">
        <v>83</v>
      </c>
      <c r="H11" s="28">
        <v>2</v>
      </c>
      <c r="I11" s="28">
        <v>3</v>
      </c>
      <c r="J11" s="28">
        <v>4</v>
      </c>
      <c r="K11" s="28">
        <v>2</v>
      </c>
      <c r="L11" s="28">
        <v>4</v>
      </c>
      <c r="M11" s="28">
        <v>2</v>
      </c>
      <c r="N11" s="28">
        <v>3</v>
      </c>
      <c r="O11" s="28">
        <v>4</v>
      </c>
      <c r="P11" s="28">
        <v>4</v>
      </c>
      <c r="Q11" s="28">
        <v>3</v>
      </c>
      <c r="R11" s="28">
        <v>5</v>
      </c>
      <c r="S11" s="29"/>
    </row>
    <row r="12" spans="1:19" x14ac:dyDescent="0.3">
      <c r="A12" s="26" t="s">
        <v>70</v>
      </c>
      <c r="B12" s="27">
        <v>41810</v>
      </c>
      <c r="C12" s="28" t="s">
        <v>64</v>
      </c>
      <c r="D12" s="28" t="s">
        <v>73</v>
      </c>
      <c r="E12" s="28" t="s">
        <v>69</v>
      </c>
      <c r="F12" s="28" t="s">
        <v>68</v>
      </c>
      <c r="G12" s="28" t="s">
        <v>84</v>
      </c>
      <c r="H12" s="28">
        <v>4</v>
      </c>
      <c r="I12" s="28">
        <v>2</v>
      </c>
      <c r="J12" s="28">
        <v>3</v>
      </c>
      <c r="K12" s="28">
        <v>2</v>
      </c>
      <c r="L12" s="28">
        <v>3</v>
      </c>
      <c r="M12" s="28">
        <v>2</v>
      </c>
      <c r="N12" s="28">
        <v>2</v>
      </c>
      <c r="O12" s="28">
        <v>4</v>
      </c>
      <c r="P12" s="28">
        <v>3</v>
      </c>
      <c r="Q12" s="28">
        <v>4</v>
      </c>
      <c r="R12" s="28">
        <v>5</v>
      </c>
      <c r="S12" s="29" t="s">
        <v>95</v>
      </c>
    </row>
    <row r="13" spans="1:19" x14ac:dyDescent="0.3">
      <c r="A13" s="26" t="s">
        <v>70</v>
      </c>
      <c r="B13" s="27">
        <v>41810</v>
      </c>
      <c r="C13" s="28" t="s">
        <v>64</v>
      </c>
      <c r="D13" s="28" t="s">
        <v>73</v>
      </c>
      <c r="E13" s="28" t="s">
        <v>69</v>
      </c>
      <c r="F13" s="28" t="s">
        <v>68</v>
      </c>
      <c r="G13" s="28" t="s">
        <v>85</v>
      </c>
      <c r="H13" s="28">
        <v>5</v>
      </c>
      <c r="I13" s="28">
        <v>4</v>
      </c>
      <c r="J13" s="28">
        <v>5</v>
      </c>
      <c r="K13" s="28">
        <v>3</v>
      </c>
      <c r="L13" s="28">
        <v>4</v>
      </c>
      <c r="M13" s="28">
        <v>5</v>
      </c>
      <c r="N13" s="28">
        <v>3</v>
      </c>
      <c r="O13" s="28">
        <v>4</v>
      </c>
      <c r="P13" s="28">
        <v>5</v>
      </c>
      <c r="Q13" s="28">
        <v>6</v>
      </c>
      <c r="R13" s="28">
        <v>5</v>
      </c>
      <c r="S13" s="29"/>
    </row>
    <row r="14" spans="1:19" x14ac:dyDescent="0.3">
      <c r="A14" s="26" t="s">
        <v>70</v>
      </c>
      <c r="B14" s="27">
        <v>41815</v>
      </c>
      <c r="C14" s="28" t="s">
        <v>61</v>
      </c>
      <c r="D14" s="28" t="s">
        <v>74</v>
      </c>
      <c r="E14" s="28" t="s">
        <v>62</v>
      </c>
      <c r="F14" s="28" t="s">
        <v>63</v>
      </c>
      <c r="G14" s="28" t="s">
        <v>86</v>
      </c>
      <c r="H14" s="28">
        <v>4</v>
      </c>
      <c r="I14" s="28">
        <v>2</v>
      </c>
      <c r="J14" s="28">
        <v>5</v>
      </c>
      <c r="K14" s="28">
        <v>2</v>
      </c>
      <c r="L14" s="28">
        <v>4</v>
      </c>
      <c r="M14" s="28">
        <v>2</v>
      </c>
      <c r="N14" s="28">
        <v>1</v>
      </c>
      <c r="O14" s="28">
        <v>4</v>
      </c>
      <c r="P14" s="28">
        <v>5</v>
      </c>
      <c r="Q14" s="28">
        <v>3</v>
      </c>
      <c r="R14" s="28">
        <v>5</v>
      </c>
      <c r="S14" s="29" t="s">
        <v>96</v>
      </c>
    </row>
    <row r="15" spans="1:19" x14ac:dyDescent="0.3">
      <c r="A15" s="26" t="s">
        <v>70</v>
      </c>
      <c r="B15" s="27">
        <v>41815</v>
      </c>
      <c r="C15" s="28" t="s">
        <v>61</v>
      </c>
      <c r="D15" s="28" t="s">
        <v>74</v>
      </c>
      <c r="E15" s="28" t="s">
        <v>62</v>
      </c>
      <c r="F15" s="28" t="s">
        <v>75</v>
      </c>
      <c r="G15" s="28" t="s">
        <v>87</v>
      </c>
      <c r="H15" s="28">
        <v>5</v>
      </c>
      <c r="I15" s="28">
        <v>4</v>
      </c>
      <c r="J15" s="28">
        <v>3</v>
      </c>
      <c r="K15" s="28">
        <v>2</v>
      </c>
      <c r="L15" s="28">
        <v>1</v>
      </c>
      <c r="M15" s="28">
        <v>2</v>
      </c>
      <c r="N15" s="28">
        <v>4</v>
      </c>
      <c r="O15" s="28">
        <v>4</v>
      </c>
      <c r="P15" s="28">
        <v>2</v>
      </c>
      <c r="Q15" s="28">
        <v>2</v>
      </c>
      <c r="R15" s="28">
        <v>4</v>
      </c>
      <c r="S15" s="29"/>
    </row>
    <row r="16" spans="1:19" x14ac:dyDescent="0.3">
      <c r="A16" s="26" t="s">
        <v>70</v>
      </c>
      <c r="B16" s="27">
        <v>41815</v>
      </c>
      <c r="C16" s="28" t="s">
        <v>61</v>
      </c>
      <c r="D16" s="28" t="s">
        <v>74</v>
      </c>
      <c r="E16" s="28" t="s">
        <v>62</v>
      </c>
      <c r="F16" s="28" t="s">
        <v>76</v>
      </c>
      <c r="G16" s="28" t="s">
        <v>88</v>
      </c>
      <c r="H16" s="28">
        <v>3</v>
      </c>
      <c r="I16" s="28">
        <v>5</v>
      </c>
      <c r="J16" s="28">
        <v>3</v>
      </c>
      <c r="K16" s="28">
        <v>2</v>
      </c>
      <c r="L16" s="28">
        <v>4</v>
      </c>
      <c r="M16" s="28">
        <v>2</v>
      </c>
      <c r="N16" s="28">
        <v>1</v>
      </c>
      <c r="O16" s="28">
        <v>4</v>
      </c>
      <c r="P16" s="28">
        <v>2</v>
      </c>
      <c r="Q16" s="28">
        <v>4</v>
      </c>
      <c r="R16" s="28">
        <v>3</v>
      </c>
      <c r="S16" s="29"/>
    </row>
    <row r="17" spans="1:19" x14ac:dyDescent="0.3">
      <c r="A17" s="26" t="s">
        <v>70</v>
      </c>
      <c r="B17" s="27">
        <v>41815</v>
      </c>
      <c r="C17" s="28" t="s">
        <v>61</v>
      </c>
      <c r="D17" s="28" t="s">
        <v>74</v>
      </c>
      <c r="E17" s="28" t="s">
        <v>62</v>
      </c>
      <c r="F17" s="28" t="s">
        <v>66</v>
      </c>
      <c r="G17" s="28" t="s">
        <v>89</v>
      </c>
      <c r="H17" s="28">
        <v>5</v>
      </c>
      <c r="I17" s="28">
        <v>4</v>
      </c>
      <c r="J17" s="28">
        <v>4</v>
      </c>
      <c r="K17" s="28">
        <v>2</v>
      </c>
      <c r="L17" s="28">
        <v>3</v>
      </c>
      <c r="M17" s="28">
        <v>2</v>
      </c>
      <c r="N17" s="28">
        <v>5</v>
      </c>
      <c r="O17" s="28">
        <v>4</v>
      </c>
      <c r="P17" s="28">
        <v>4</v>
      </c>
      <c r="Q17" s="28">
        <v>5</v>
      </c>
      <c r="R17" s="28">
        <v>2</v>
      </c>
      <c r="S17" s="29" t="s">
        <v>97</v>
      </c>
    </row>
    <row r="18" spans="1:19" x14ac:dyDescent="0.3">
      <c r="A18" s="26" t="s">
        <v>70</v>
      </c>
      <c r="B18" s="27">
        <v>41815</v>
      </c>
      <c r="C18" s="28" t="s">
        <v>61</v>
      </c>
      <c r="D18" s="28" t="s">
        <v>74</v>
      </c>
      <c r="E18" s="28" t="s">
        <v>62</v>
      </c>
      <c r="F18" s="28" t="s">
        <v>75</v>
      </c>
      <c r="G18" s="28" t="s">
        <v>90</v>
      </c>
      <c r="H18" s="28">
        <v>4</v>
      </c>
      <c r="I18" s="28">
        <v>4</v>
      </c>
      <c r="J18" s="28">
        <v>5</v>
      </c>
      <c r="K18" s="28">
        <v>2</v>
      </c>
      <c r="L18" s="28">
        <v>3</v>
      </c>
      <c r="M18" s="28">
        <v>2</v>
      </c>
      <c r="N18" s="28">
        <v>4</v>
      </c>
      <c r="O18" s="28">
        <v>4</v>
      </c>
      <c r="P18" s="28">
        <v>2</v>
      </c>
      <c r="Q18" s="28">
        <v>5</v>
      </c>
      <c r="R18" s="28">
        <v>2</v>
      </c>
      <c r="S18" s="29"/>
    </row>
    <row r="19" spans="1:19" x14ac:dyDescent="0.3">
      <c r="A19" s="26" t="s">
        <v>117</v>
      </c>
      <c r="B19" s="27">
        <v>41960</v>
      </c>
      <c r="C19" s="28" t="s">
        <v>61</v>
      </c>
      <c r="D19" s="28" t="s">
        <v>98</v>
      </c>
      <c r="E19" s="28" t="s">
        <v>62</v>
      </c>
      <c r="F19" s="28" t="s">
        <v>63</v>
      </c>
      <c r="G19" s="28" t="s">
        <v>99</v>
      </c>
      <c r="H19" s="28">
        <v>4</v>
      </c>
      <c r="I19" s="28">
        <v>2</v>
      </c>
      <c r="J19" s="28">
        <v>5</v>
      </c>
      <c r="K19" s="28">
        <v>2</v>
      </c>
      <c r="L19" s="28">
        <v>4</v>
      </c>
      <c r="M19" s="28">
        <v>2</v>
      </c>
      <c r="N19" s="28">
        <v>1</v>
      </c>
      <c r="O19" s="28">
        <v>4</v>
      </c>
      <c r="P19" s="28">
        <v>5</v>
      </c>
      <c r="Q19" s="28">
        <v>3</v>
      </c>
      <c r="R19" s="28">
        <v>5</v>
      </c>
      <c r="S19" s="29" t="s">
        <v>100</v>
      </c>
    </row>
    <row r="20" spans="1:19" x14ac:dyDescent="0.3">
      <c r="A20" s="26" t="s">
        <v>117</v>
      </c>
      <c r="B20" s="27">
        <v>41960</v>
      </c>
      <c r="C20" s="28" t="s">
        <v>64</v>
      </c>
      <c r="D20" s="28" t="s">
        <v>98</v>
      </c>
      <c r="E20" s="28" t="s">
        <v>62</v>
      </c>
      <c r="F20" s="28" t="s">
        <v>63</v>
      </c>
      <c r="G20" s="28" t="s">
        <v>101</v>
      </c>
      <c r="H20" s="28">
        <v>4</v>
      </c>
      <c r="I20" s="28">
        <v>3</v>
      </c>
      <c r="J20" s="28">
        <v>3</v>
      </c>
      <c r="K20" s="28">
        <v>5</v>
      </c>
      <c r="L20" s="28">
        <v>1</v>
      </c>
      <c r="M20" s="28">
        <v>2</v>
      </c>
      <c r="N20" s="28">
        <v>5</v>
      </c>
      <c r="O20" s="28">
        <v>4</v>
      </c>
      <c r="P20" s="28">
        <v>3</v>
      </c>
      <c r="Q20" s="28">
        <v>4</v>
      </c>
      <c r="R20" s="28">
        <v>4</v>
      </c>
      <c r="S20" s="29" t="s">
        <v>102</v>
      </c>
    </row>
    <row r="21" spans="1:19" x14ac:dyDescent="0.3">
      <c r="A21" s="26" t="s">
        <v>117</v>
      </c>
      <c r="B21" s="27">
        <v>41960</v>
      </c>
      <c r="C21" s="28" t="s">
        <v>61</v>
      </c>
      <c r="D21" s="28" t="s">
        <v>98</v>
      </c>
      <c r="E21" s="28" t="s">
        <v>62</v>
      </c>
      <c r="F21" s="28" t="s">
        <v>65</v>
      </c>
      <c r="G21" s="28" t="s">
        <v>103</v>
      </c>
      <c r="H21" s="28">
        <v>5</v>
      </c>
      <c r="I21" s="28">
        <v>4</v>
      </c>
      <c r="J21" s="28">
        <v>3</v>
      </c>
      <c r="K21" s="28">
        <v>2</v>
      </c>
      <c r="L21" s="28">
        <v>1</v>
      </c>
      <c r="M21" s="28">
        <v>2</v>
      </c>
      <c r="N21" s="28">
        <v>4</v>
      </c>
      <c r="O21" s="28">
        <v>4</v>
      </c>
      <c r="P21" s="28">
        <v>2</v>
      </c>
      <c r="Q21" s="28">
        <v>2</v>
      </c>
      <c r="R21" s="28">
        <v>4</v>
      </c>
      <c r="S21" s="29"/>
    </row>
    <row r="22" spans="1:19" x14ac:dyDescent="0.3">
      <c r="A22" s="26" t="s">
        <v>117</v>
      </c>
      <c r="B22" s="27">
        <v>41960</v>
      </c>
      <c r="C22" s="28" t="s">
        <v>64</v>
      </c>
      <c r="D22" s="28" t="s">
        <v>98</v>
      </c>
      <c r="E22" s="28" t="s">
        <v>62</v>
      </c>
      <c r="F22" s="28" t="s">
        <v>65</v>
      </c>
      <c r="G22" s="28" t="s">
        <v>104</v>
      </c>
      <c r="H22" s="28">
        <v>4</v>
      </c>
      <c r="I22" s="28">
        <v>5</v>
      </c>
      <c r="J22" s="28">
        <v>3</v>
      </c>
      <c r="K22" s="28">
        <v>2</v>
      </c>
      <c r="L22" s="28">
        <v>5</v>
      </c>
      <c r="M22" s="28">
        <v>2</v>
      </c>
      <c r="N22" s="28">
        <v>5</v>
      </c>
      <c r="O22" s="28">
        <v>4</v>
      </c>
      <c r="P22" s="28">
        <v>5</v>
      </c>
      <c r="Q22" s="28">
        <v>3</v>
      </c>
      <c r="R22" s="28">
        <v>2</v>
      </c>
      <c r="S22" s="29"/>
    </row>
    <row r="23" spans="1:19" x14ac:dyDescent="0.3">
      <c r="A23" s="26" t="s">
        <v>117</v>
      </c>
      <c r="B23" s="27">
        <v>41960</v>
      </c>
      <c r="C23" s="28" t="s">
        <v>61</v>
      </c>
      <c r="D23" s="28" t="s">
        <v>98</v>
      </c>
      <c r="E23" s="28" t="s">
        <v>62</v>
      </c>
      <c r="F23" s="28" t="s">
        <v>66</v>
      </c>
      <c r="G23" s="28" t="s">
        <v>105</v>
      </c>
      <c r="H23" s="28">
        <v>3</v>
      </c>
      <c r="I23" s="28">
        <v>5</v>
      </c>
      <c r="J23" s="28">
        <v>3</v>
      </c>
      <c r="K23" s="28">
        <v>2</v>
      </c>
      <c r="L23" s="28">
        <v>4</v>
      </c>
      <c r="M23" s="28">
        <v>2</v>
      </c>
      <c r="N23" s="28">
        <v>1</v>
      </c>
      <c r="O23" s="28">
        <v>4</v>
      </c>
      <c r="P23" s="28">
        <v>2</v>
      </c>
      <c r="Q23" s="28">
        <v>4</v>
      </c>
      <c r="R23" s="28">
        <v>3</v>
      </c>
      <c r="S23" s="29"/>
    </row>
    <row r="24" spans="1:19" x14ac:dyDescent="0.3">
      <c r="A24" s="26" t="s">
        <v>117</v>
      </c>
      <c r="B24" s="27">
        <v>41960</v>
      </c>
      <c r="C24" s="28" t="s">
        <v>61</v>
      </c>
      <c r="D24" s="28" t="s">
        <v>98</v>
      </c>
      <c r="E24" s="28" t="s">
        <v>62</v>
      </c>
      <c r="F24" s="28" t="s">
        <v>66</v>
      </c>
      <c r="G24" s="28" t="s">
        <v>106</v>
      </c>
      <c r="H24" s="28">
        <v>5</v>
      </c>
      <c r="I24" s="28">
        <v>4</v>
      </c>
      <c r="J24" s="28">
        <v>4</v>
      </c>
      <c r="K24" s="28">
        <v>2</v>
      </c>
      <c r="L24" s="28">
        <v>3</v>
      </c>
      <c r="M24" s="28">
        <v>2</v>
      </c>
      <c r="N24" s="28">
        <v>5</v>
      </c>
      <c r="O24" s="28">
        <v>4</v>
      </c>
      <c r="P24" s="28">
        <v>4</v>
      </c>
      <c r="Q24" s="28">
        <v>5</v>
      </c>
      <c r="R24" s="28">
        <v>2</v>
      </c>
      <c r="S24" s="29"/>
    </row>
    <row r="25" spans="1:19" x14ac:dyDescent="0.3">
      <c r="A25" s="26" t="s">
        <v>117</v>
      </c>
      <c r="B25" s="27">
        <v>41960</v>
      </c>
      <c r="C25" s="28" t="s">
        <v>64</v>
      </c>
      <c r="D25" s="28" t="s">
        <v>98</v>
      </c>
      <c r="E25" s="28" t="s">
        <v>62</v>
      </c>
      <c r="F25" s="28" t="s">
        <v>66</v>
      </c>
      <c r="G25" s="28" t="s">
        <v>107</v>
      </c>
      <c r="H25" s="28">
        <v>3</v>
      </c>
      <c r="I25" s="28">
        <v>5</v>
      </c>
      <c r="J25" s="28">
        <v>3</v>
      </c>
      <c r="K25" s="28">
        <v>2</v>
      </c>
      <c r="L25" s="28">
        <v>1</v>
      </c>
      <c r="M25" s="28">
        <v>2</v>
      </c>
      <c r="N25" s="28">
        <v>1</v>
      </c>
      <c r="O25" s="28">
        <v>4</v>
      </c>
      <c r="P25" s="28">
        <v>5</v>
      </c>
      <c r="Q25" s="28">
        <v>1</v>
      </c>
      <c r="R25" s="28">
        <v>5</v>
      </c>
      <c r="S25" s="29"/>
    </row>
    <row r="26" spans="1:19" x14ac:dyDescent="0.3">
      <c r="A26" s="26" t="s">
        <v>117</v>
      </c>
      <c r="B26" s="27">
        <v>41960</v>
      </c>
      <c r="C26" s="28" t="s">
        <v>61</v>
      </c>
      <c r="D26" s="28" t="s">
        <v>98</v>
      </c>
      <c r="E26" s="28" t="s">
        <v>62</v>
      </c>
      <c r="F26" s="28" t="s">
        <v>67</v>
      </c>
      <c r="G26" s="28" t="s">
        <v>108</v>
      </c>
      <c r="H26" s="28">
        <v>4</v>
      </c>
      <c r="I26" s="28">
        <v>4</v>
      </c>
      <c r="J26" s="28">
        <v>5</v>
      </c>
      <c r="K26" s="28">
        <v>2</v>
      </c>
      <c r="L26" s="28">
        <v>3</v>
      </c>
      <c r="M26" s="28">
        <v>2</v>
      </c>
      <c r="N26" s="28">
        <v>4</v>
      </c>
      <c r="O26" s="28">
        <v>4</v>
      </c>
      <c r="P26" s="28">
        <v>2</v>
      </c>
      <c r="Q26" s="28">
        <v>5</v>
      </c>
      <c r="R26" s="28">
        <v>2</v>
      </c>
      <c r="S26" s="29"/>
    </row>
    <row r="27" spans="1:19" x14ac:dyDescent="0.3">
      <c r="A27" s="26" t="s">
        <v>117</v>
      </c>
      <c r="B27" s="27">
        <v>41960</v>
      </c>
      <c r="C27" s="28" t="s">
        <v>64</v>
      </c>
      <c r="D27" s="28" t="s">
        <v>98</v>
      </c>
      <c r="E27" s="28" t="s">
        <v>62</v>
      </c>
      <c r="F27" s="28" t="s">
        <v>68</v>
      </c>
      <c r="G27" s="28" t="s">
        <v>109</v>
      </c>
      <c r="H27" s="28">
        <v>4</v>
      </c>
      <c r="I27" s="28">
        <v>2</v>
      </c>
      <c r="J27" s="28">
        <v>3</v>
      </c>
      <c r="K27" s="28">
        <v>2</v>
      </c>
      <c r="L27" s="28">
        <v>1</v>
      </c>
      <c r="M27" s="28">
        <v>2</v>
      </c>
      <c r="N27" s="28">
        <v>2</v>
      </c>
      <c r="O27" s="28">
        <v>4</v>
      </c>
      <c r="P27" s="28">
        <v>2</v>
      </c>
      <c r="Q27" s="28">
        <v>2</v>
      </c>
      <c r="R27" s="28">
        <v>2</v>
      </c>
      <c r="S27" s="29"/>
    </row>
    <row r="28" spans="1:19" x14ac:dyDescent="0.3">
      <c r="A28" s="26" t="s">
        <v>117</v>
      </c>
      <c r="B28" s="27">
        <v>41961</v>
      </c>
      <c r="C28" s="28" t="s">
        <v>64</v>
      </c>
      <c r="D28" s="28" t="s">
        <v>110</v>
      </c>
      <c r="E28" s="28" t="s">
        <v>69</v>
      </c>
      <c r="F28" s="28" t="s">
        <v>65</v>
      </c>
      <c r="G28" s="28" t="s">
        <v>111</v>
      </c>
      <c r="H28" s="28">
        <v>1</v>
      </c>
      <c r="I28" s="28">
        <v>2</v>
      </c>
      <c r="J28" s="28">
        <v>1</v>
      </c>
      <c r="K28" s="28">
        <v>2</v>
      </c>
      <c r="L28" s="28">
        <v>6</v>
      </c>
      <c r="M28" s="28">
        <v>2</v>
      </c>
      <c r="N28" s="28">
        <v>1</v>
      </c>
      <c r="O28" s="28">
        <v>1</v>
      </c>
      <c r="P28" s="28">
        <v>4</v>
      </c>
      <c r="Q28" s="28">
        <v>5</v>
      </c>
      <c r="R28" s="28">
        <v>1</v>
      </c>
      <c r="S28" s="29" t="s">
        <v>112</v>
      </c>
    </row>
    <row r="29" spans="1:19" x14ac:dyDescent="0.3">
      <c r="A29" s="26" t="s">
        <v>117</v>
      </c>
      <c r="B29" s="27">
        <v>41961</v>
      </c>
      <c r="C29" s="28" t="s">
        <v>64</v>
      </c>
      <c r="D29" s="28" t="s">
        <v>110</v>
      </c>
      <c r="E29" s="28" t="s">
        <v>69</v>
      </c>
      <c r="F29" s="28" t="s">
        <v>67</v>
      </c>
      <c r="G29" s="28" t="s">
        <v>113</v>
      </c>
      <c r="H29" s="28">
        <v>5</v>
      </c>
      <c r="I29" s="28">
        <v>5</v>
      </c>
      <c r="J29" s="28">
        <v>3</v>
      </c>
      <c r="K29" s="28">
        <v>2</v>
      </c>
      <c r="L29" s="28">
        <v>1</v>
      </c>
      <c r="M29" s="28">
        <v>2</v>
      </c>
      <c r="N29" s="28">
        <v>1</v>
      </c>
      <c r="O29" s="28">
        <v>4</v>
      </c>
      <c r="P29" s="28">
        <v>3</v>
      </c>
      <c r="Q29" s="28">
        <v>4</v>
      </c>
      <c r="R29" s="28">
        <v>4</v>
      </c>
      <c r="S29" s="29"/>
    </row>
    <row r="30" spans="1:19" x14ac:dyDescent="0.3">
      <c r="A30" s="26" t="s">
        <v>117</v>
      </c>
      <c r="B30" s="27">
        <v>41961</v>
      </c>
      <c r="C30" s="28" t="s">
        <v>64</v>
      </c>
      <c r="D30" s="28" t="s">
        <v>110</v>
      </c>
      <c r="E30" s="28" t="s">
        <v>69</v>
      </c>
      <c r="F30" s="28" t="s">
        <v>67</v>
      </c>
      <c r="G30" s="28" t="s">
        <v>114</v>
      </c>
      <c r="H30" s="28">
        <v>2</v>
      </c>
      <c r="I30" s="28">
        <v>3</v>
      </c>
      <c r="J30" s="28">
        <v>4</v>
      </c>
      <c r="K30" s="28">
        <v>2</v>
      </c>
      <c r="L30" s="28">
        <v>4</v>
      </c>
      <c r="M30" s="28">
        <v>2</v>
      </c>
      <c r="N30" s="28">
        <v>3</v>
      </c>
      <c r="O30" s="28">
        <v>4</v>
      </c>
      <c r="P30" s="28">
        <v>4</v>
      </c>
      <c r="Q30" s="28">
        <v>3</v>
      </c>
      <c r="R30" s="28">
        <v>5</v>
      </c>
      <c r="S30" s="29"/>
    </row>
    <row r="31" spans="1:19" x14ac:dyDescent="0.3">
      <c r="A31" s="26" t="s">
        <v>117</v>
      </c>
      <c r="B31" s="27">
        <v>41961</v>
      </c>
      <c r="C31" s="28" t="s">
        <v>64</v>
      </c>
      <c r="D31" s="28" t="s">
        <v>110</v>
      </c>
      <c r="E31" s="28" t="s">
        <v>69</v>
      </c>
      <c r="F31" s="28" t="s">
        <v>68</v>
      </c>
      <c r="G31" s="28" t="s">
        <v>115</v>
      </c>
      <c r="H31" s="28">
        <v>4</v>
      </c>
      <c r="I31" s="28">
        <v>2</v>
      </c>
      <c r="J31" s="28">
        <v>3</v>
      </c>
      <c r="K31" s="28">
        <v>2</v>
      </c>
      <c r="L31" s="28">
        <v>3</v>
      </c>
      <c r="M31" s="28">
        <v>2</v>
      </c>
      <c r="N31" s="28">
        <v>2</v>
      </c>
      <c r="O31" s="28">
        <v>4</v>
      </c>
      <c r="P31" s="28">
        <v>3</v>
      </c>
      <c r="Q31" s="28">
        <v>4</v>
      </c>
      <c r="R31" s="28">
        <v>5</v>
      </c>
      <c r="S31" s="29"/>
    </row>
    <row r="32" spans="1:19" x14ac:dyDescent="0.3">
      <c r="A32" s="41" t="s">
        <v>117</v>
      </c>
      <c r="B32" s="42">
        <v>41961</v>
      </c>
      <c r="C32" s="43" t="s">
        <v>64</v>
      </c>
      <c r="D32" s="43" t="s">
        <v>110</v>
      </c>
      <c r="E32" s="43" t="s">
        <v>69</v>
      </c>
      <c r="F32" s="43" t="s">
        <v>68</v>
      </c>
      <c r="G32" s="43" t="s">
        <v>116</v>
      </c>
      <c r="H32" s="43">
        <v>5</v>
      </c>
      <c r="I32" s="43">
        <v>4</v>
      </c>
      <c r="J32" s="43">
        <v>5</v>
      </c>
      <c r="K32" s="43">
        <v>3</v>
      </c>
      <c r="L32" s="43">
        <v>4</v>
      </c>
      <c r="M32" s="43">
        <v>5</v>
      </c>
      <c r="N32" s="43">
        <v>3</v>
      </c>
      <c r="O32" s="43">
        <v>4</v>
      </c>
      <c r="P32" s="43">
        <v>5</v>
      </c>
      <c r="Q32" s="43">
        <v>6</v>
      </c>
      <c r="R32" s="43">
        <v>5</v>
      </c>
      <c r="S32" s="44"/>
    </row>
    <row r="33" spans="1:19" x14ac:dyDescent="0.3">
      <c r="A33" s="26" t="s">
        <v>163</v>
      </c>
      <c r="B33" s="27">
        <v>41962</v>
      </c>
      <c r="C33" s="28" t="s">
        <v>61</v>
      </c>
      <c r="D33" s="28" t="s">
        <v>118</v>
      </c>
      <c r="E33" s="28" t="s">
        <v>119</v>
      </c>
      <c r="F33" s="28" t="s">
        <v>120</v>
      </c>
      <c r="G33" s="28" t="s">
        <v>121</v>
      </c>
      <c r="H33" s="28">
        <v>4</v>
      </c>
      <c r="I33" s="28">
        <v>2</v>
      </c>
      <c r="J33" s="28">
        <v>5</v>
      </c>
      <c r="K33" s="28">
        <v>2</v>
      </c>
      <c r="L33" s="28">
        <v>4</v>
      </c>
      <c r="M33" s="28">
        <v>2</v>
      </c>
      <c r="N33" s="28">
        <v>1</v>
      </c>
      <c r="O33" s="28">
        <v>4</v>
      </c>
      <c r="P33" s="28">
        <v>5</v>
      </c>
      <c r="Q33" s="28">
        <v>3</v>
      </c>
      <c r="R33" s="28">
        <v>5</v>
      </c>
      <c r="S33" s="29"/>
    </row>
    <row r="34" spans="1:19" x14ac:dyDescent="0.3">
      <c r="A34" s="26" t="s">
        <v>163</v>
      </c>
      <c r="B34" s="27">
        <v>41962</v>
      </c>
      <c r="C34" s="28" t="s">
        <v>61</v>
      </c>
      <c r="D34" s="28" t="s">
        <v>118</v>
      </c>
      <c r="E34" s="28" t="s">
        <v>119</v>
      </c>
      <c r="F34" s="28" t="s">
        <v>120</v>
      </c>
      <c r="G34" s="28" t="s">
        <v>122</v>
      </c>
      <c r="H34" s="28">
        <v>4</v>
      </c>
      <c r="I34" s="28">
        <v>3</v>
      </c>
      <c r="J34" s="28">
        <v>3</v>
      </c>
      <c r="K34" s="28">
        <v>5</v>
      </c>
      <c r="L34" s="28">
        <v>1</v>
      </c>
      <c r="M34" s="28">
        <v>2</v>
      </c>
      <c r="N34" s="28">
        <v>5</v>
      </c>
      <c r="O34" s="28">
        <v>4</v>
      </c>
      <c r="P34" s="28">
        <v>3</v>
      </c>
      <c r="Q34" s="28">
        <v>4</v>
      </c>
      <c r="R34" s="28">
        <v>4</v>
      </c>
      <c r="S34" s="29" t="s">
        <v>102</v>
      </c>
    </row>
    <row r="35" spans="1:19" x14ac:dyDescent="0.3">
      <c r="A35" s="26" t="s">
        <v>163</v>
      </c>
      <c r="B35" s="27">
        <v>41962</v>
      </c>
      <c r="C35" s="28" t="s">
        <v>61</v>
      </c>
      <c r="D35" s="28" t="s">
        <v>118</v>
      </c>
      <c r="E35" s="28" t="s">
        <v>119</v>
      </c>
      <c r="F35" s="28" t="s">
        <v>123</v>
      </c>
      <c r="G35" s="28" t="s">
        <v>124</v>
      </c>
      <c r="H35" s="28">
        <v>5</v>
      </c>
      <c r="I35" s="28">
        <v>4</v>
      </c>
      <c r="J35" s="28">
        <v>3</v>
      </c>
      <c r="K35" s="28">
        <v>2</v>
      </c>
      <c r="L35" s="28">
        <v>1</v>
      </c>
      <c r="M35" s="28">
        <v>2</v>
      </c>
      <c r="N35" s="28">
        <v>4</v>
      </c>
      <c r="O35" s="28">
        <v>4</v>
      </c>
      <c r="P35" s="28">
        <v>2</v>
      </c>
      <c r="Q35" s="28">
        <v>2</v>
      </c>
      <c r="R35" s="28">
        <v>4</v>
      </c>
      <c r="S35" s="29"/>
    </row>
    <row r="36" spans="1:19" x14ac:dyDescent="0.3">
      <c r="A36" s="26" t="s">
        <v>163</v>
      </c>
      <c r="B36" s="27">
        <v>41962</v>
      </c>
      <c r="C36" s="28" t="s">
        <v>61</v>
      </c>
      <c r="D36" s="28" t="s">
        <v>118</v>
      </c>
      <c r="E36" s="28" t="s">
        <v>119</v>
      </c>
      <c r="F36" s="28" t="s">
        <v>125</v>
      </c>
      <c r="G36" s="28" t="s">
        <v>126</v>
      </c>
      <c r="H36" s="28">
        <v>4</v>
      </c>
      <c r="I36" s="28">
        <v>5</v>
      </c>
      <c r="J36" s="28">
        <v>3</v>
      </c>
      <c r="K36" s="28">
        <v>2</v>
      </c>
      <c r="L36" s="28">
        <v>5</v>
      </c>
      <c r="M36" s="28">
        <v>2</v>
      </c>
      <c r="N36" s="28">
        <v>5</v>
      </c>
      <c r="O36" s="28">
        <v>4</v>
      </c>
      <c r="P36" s="28">
        <v>5</v>
      </c>
      <c r="Q36" s="28">
        <v>3</v>
      </c>
      <c r="R36" s="28">
        <v>2</v>
      </c>
      <c r="S36" s="29" t="s">
        <v>127</v>
      </c>
    </row>
    <row r="37" spans="1:19" x14ac:dyDescent="0.3">
      <c r="A37" s="26" t="s">
        <v>163</v>
      </c>
      <c r="B37" s="27">
        <v>41962</v>
      </c>
      <c r="C37" s="28" t="s">
        <v>61</v>
      </c>
      <c r="D37" s="28" t="s">
        <v>118</v>
      </c>
      <c r="E37" s="28" t="s">
        <v>119</v>
      </c>
      <c r="F37" s="28" t="s">
        <v>128</v>
      </c>
      <c r="G37" s="28" t="s">
        <v>129</v>
      </c>
      <c r="H37" s="28">
        <v>3</v>
      </c>
      <c r="I37" s="28">
        <v>5</v>
      </c>
      <c r="J37" s="28">
        <v>3</v>
      </c>
      <c r="K37" s="28">
        <v>2</v>
      </c>
      <c r="L37" s="28">
        <v>4</v>
      </c>
      <c r="M37" s="28">
        <v>2</v>
      </c>
      <c r="N37" s="28">
        <v>1</v>
      </c>
      <c r="O37" s="28">
        <v>4</v>
      </c>
      <c r="P37" s="28">
        <v>2</v>
      </c>
      <c r="Q37" s="28">
        <v>4</v>
      </c>
      <c r="R37" s="28">
        <v>3</v>
      </c>
      <c r="S37" s="29"/>
    </row>
    <row r="38" spans="1:19" x14ac:dyDescent="0.3">
      <c r="A38" s="26" t="s">
        <v>163</v>
      </c>
      <c r="B38" s="27">
        <v>41962</v>
      </c>
      <c r="C38" s="28" t="s">
        <v>61</v>
      </c>
      <c r="D38" s="28" t="s">
        <v>118</v>
      </c>
      <c r="E38" s="28" t="s">
        <v>119</v>
      </c>
      <c r="F38" s="28" t="s">
        <v>128</v>
      </c>
      <c r="G38" s="28" t="s">
        <v>130</v>
      </c>
      <c r="H38" s="28">
        <v>5</v>
      </c>
      <c r="I38" s="28">
        <v>4</v>
      </c>
      <c r="J38" s="28">
        <v>4</v>
      </c>
      <c r="K38" s="28">
        <v>2</v>
      </c>
      <c r="L38" s="28">
        <v>3</v>
      </c>
      <c r="M38" s="28">
        <v>2</v>
      </c>
      <c r="N38" s="28">
        <v>5</v>
      </c>
      <c r="O38" s="28">
        <v>4</v>
      </c>
      <c r="P38" s="28">
        <v>4</v>
      </c>
      <c r="Q38" s="28">
        <v>5</v>
      </c>
      <c r="R38" s="28">
        <v>2</v>
      </c>
      <c r="S38" s="29"/>
    </row>
    <row r="39" spans="1:19" x14ac:dyDescent="0.3">
      <c r="A39" s="26" t="s">
        <v>163</v>
      </c>
      <c r="B39" s="27">
        <v>41964</v>
      </c>
      <c r="C39" s="28" t="s">
        <v>131</v>
      </c>
      <c r="D39" s="28" t="s">
        <v>132</v>
      </c>
      <c r="E39" s="28" t="s">
        <v>133</v>
      </c>
      <c r="F39" s="28" t="s">
        <v>134</v>
      </c>
      <c r="G39" s="28" t="s">
        <v>135</v>
      </c>
      <c r="H39" s="28">
        <v>3</v>
      </c>
      <c r="I39" s="28">
        <v>5</v>
      </c>
      <c r="J39" s="28">
        <v>3</v>
      </c>
      <c r="K39" s="28">
        <v>2</v>
      </c>
      <c r="L39" s="28">
        <v>1</v>
      </c>
      <c r="M39" s="28">
        <v>2</v>
      </c>
      <c r="N39" s="28">
        <v>1</v>
      </c>
      <c r="O39" s="28">
        <v>4</v>
      </c>
      <c r="P39" s="28">
        <v>5</v>
      </c>
      <c r="Q39" s="28">
        <v>1</v>
      </c>
      <c r="R39" s="28">
        <v>5</v>
      </c>
      <c r="S39" s="29" t="s">
        <v>136</v>
      </c>
    </row>
    <row r="40" spans="1:19" x14ac:dyDescent="0.3">
      <c r="A40" s="26" t="s">
        <v>163</v>
      </c>
      <c r="B40" s="27">
        <v>41964</v>
      </c>
      <c r="C40" s="28" t="s">
        <v>131</v>
      </c>
      <c r="D40" s="28" t="s">
        <v>132</v>
      </c>
      <c r="E40" s="28" t="s">
        <v>133</v>
      </c>
      <c r="F40" s="28" t="s">
        <v>134</v>
      </c>
      <c r="G40" s="28" t="s">
        <v>137</v>
      </c>
      <c r="H40" s="28">
        <v>4</v>
      </c>
      <c r="I40" s="28">
        <v>4</v>
      </c>
      <c r="J40" s="28">
        <v>5</v>
      </c>
      <c r="K40" s="28">
        <v>2</v>
      </c>
      <c r="L40" s="28">
        <v>3</v>
      </c>
      <c r="M40" s="28">
        <v>2</v>
      </c>
      <c r="N40" s="28">
        <v>4</v>
      </c>
      <c r="O40" s="28">
        <v>4</v>
      </c>
      <c r="P40" s="28">
        <v>2</v>
      </c>
      <c r="Q40" s="28">
        <v>5</v>
      </c>
      <c r="R40" s="28">
        <v>2</v>
      </c>
      <c r="S40" s="29"/>
    </row>
    <row r="41" spans="1:19" x14ac:dyDescent="0.3">
      <c r="A41" s="26" t="s">
        <v>163</v>
      </c>
      <c r="B41" s="27">
        <v>41964</v>
      </c>
      <c r="C41" s="28" t="s">
        <v>131</v>
      </c>
      <c r="D41" s="28" t="s">
        <v>132</v>
      </c>
      <c r="E41" s="28" t="s">
        <v>133</v>
      </c>
      <c r="F41" s="28" t="s">
        <v>138</v>
      </c>
      <c r="G41" s="28" t="s">
        <v>139</v>
      </c>
      <c r="H41" s="28">
        <v>4</v>
      </c>
      <c r="I41" s="28">
        <v>2</v>
      </c>
      <c r="J41" s="28">
        <v>3</v>
      </c>
      <c r="K41" s="28">
        <v>2</v>
      </c>
      <c r="L41" s="28">
        <v>1</v>
      </c>
      <c r="M41" s="28">
        <v>2</v>
      </c>
      <c r="N41" s="28">
        <v>2</v>
      </c>
      <c r="O41" s="28">
        <v>4</v>
      </c>
      <c r="P41" s="28">
        <v>2</v>
      </c>
      <c r="Q41" s="28">
        <v>2</v>
      </c>
      <c r="R41" s="28">
        <v>2</v>
      </c>
      <c r="S41" s="29"/>
    </row>
    <row r="42" spans="1:19" x14ac:dyDescent="0.3">
      <c r="A42" s="26" t="s">
        <v>163</v>
      </c>
      <c r="B42" s="27">
        <v>41964</v>
      </c>
      <c r="C42" s="28" t="s">
        <v>131</v>
      </c>
      <c r="D42" s="28" t="s">
        <v>132</v>
      </c>
      <c r="E42" s="28" t="s">
        <v>133</v>
      </c>
      <c r="F42" s="28" t="s">
        <v>138</v>
      </c>
      <c r="G42" s="28" t="s">
        <v>140</v>
      </c>
      <c r="H42" s="28">
        <v>1</v>
      </c>
      <c r="I42" s="28">
        <v>2</v>
      </c>
      <c r="J42" s="28">
        <v>1</v>
      </c>
      <c r="K42" s="28">
        <v>2</v>
      </c>
      <c r="L42" s="28">
        <v>6</v>
      </c>
      <c r="M42" s="28">
        <v>2</v>
      </c>
      <c r="N42" s="28">
        <v>1</v>
      </c>
      <c r="O42" s="28">
        <v>1</v>
      </c>
      <c r="P42" s="28">
        <v>4</v>
      </c>
      <c r="Q42" s="28">
        <v>5</v>
      </c>
      <c r="R42" s="28">
        <v>1</v>
      </c>
      <c r="S42" s="29"/>
    </row>
    <row r="43" spans="1:19" x14ac:dyDescent="0.3">
      <c r="A43" s="26" t="s">
        <v>163</v>
      </c>
      <c r="B43" s="27">
        <v>41964</v>
      </c>
      <c r="C43" s="28" t="s">
        <v>131</v>
      </c>
      <c r="D43" s="28" t="s">
        <v>132</v>
      </c>
      <c r="E43" s="28" t="s">
        <v>133</v>
      </c>
      <c r="F43" s="28" t="s">
        <v>141</v>
      </c>
      <c r="G43" s="28" t="s">
        <v>142</v>
      </c>
      <c r="H43" s="28">
        <v>5</v>
      </c>
      <c r="I43" s="28">
        <v>5</v>
      </c>
      <c r="J43" s="28">
        <v>3</v>
      </c>
      <c r="K43" s="28">
        <v>2</v>
      </c>
      <c r="L43" s="28">
        <v>1</v>
      </c>
      <c r="M43" s="28">
        <v>2</v>
      </c>
      <c r="N43" s="28">
        <v>1</v>
      </c>
      <c r="O43" s="28">
        <v>4</v>
      </c>
      <c r="P43" s="28">
        <v>3</v>
      </c>
      <c r="Q43" s="28">
        <v>4</v>
      </c>
      <c r="R43" s="28">
        <v>4</v>
      </c>
      <c r="S43" s="29"/>
    </row>
    <row r="44" spans="1:19" x14ac:dyDescent="0.3">
      <c r="A44" s="26" t="s">
        <v>163</v>
      </c>
      <c r="B44" s="27">
        <v>41964</v>
      </c>
      <c r="C44" s="28" t="s">
        <v>131</v>
      </c>
      <c r="D44" s="28" t="s">
        <v>132</v>
      </c>
      <c r="E44" s="28" t="s">
        <v>133</v>
      </c>
      <c r="F44" s="28" t="s">
        <v>143</v>
      </c>
      <c r="G44" s="28" t="s">
        <v>144</v>
      </c>
      <c r="H44" s="28">
        <v>2</v>
      </c>
      <c r="I44" s="28">
        <v>3</v>
      </c>
      <c r="J44" s="28">
        <v>4</v>
      </c>
      <c r="K44" s="28">
        <v>2</v>
      </c>
      <c r="L44" s="28">
        <v>4</v>
      </c>
      <c r="M44" s="28">
        <v>2</v>
      </c>
      <c r="N44" s="28">
        <v>3</v>
      </c>
      <c r="O44" s="28">
        <v>4</v>
      </c>
      <c r="P44" s="28">
        <v>4</v>
      </c>
      <c r="Q44" s="28">
        <v>3</v>
      </c>
      <c r="R44" s="28">
        <v>5</v>
      </c>
      <c r="S44" s="29"/>
    </row>
    <row r="45" spans="1:19" x14ac:dyDescent="0.3">
      <c r="A45" s="26" t="s">
        <v>163</v>
      </c>
      <c r="B45" s="27">
        <v>41964</v>
      </c>
      <c r="C45" s="28" t="s">
        <v>131</v>
      </c>
      <c r="D45" s="28" t="s">
        <v>132</v>
      </c>
      <c r="E45" s="28" t="s">
        <v>133</v>
      </c>
      <c r="F45" s="28" t="s">
        <v>143</v>
      </c>
      <c r="G45" s="28" t="s">
        <v>145</v>
      </c>
      <c r="H45" s="28">
        <v>4</v>
      </c>
      <c r="I45" s="28">
        <v>2</v>
      </c>
      <c r="J45" s="28">
        <v>3</v>
      </c>
      <c r="K45" s="28">
        <v>2</v>
      </c>
      <c r="L45" s="28">
        <v>3</v>
      </c>
      <c r="M45" s="28">
        <v>2</v>
      </c>
      <c r="N45" s="28">
        <v>2</v>
      </c>
      <c r="O45" s="28">
        <v>4</v>
      </c>
      <c r="P45" s="28">
        <v>3</v>
      </c>
      <c r="Q45" s="28">
        <v>4</v>
      </c>
      <c r="R45" s="28">
        <v>5</v>
      </c>
      <c r="S45" s="29"/>
    </row>
    <row r="46" spans="1:19" x14ac:dyDescent="0.3">
      <c r="A46" s="26" t="s">
        <v>163</v>
      </c>
      <c r="B46" s="27">
        <v>41964</v>
      </c>
      <c r="C46" s="28" t="s">
        <v>131</v>
      </c>
      <c r="D46" s="28" t="s">
        <v>132</v>
      </c>
      <c r="E46" s="28" t="s">
        <v>133</v>
      </c>
      <c r="F46" s="28" t="s">
        <v>146</v>
      </c>
      <c r="G46" s="28" t="s">
        <v>147</v>
      </c>
      <c r="H46" s="28">
        <v>5</v>
      </c>
      <c r="I46" s="28">
        <v>4</v>
      </c>
      <c r="J46" s="28">
        <v>5</v>
      </c>
      <c r="K46" s="28">
        <v>3</v>
      </c>
      <c r="L46" s="28">
        <v>4</v>
      </c>
      <c r="M46" s="28">
        <v>5</v>
      </c>
      <c r="N46" s="28">
        <v>3</v>
      </c>
      <c r="O46" s="28">
        <v>4</v>
      </c>
      <c r="P46" s="28">
        <v>5</v>
      </c>
      <c r="Q46" s="28">
        <v>6</v>
      </c>
      <c r="R46" s="28">
        <v>5</v>
      </c>
      <c r="S46" s="29" t="s">
        <v>148</v>
      </c>
    </row>
    <row r="47" spans="1:19" x14ac:dyDescent="0.3">
      <c r="A47" s="26" t="s">
        <v>163</v>
      </c>
      <c r="B47" s="27">
        <v>41966</v>
      </c>
      <c r="C47" s="28" t="s">
        <v>149</v>
      </c>
      <c r="D47" s="28" t="s">
        <v>150</v>
      </c>
      <c r="E47" s="28" t="s">
        <v>151</v>
      </c>
      <c r="F47" s="28" t="s">
        <v>146</v>
      </c>
      <c r="G47" s="28" t="s">
        <v>152</v>
      </c>
      <c r="H47" s="28">
        <v>5</v>
      </c>
      <c r="I47" s="28">
        <v>4</v>
      </c>
      <c r="J47" s="28">
        <v>5</v>
      </c>
      <c r="K47" s="28">
        <v>3</v>
      </c>
      <c r="L47" s="28">
        <v>4</v>
      </c>
      <c r="M47" s="28">
        <v>5</v>
      </c>
      <c r="N47" s="28">
        <v>3</v>
      </c>
      <c r="O47" s="28">
        <v>4</v>
      </c>
      <c r="P47" s="28">
        <v>5</v>
      </c>
      <c r="Q47" s="28">
        <v>6</v>
      </c>
      <c r="R47" s="28">
        <v>5</v>
      </c>
      <c r="S47" s="29"/>
    </row>
    <row r="48" spans="1:19" x14ac:dyDescent="0.3">
      <c r="A48" s="26" t="s">
        <v>163</v>
      </c>
      <c r="B48" s="27">
        <v>41966</v>
      </c>
      <c r="C48" s="28" t="s">
        <v>149</v>
      </c>
      <c r="D48" s="28" t="s">
        <v>150</v>
      </c>
      <c r="E48" s="28" t="s">
        <v>151</v>
      </c>
      <c r="F48" s="28" t="s">
        <v>146</v>
      </c>
      <c r="G48" s="28" t="s">
        <v>153</v>
      </c>
      <c r="H48" s="28">
        <v>5</v>
      </c>
      <c r="I48" s="28">
        <v>4</v>
      </c>
      <c r="J48" s="28">
        <v>5</v>
      </c>
      <c r="K48" s="28">
        <v>3</v>
      </c>
      <c r="L48" s="28">
        <v>4</v>
      </c>
      <c r="M48" s="28">
        <v>5</v>
      </c>
      <c r="N48" s="28">
        <v>3</v>
      </c>
      <c r="O48" s="28">
        <v>4</v>
      </c>
      <c r="P48" s="28">
        <v>5</v>
      </c>
      <c r="Q48" s="28">
        <v>6</v>
      </c>
      <c r="R48" s="28">
        <v>5</v>
      </c>
      <c r="S48" s="29"/>
    </row>
    <row r="49" spans="1:19" x14ac:dyDescent="0.3">
      <c r="A49" s="26" t="s">
        <v>163</v>
      </c>
      <c r="B49" s="27">
        <v>41966</v>
      </c>
      <c r="C49" s="28" t="s">
        <v>149</v>
      </c>
      <c r="D49" s="28" t="s">
        <v>150</v>
      </c>
      <c r="E49" s="28" t="s">
        <v>151</v>
      </c>
      <c r="F49" s="28" t="s">
        <v>146</v>
      </c>
      <c r="G49" s="28" t="s">
        <v>154</v>
      </c>
      <c r="H49" s="28">
        <v>5</v>
      </c>
      <c r="I49" s="28">
        <v>4</v>
      </c>
      <c r="J49" s="28">
        <v>5</v>
      </c>
      <c r="K49" s="28">
        <v>3</v>
      </c>
      <c r="L49" s="28">
        <v>4</v>
      </c>
      <c r="M49" s="28">
        <v>5</v>
      </c>
      <c r="N49" s="28">
        <v>3</v>
      </c>
      <c r="O49" s="28">
        <v>4</v>
      </c>
      <c r="P49" s="28">
        <v>5</v>
      </c>
      <c r="Q49" s="28">
        <v>6</v>
      </c>
      <c r="R49" s="28">
        <v>5</v>
      </c>
      <c r="S49" s="29"/>
    </row>
    <row r="50" spans="1:19" x14ac:dyDescent="0.3">
      <c r="A50" s="26" t="s">
        <v>163</v>
      </c>
      <c r="B50" s="27">
        <v>41966</v>
      </c>
      <c r="C50" s="28" t="s">
        <v>149</v>
      </c>
      <c r="D50" s="28" t="s">
        <v>150</v>
      </c>
      <c r="E50" s="28" t="s">
        <v>151</v>
      </c>
      <c r="F50" s="28" t="s">
        <v>146</v>
      </c>
      <c r="G50" s="28" t="s">
        <v>155</v>
      </c>
      <c r="H50" s="28">
        <v>5</v>
      </c>
      <c r="I50" s="28">
        <v>4</v>
      </c>
      <c r="J50" s="28">
        <v>5</v>
      </c>
      <c r="K50" s="28">
        <v>3</v>
      </c>
      <c r="L50" s="28">
        <v>4</v>
      </c>
      <c r="M50" s="28">
        <v>5</v>
      </c>
      <c r="N50" s="28">
        <v>3</v>
      </c>
      <c r="O50" s="28">
        <v>4</v>
      </c>
      <c r="P50" s="28">
        <v>5</v>
      </c>
      <c r="Q50" s="28">
        <v>6</v>
      </c>
      <c r="R50" s="28">
        <v>5</v>
      </c>
      <c r="S50" s="29"/>
    </row>
    <row r="51" spans="1:19" x14ac:dyDescent="0.3">
      <c r="A51" s="26" t="s">
        <v>163</v>
      </c>
      <c r="B51" s="27">
        <v>41966</v>
      </c>
      <c r="C51" s="28" t="s">
        <v>149</v>
      </c>
      <c r="D51" s="28" t="s">
        <v>150</v>
      </c>
      <c r="E51" s="28" t="s">
        <v>151</v>
      </c>
      <c r="F51" s="28" t="s">
        <v>146</v>
      </c>
      <c r="G51" s="28" t="s">
        <v>156</v>
      </c>
      <c r="H51" s="28">
        <v>5</v>
      </c>
      <c r="I51" s="28">
        <v>4</v>
      </c>
      <c r="J51" s="28">
        <v>5</v>
      </c>
      <c r="K51" s="28">
        <v>3</v>
      </c>
      <c r="L51" s="28">
        <v>4</v>
      </c>
      <c r="M51" s="28">
        <v>5</v>
      </c>
      <c r="N51" s="28">
        <v>3</v>
      </c>
      <c r="O51" s="28">
        <v>4</v>
      </c>
      <c r="P51" s="28">
        <v>5</v>
      </c>
      <c r="Q51" s="28">
        <v>6</v>
      </c>
      <c r="R51" s="28">
        <v>5</v>
      </c>
      <c r="S51" s="29" t="s">
        <v>157</v>
      </c>
    </row>
    <row r="52" spans="1:19" x14ac:dyDescent="0.3">
      <c r="A52" s="26" t="s">
        <v>163</v>
      </c>
      <c r="B52" s="27">
        <v>41966</v>
      </c>
      <c r="C52" s="28" t="s">
        <v>149</v>
      </c>
      <c r="D52" s="28" t="s">
        <v>150</v>
      </c>
      <c r="E52" s="28" t="s">
        <v>151</v>
      </c>
      <c r="F52" s="28" t="s">
        <v>146</v>
      </c>
      <c r="G52" s="28" t="s">
        <v>158</v>
      </c>
      <c r="H52" s="28">
        <v>5</v>
      </c>
      <c r="I52" s="28">
        <v>4</v>
      </c>
      <c r="J52" s="28">
        <v>5</v>
      </c>
      <c r="K52" s="28">
        <v>3</v>
      </c>
      <c r="L52" s="28">
        <v>4</v>
      </c>
      <c r="M52" s="28">
        <v>5</v>
      </c>
      <c r="N52" s="28">
        <v>3</v>
      </c>
      <c r="O52" s="28">
        <v>4</v>
      </c>
      <c r="P52" s="28">
        <v>5</v>
      </c>
      <c r="Q52" s="28">
        <v>6</v>
      </c>
      <c r="R52" s="28">
        <v>5</v>
      </c>
      <c r="S52" s="29"/>
    </row>
    <row r="53" spans="1:19" x14ac:dyDescent="0.3">
      <c r="A53" s="26" t="s">
        <v>163</v>
      </c>
      <c r="B53" s="27">
        <v>41966</v>
      </c>
      <c r="C53" s="28" t="s">
        <v>149</v>
      </c>
      <c r="D53" s="28" t="s">
        <v>150</v>
      </c>
      <c r="E53" s="28" t="s">
        <v>151</v>
      </c>
      <c r="F53" s="28" t="s">
        <v>146</v>
      </c>
      <c r="G53" s="28" t="s">
        <v>159</v>
      </c>
      <c r="H53" s="28">
        <v>5</v>
      </c>
      <c r="I53" s="28">
        <v>4</v>
      </c>
      <c r="J53" s="28">
        <v>5</v>
      </c>
      <c r="K53" s="28">
        <v>3</v>
      </c>
      <c r="L53" s="28">
        <v>4</v>
      </c>
      <c r="M53" s="28">
        <v>5</v>
      </c>
      <c r="N53" s="28">
        <v>3</v>
      </c>
      <c r="O53" s="28">
        <v>4</v>
      </c>
      <c r="P53" s="28">
        <v>5</v>
      </c>
      <c r="Q53" s="28">
        <v>6</v>
      </c>
      <c r="R53" s="28">
        <v>5</v>
      </c>
      <c r="S53" s="29"/>
    </row>
    <row r="54" spans="1:19" x14ac:dyDescent="0.3">
      <c r="A54" s="26" t="s">
        <v>163</v>
      </c>
      <c r="B54" s="27">
        <v>41966</v>
      </c>
      <c r="C54" s="28" t="s">
        <v>149</v>
      </c>
      <c r="D54" s="28" t="s">
        <v>150</v>
      </c>
      <c r="E54" s="28" t="s">
        <v>151</v>
      </c>
      <c r="F54" s="28" t="s">
        <v>146</v>
      </c>
      <c r="G54" s="28" t="s">
        <v>160</v>
      </c>
      <c r="H54" s="28">
        <v>5</v>
      </c>
      <c r="I54" s="28">
        <v>4</v>
      </c>
      <c r="J54" s="28">
        <v>5</v>
      </c>
      <c r="K54" s="28">
        <v>3</v>
      </c>
      <c r="L54" s="28">
        <v>4</v>
      </c>
      <c r="M54" s="28">
        <v>5</v>
      </c>
      <c r="N54" s="28">
        <v>3</v>
      </c>
      <c r="O54" s="28">
        <v>4</v>
      </c>
      <c r="P54" s="28">
        <v>5</v>
      </c>
      <c r="Q54" s="28">
        <v>6</v>
      </c>
      <c r="R54" s="28">
        <v>5</v>
      </c>
      <c r="S54" s="29"/>
    </row>
    <row r="55" spans="1:19" x14ac:dyDescent="0.3">
      <c r="A55" s="26" t="s">
        <v>163</v>
      </c>
      <c r="B55" s="27">
        <v>41966</v>
      </c>
      <c r="C55" s="28" t="s">
        <v>149</v>
      </c>
      <c r="D55" s="28" t="s">
        <v>150</v>
      </c>
      <c r="E55" s="28" t="s">
        <v>151</v>
      </c>
      <c r="F55" s="28" t="s">
        <v>146</v>
      </c>
      <c r="G55" s="28" t="s">
        <v>161</v>
      </c>
      <c r="H55" s="28">
        <v>5</v>
      </c>
      <c r="I55" s="28">
        <v>4</v>
      </c>
      <c r="J55" s="28">
        <v>5</v>
      </c>
      <c r="K55" s="28">
        <v>3</v>
      </c>
      <c r="L55" s="28">
        <v>4</v>
      </c>
      <c r="M55" s="28">
        <v>5</v>
      </c>
      <c r="N55" s="28">
        <v>3</v>
      </c>
      <c r="O55" s="28">
        <v>4</v>
      </c>
      <c r="P55" s="28">
        <v>5</v>
      </c>
      <c r="Q55" s="28">
        <v>6</v>
      </c>
      <c r="R55" s="28">
        <v>5</v>
      </c>
      <c r="S55" s="29"/>
    </row>
    <row r="56" spans="1:19" x14ac:dyDescent="0.3">
      <c r="A56" s="41" t="s">
        <v>163</v>
      </c>
      <c r="B56" s="42">
        <v>41966</v>
      </c>
      <c r="C56" s="43" t="s">
        <v>149</v>
      </c>
      <c r="D56" s="43" t="s">
        <v>150</v>
      </c>
      <c r="E56" s="43" t="s">
        <v>151</v>
      </c>
      <c r="F56" s="43" t="s">
        <v>146</v>
      </c>
      <c r="G56" s="43" t="s">
        <v>162</v>
      </c>
      <c r="H56" s="43">
        <v>5</v>
      </c>
      <c r="I56" s="43">
        <v>4</v>
      </c>
      <c r="J56" s="43">
        <v>5</v>
      </c>
      <c r="K56" s="43">
        <v>3</v>
      </c>
      <c r="L56" s="43">
        <v>4</v>
      </c>
      <c r="M56" s="43">
        <v>5</v>
      </c>
      <c r="N56" s="43">
        <v>3</v>
      </c>
      <c r="O56" s="43">
        <v>4</v>
      </c>
      <c r="P56" s="43">
        <v>5</v>
      </c>
      <c r="Q56" s="43">
        <v>6</v>
      </c>
      <c r="R56" s="43">
        <v>5</v>
      </c>
      <c r="S56" s="44"/>
    </row>
    <row r="57" spans="1:19" x14ac:dyDescent="0.3">
      <c r="A57" s="26" t="s">
        <v>181</v>
      </c>
      <c r="B57" s="27">
        <v>41962</v>
      </c>
      <c r="C57" s="28" t="s">
        <v>61</v>
      </c>
      <c r="D57" s="28" t="s">
        <v>164</v>
      </c>
      <c r="E57" s="28" t="s">
        <v>165</v>
      </c>
      <c r="F57" s="28" t="s">
        <v>120</v>
      </c>
      <c r="G57" s="28" t="s">
        <v>166</v>
      </c>
      <c r="H57" s="28">
        <v>4</v>
      </c>
      <c r="I57" s="28">
        <v>2</v>
      </c>
      <c r="J57" s="28">
        <v>5</v>
      </c>
      <c r="K57" s="28">
        <v>2</v>
      </c>
      <c r="L57" s="28">
        <v>4</v>
      </c>
      <c r="M57" s="28">
        <v>2</v>
      </c>
      <c r="N57" s="28">
        <v>1</v>
      </c>
      <c r="O57" s="28">
        <v>4</v>
      </c>
      <c r="P57" s="28">
        <v>5</v>
      </c>
      <c r="Q57" s="28">
        <v>3</v>
      </c>
      <c r="R57" s="28">
        <v>5</v>
      </c>
      <c r="S57" s="29"/>
    </row>
    <row r="58" spans="1:19" x14ac:dyDescent="0.3">
      <c r="A58" s="26" t="s">
        <v>181</v>
      </c>
      <c r="B58" s="27">
        <v>41962</v>
      </c>
      <c r="C58" s="28" t="s">
        <v>61</v>
      </c>
      <c r="D58" s="28" t="s">
        <v>164</v>
      </c>
      <c r="E58" s="28" t="s">
        <v>165</v>
      </c>
      <c r="F58" s="28" t="s">
        <v>120</v>
      </c>
      <c r="G58" s="28" t="s">
        <v>167</v>
      </c>
      <c r="H58" s="28">
        <v>4</v>
      </c>
      <c r="I58" s="28">
        <v>3</v>
      </c>
      <c r="J58" s="28">
        <v>3</v>
      </c>
      <c r="K58" s="28">
        <v>5</v>
      </c>
      <c r="L58" s="28">
        <v>1</v>
      </c>
      <c r="M58" s="28">
        <v>2</v>
      </c>
      <c r="N58" s="28">
        <v>5</v>
      </c>
      <c r="O58" s="28">
        <v>4</v>
      </c>
      <c r="P58" s="28">
        <v>3</v>
      </c>
      <c r="Q58" s="28">
        <v>4</v>
      </c>
      <c r="R58" s="28">
        <v>4</v>
      </c>
      <c r="S58" s="29" t="s">
        <v>102</v>
      </c>
    </row>
    <row r="59" spans="1:19" x14ac:dyDescent="0.3">
      <c r="A59" s="26" t="s">
        <v>181</v>
      </c>
      <c r="B59" s="27">
        <v>41962</v>
      </c>
      <c r="C59" s="28" t="s">
        <v>61</v>
      </c>
      <c r="D59" s="28" t="s">
        <v>164</v>
      </c>
      <c r="E59" s="28" t="s">
        <v>165</v>
      </c>
      <c r="F59" s="28" t="s">
        <v>123</v>
      </c>
      <c r="G59" s="28" t="s">
        <v>168</v>
      </c>
      <c r="H59" s="28">
        <v>5</v>
      </c>
      <c r="I59" s="28">
        <v>4</v>
      </c>
      <c r="J59" s="28">
        <v>3</v>
      </c>
      <c r="K59" s="28">
        <v>2</v>
      </c>
      <c r="L59" s="28">
        <v>1</v>
      </c>
      <c r="M59" s="28">
        <v>2</v>
      </c>
      <c r="N59" s="28">
        <v>4</v>
      </c>
      <c r="O59" s="28">
        <v>4</v>
      </c>
      <c r="P59" s="28">
        <v>2</v>
      </c>
      <c r="Q59" s="28">
        <v>2</v>
      </c>
      <c r="R59" s="28">
        <v>4</v>
      </c>
      <c r="S59" s="29"/>
    </row>
    <row r="60" spans="1:19" x14ac:dyDescent="0.3">
      <c r="A60" s="26" t="s">
        <v>181</v>
      </c>
      <c r="B60" s="27">
        <v>41962</v>
      </c>
      <c r="C60" s="28" t="s">
        <v>61</v>
      </c>
      <c r="D60" s="28" t="s">
        <v>164</v>
      </c>
      <c r="E60" s="28" t="s">
        <v>165</v>
      </c>
      <c r="F60" s="28" t="s">
        <v>125</v>
      </c>
      <c r="G60" s="28" t="s">
        <v>124</v>
      </c>
      <c r="H60" s="28">
        <v>4</v>
      </c>
      <c r="I60" s="28">
        <v>5</v>
      </c>
      <c r="J60" s="28">
        <v>3</v>
      </c>
      <c r="K60" s="28">
        <v>2</v>
      </c>
      <c r="L60" s="28">
        <v>5</v>
      </c>
      <c r="M60" s="28">
        <v>2</v>
      </c>
      <c r="N60" s="28">
        <v>5</v>
      </c>
      <c r="O60" s="28">
        <v>4</v>
      </c>
      <c r="P60" s="28">
        <v>5</v>
      </c>
      <c r="Q60" s="28">
        <v>3</v>
      </c>
      <c r="R60" s="28">
        <v>2</v>
      </c>
      <c r="S60" s="29" t="s">
        <v>127</v>
      </c>
    </row>
    <row r="61" spans="1:19" x14ac:dyDescent="0.3">
      <c r="A61" s="26" t="s">
        <v>181</v>
      </c>
      <c r="B61" s="27">
        <v>41962</v>
      </c>
      <c r="C61" s="28" t="s">
        <v>61</v>
      </c>
      <c r="D61" s="28" t="s">
        <v>164</v>
      </c>
      <c r="E61" s="28" t="s">
        <v>165</v>
      </c>
      <c r="F61" s="28" t="s">
        <v>128</v>
      </c>
      <c r="G61" s="28" t="s">
        <v>169</v>
      </c>
      <c r="H61" s="28">
        <v>3</v>
      </c>
      <c r="I61" s="28">
        <v>5</v>
      </c>
      <c r="J61" s="28">
        <v>3</v>
      </c>
      <c r="K61" s="28">
        <v>2</v>
      </c>
      <c r="L61" s="28">
        <v>4</v>
      </c>
      <c r="M61" s="28">
        <v>2</v>
      </c>
      <c r="N61" s="28">
        <v>1</v>
      </c>
      <c r="O61" s="28">
        <v>4</v>
      </c>
      <c r="P61" s="28">
        <v>2</v>
      </c>
      <c r="Q61" s="28">
        <v>4</v>
      </c>
      <c r="R61" s="28">
        <v>3</v>
      </c>
      <c r="S61" s="29"/>
    </row>
    <row r="62" spans="1:19" x14ac:dyDescent="0.3">
      <c r="A62" s="26" t="s">
        <v>181</v>
      </c>
      <c r="B62" s="27">
        <v>41962</v>
      </c>
      <c r="C62" s="28" t="s">
        <v>61</v>
      </c>
      <c r="D62" s="28" t="s">
        <v>164</v>
      </c>
      <c r="E62" s="28" t="s">
        <v>165</v>
      </c>
      <c r="F62" s="28" t="s">
        <v>128</v>
      </c>
      <c r="G62" s="28" t="s">
        <v>170</v>
      </c>
      <c r="H62" s="28">
        <v>5</v>
      </c>
      <c r="I62" s="28">
        <v>4</v>
      </c>
      <c r="J62" s="28">
        <v>4</v>
      </c>
      <c r="K62" s="28">
        <v>2</v>
      </c>
      <c r="L62" s="28">
        <v>3</v>
      </c>
      <c r="M62" s="28">
        <v>2</v>
      </c>
      <c r="N62" s="28">
        <v>5</v>
      </c>
      <c r="O62" s="28">
        <v>4</v>
      </c>
      <c r="P62" s="28">
        <v>4</v>
      </c>
      <c r="Q62" s="28">
        <v>5</v>
      </c>
      <c r="R62" s="28">
        <v>2</v>
      </c>
      <c r="S62" s="29"/>
    </row>
    <row r="63" spans="1:19" x14ac:dyDescent="0.3">
      <c r="A63" s="26" t="s">
        <v>181</v>
      </c>
      <c r="B63" s="27">
        <v>41964</v>
      </c>
      <c r="C63" s="28" t="s">
        <v>131</v>
      </c>
      <c r="D63" s="28" t="s">
        <v>171</v>
      </c>
      <c r="E63" s="28" t="s">
        <v>172</v>
      </c>
      <c r="F63" s="28" t="s">
        <v>134</v>
      </c>
      <c r="G63" s="28" t="s">
        <v>173</v>
      </c>
      <c r="H63" s="28">
        <v>3</v>
      </c>
      <c r="I63" s="28">
        <v>5</v>
      </c>
      <c r="J63" s="28">
        <v>3</v>
      </c>
      <c r="K63" s="28">
        <v>2</v>
      </c>
      <c r="L63" s="28">
        <v>1</v>
      </c>
      <c r="M63" s="28">
        <v>2</v>
      </c>
      <c r="N63" s="28">
        <v>1</v>
      </c>
      <c r="O63" s="28">
        <v>4</v>
      </c>
      <c r="P63" s="28">
        <v>5</v>
      </c>
      <c r="Q63" s="28">
        <v>1</v>
      </c>
      <c r="R63" s="28">
        <v>5</v>
      </c>
      <c r="S63" s="29" t="s">
        <v>136</v>
      </c>
    </row>
    <row r="64" spans="1:19" x14ac:dyDescent="0.3">
      <c r="A64" s="26" t="s">
        <v>181</v>
      </c>
      <c r="B64" s="27">
        <v>41964</v>
      </c>
      <c r="C64" s="28" t="s">
        <v>131</v>
      </c>
      <c r="D64" s="28" t="s">
        <v>171</v>
      </c>
      <c r="E64" s="28" t="s">
        <v>172</v>
      </c>
      <c r="F64" s="28" t="s">
        <v>134</v>
      </c>
      <c r="G64" s="28" t="s">
        <v>174</v>
      </c>
      <c r="H64" s="28">
        <v>4</v>
      </c>
      <c r="I64" s="28">
        <v>4</v>
      </c>
      <c r="J64" s="28">
        <v>5</v>
      </c>
      <c r="K64" s="28">
        <v>2</v>
      </c>
      <c r="L64" s="28">
        <v>3</v>
      </c>
      <c r="M64" s="28">
        <v>2</v>
      </c>
      <c r="N64" s="28">
        <v>4</v>
      </c>
      <c r="O64" s="28">
        <v>4</v>
      </c>
      <c r="P64" s="28">
        <v>2</v>
      </c>
      <c r="Q64" s="28">
        <v>5</v>
      </c>
      <c r="R64" s="28">
        <v>2</v>
      </c>
      <c r="S64" s="29"/>
    </row>
    <row r="65" spans="1:19" x14ac:dyDescent="0.3">
      <c r="A65" s="26" t="s">
        <v>181</v>
      </c>
      <c r="B65" s="27">
        <v>41964</v>
      </c>
      <c r="C65" s="28" t="s">
        <v>131</v>
      </c>
      <c r="D65" s="28" t="s">
        <v>171</v>
      </c>
      <c r="E65" s="28" t="s">
        <v>172</v>
      </c>
      <c r="F65" s="28" t="s">
        <v>138</v>
      </c>
      <c r="G65" s="28" t="s">
        <v>175</v>
      </c>
      <c r="H65" s="28">
        <v>4</v>
      </c>
      <c r="I65" s="28">
        <v>2</v>
      </c>
      <c r="J65" s="28">
        <v>3</v>
      </c>
      <c r="K65" s="28">
        <v>2</v>
      </c>
      <c r="L65" s="28">
        <v>1</v>
      </c>
      <c r="M65" s="28">
        <v>2</v>
      </c>
      <c r="N65" s="28">
        <v>2</v>
      </c>
      <c r="O65" s="28">
        <v>4</v>
      </c>
      <c r="P65" s="28">
        <v>2</v>
      </c>
      <c r="Q65" s="28">
        <v>2</v>
      </c>
      <c r="R65" s="28">
        <v>2</v>
      </c>
      <c r="S65" s="29"/>
    </row>
    <row r="66" spans="1:19" x14ac:dyDescent="0.3">
      <c r="A66" s="26" t="s">
        <v>181</v>
      </c>
      <c r="B66" s="27">
        <v>41964</v>
      </c>
      <c r="C66" s="28" t="s">
        <v>131</v>
      </c>
      <c r="D66" s="28" t="s">
        <v>171</v>
      </c>
      <c r="E66" s="28" t="s">
        <v>172</v>
      </c>
      <c r="F66" s="28" t="s">
        <v>138</v>
      </c>
      <c r="G66" s="28" t="s">
        <v>176</v>
      </c>
      <c r="H66" s="28">
        <v>1</v>
      </c>
      <c r="I66" s="28">
        <v>2</v>
      </c>
      <c r="J66" s="28">
        <v>1</v>
      </c>
      <c r="K66" s="28">
        <v>2</v>
      </c>
      <c r="L66" s="28">
        <v>6</v>
      </c>
      <c r="M66" s="28">
        <v>2</v>
      </c>
      <c r="N66" s="28">
        <v>1</v>
      </c>
      <c r="O66" s="28">
        <v>1</v>
      </c>
      <c r="P66" s="28">
        <v>4</v>
      </c>
      <c r="Q66" s="28">
        <v>5</v>
      </c>
      <c r="R66" s="28">
        <v>1</v>
      </c>
      <c r="S66" s="29"/>
    </row>
    <row r="67" spans="1:19" x14ac:dyDescent="0.3">
      <c r="A67" s="26" t="s">
        <v>181</v>
      </c>
      <c r="B67" s="27">
        <v>41964</v>
      </c>
      <c r="C67" s="28" t="s">
        <v>131</v>
      </c>
      <c r="D67" s="28" t="s">
        <v>171</v>
      </c>
      <c r="E67" s="28" t="s">
        <v>172</v>
      </c>
      <c r="F67" s="28" t="s">
        <v>141</v>
      </c>
      <c r="G67" s="28" t="s">
        <v>177</v>
      </c>
      <c r="H67" s="28">
        <v>5</v>
      </c>
      <c r="I67" s="28">
        <v>5</v>
      </c>
      <c r="J67" s="28">
        <v>3</v>
      </c>
      <c r="K67" s="28">
        <v>2</v>
      </c>
      <c r="L67" s="28">
        <v>1</v>
      </c>
      <c r="M67" s="28">
        <v>2</v>
      </c>
      <c r="N67" s="28">
        <v>1</v>
      </c>
      <c r="O67" s="28">
        <v>4</v>
      </c>
      <c r="P67" s="28">
        <v>3</v>
      </c>
      <c r="Q67" s="28">
        <v>4</v>
      </c>
      <c r="R67" s="28">
        <v>4</v>
      </c>
      <c r="S67" s="29"/>
    </row>
    <row r="68" spans="1:19" x14ac:dyDescent="0.3">
      <c r="A68" s="26" t="s">
        <v>181</v>
      </c>
      <c r="B68" s="27">
        <v>41964</v>
      </c>
      <c r="C68" s="28" t="s">
        <v>131</v>
      </c>
      <c r="D68" s="28" t="s">
        <v>171</v>
      </c>
      <c r="E68" s="28" t="s">
        <v>172</v>
      </c>
      <c r="F68" s="28" t="s">
        <v>143</v>
      </c>
      <c r="G68" s="28" t="s">
        <v>178</v>
      </c>
      <c r="H68" s="28">
        <v>2</v>
      </c>
      <c r="I68" s="28">
        <v>3</v>
      </c>
      <c r="J68" s="28">
        <v>4</v>
      </c>
      <c r="K68" s="28">
        <v>2</v>
      </c>
      <c r="L68" s="28">
        <v>4</v>
      </c>
      <c r="M68" s="28">
        <v>2</v>
      </c>
      <c r="N68" s="28">
        <v>3</v>
      </c>
      <c r="O68" s="28">
        <v>4</v>
      </c>
      <c r="P68" s="28">
        <v>4</v>
      </c>
      <c r="Q68" s="28">
        <v>3</v>
      </c>
      <c r="R68" s="28">
        <v>5</v>
      </c>
      <c r="S68" s="29"/>
    </row>
    <row r="69" spans="1:19" x14ac:dyDescent="0.3">
      <c r="A69" s="26" t="s">
        <v>181</v>
      </c>
      <c r="B69" s="27">
        <v>41964</v>
      </c>
      <c r="C69" s="28" t="s">
        <v>131</v>
      </c>
      <c r="D69" s="28" t="s">
        <v>171</v>
      </c>
      <c r="E69" s="28" t="s">
        <v>172</v>
      </c>
      <c r="F69" s="28" t="s">
        <v>143</v>
      </c>
      <c r="G69" s="28" t="s">
        <v>179</v>
      </c>
      <c r="H69" s="28">
        <v>4</v>
      </c>
      <c r="I69" s="28">
        <v>2</v>
      </c>
      <c r="J69" s="28">
        <v>3</v>
      </c>
      <c r="K69" s="28">
        <v>2</v>
      </c>
      <c r="L69" s="28">
        <v>3</v>
      </c>
      <c r="M69" s="28">
        <v>2</v>
      </c>
      <c r="N69" s="28">
        <v>2</v>
      </c>
      <c r="O69" s="28">
        <v>4</v>
      </c>
      <c r="P69" s="28">
        <v>3</v>
      </c>
      <c r="Q69" s="28">
        <v>4</v>
      </c>
      <c r="R69" s="28">
        <v>5</v>
      </c>
      <c r="S69" s="29"/>
    </row>
    <row r="70" spans="1:19" x14ac:dyDescent="0.3">
      <c r="A70" s="41" t="s">
        <v>181</v>
      </c>
      <c r="B70" s="42">
        <v>41964</v>
      </c>
      <c r="C70" s="43" t="s">
        <v>131</v>
      </c>
      <c r="D70" s="43" t="s">
        <v>171</v>
      </c>
      <c r="E70" s="43" t="s">
        <v>172</v>
      </c>
      <c r="F70" s="43" t="s">
        <v>146</v>
      </c>
      <c r="G70" s="43" t="s">
        <v>180</v>
      </c>
      <c r="H70" s="43">
        <v>5</v>
      </c>
      <c r="I70" s="43">
        <v>4</v>
      </c>
      <c r="J70" s="43">
        <v>5</v>
      </c>
      <c r="K70" s="43">
        <v>3</v>
      </c>
      <c r="L70" s="43">
        <v>4</v>
      </c>
      <c r="M70" s="43">
        <v>5</v>
      </c>
      <c r="N70" s="43">
        <v>3</v>
      </c>
      <c r="O70" s="43">
        <v>4</v>
      </c>
      <c r="P70" s="43">
        <v>5</v>
      </c>
      <c r="Q70" s="43">
        <v>6</v>
      </c>
      <c r="R70" s="43">
        <v>5</v>
      </c>
      <c r="S70" s="44"/>
    </row>
  </sheetData>
  <phoneticPr fontId="1" type="noConversion"/>
  <pageMargins left="0.75" right="0.75" top="1" bottom="1" header="0.5" footer="0.5"/>
  <headerFooter alignWithMargin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5"/>
  <sheetViews>
    <sheetView showGridLines="0" workbookViewId="0">
      <pane ySplit="4" topLeftCell="A5" activePane="bottomLeft" state="frozen"/>
      <selection activeCell="B2" sqref="B2"/>
      <selection pane="bottomLeft" activeCell="H23" sqref="H23"/>
    </sheetView>
  </sheetViews>
  <sheetFormatPr defaultRowHeight="13.5" x14ac:dyDescent="0.3"/>
  <cols>
    <col min="1" max="1" width="9" style="2"/>
    <col min="2" max="2" width="49.875" style="2" customWidth="1"/>
    <col min="3" max="3" width="10.25" style="2" customWidth="1"/>
    <col min="4" max="257" width="9" style="2"/>
    <col min="258" max="258" width="52.5" style="2" bestFit="1" customWidth="1"/>
    <col min="259" max="513" width="9" style="2"/>
    <col min="514" max="514" width="52.5" style="2" bestFit="1" customWidth="1"/>
    <col min="515" max="769" width="9" style="2"/>
    <col min="770" max="770" width="52.5" style="2" bestFit="1" customWidth="1"/>
    <col min="771" max="1025" width="9" style="2"/>
    <col min="1026" max="1026" width="52.5" style="2" bestFit="1" customWidth="1"/>
    <col min="1027" max="1281" width="9" style="2"/>
    <col min="1282" max="1282" width="52.5" style="2" bestFit="1" customWidth="1"/>
    <col min="1283" max="1537" width="9" style="2"/>
    <col min="1538" max="1538" width="52.5" style="2" bestFit="1" customWidth="1"/>
    <col min="1539" max="1793" width="9" style="2"/>
    <col min="1794" max="1794" width="52.5" style="2" bestFit="1" customWidth="1"/>
    <col min="1795" max="2049" width="9" style="2"/>
    <col min="2050" max="2050" width="52.5" style="2" bestFit="1" customWidth="1"/>
    <col min="2051" max="2305" width="9" style="2"/>
    <col min="2306" max="2306" width="52.5" style="2" bestFit="1" customWidth="1"/>
    <col min="2307" max="2561" width="9" style="2"/>
    <col min="2562" max="2562" width="52.5" style="2" bestFit="1" customWidth="1"/>
    <col min="2563" max="2817" width="9" style="2"/>
    <col min="2818" max="2818" width="52.5" style="2" bestFit="1" customWidth="1"/>
    <col min="2819" max="3073" width="9" style="2"/>
    <col min="3074" max="3074" width="52.5" style="2" bestFit="1" customWidth="1"/>
    <col min="3075" max="3329" width="9" style="2"/>
    <col min="3330" max="3330" width="52.5" style="2" bestFit="1" customWidth="1"/>
    <col min="3331" max="3585" width="9" style="2"/>
    <col min="3586" max="3586" width="52.5" style="2" bestFit="1" customWidth="1"/>
    <col min="3587" max="3841" width="9" style="2"/>
    <col min="3842" max="3842" width="52.5" style="2" bestFit="1" customWidth="1"/>
    <col min="3843" max="4097" width="9" style="2"/>
    <col min="4098" max="4098" width="52.5" style="2" bestFit="1" customWidth="1"/>
    <col min="4099" max="4353" width="9" style="2"/>
    <col min="4354" max="4354" width="52.5" style="2" bestFit="1" customWidth="1"/>
    <col min="4355" max="4609" width="9" style="2"/>
    <col min="4610" max="4610" width="52.5" style="2" bestFit="1" customWidth="1"/>
    <col min="4611" max="4865" width="9" style="2"/>
    <col min="4866" max="4866" width="52.5" style="2" bestFit="1" customWidth="1"/>
    <col min="4867" max="5121" width="9" style="2"/>
    <col min="5122" max="5122" width="52.5" style="2" bestFit="1" customWidth="1"/>
    <col min="5123" max="5377" width="9" style="2"/>
    <col min="5378" max="5378" width="52.5" style="2" bestFit="1" customWidth="1"/>
    <col min="5379" max="5633" width="9" style="2"/>
    <col min="5634" max="5634" width="52.5" style="2" bestFit="1" customWidth="1"/>
    <col min="5635" max="5889" width="9" style="2"/>
    <col min="5890" max="5890" width="52.5" style="2" bestFit="1" customWidth="1"/>
    <col min="5891" max="6145" width="9" style="2"/>
    <col min="6146" max="6146" width="52.5" style="2" bestFit="1" customWidth="1"/>
    <col min="6147" max="6401" width="9" style="2"/>
    <col min="6402" max="6402" width="52.5" style="2" bestFit="1" customWidth="1"/>
    <col min="6403" max="6657" width="9" style="2"/>
    <col min="6658" max="6658" width="52.5" style="2" bestFit="1" customWidth="1"/>
    <col min="6659" max="6913" width="9" style="2"/>
    <col min="6914" max="6914" width="52.5" style="2" bestFit="1" customWidth="1"/>
    <col min="6915" max="7169" width="9" style="2"/>
    <col min="7170" max="7170" width="52.5" style="2" bestFit="1" customWidth="1"/>
    <col min="7171" max="7425" width="9" style="2"/>
    <col min="7426" max="7426" width="52.5" style="2" bestFit="1" customWidth="1"/>
    <col min="7427" max="7681" width="9" style="2"/>
    <col min="7682" max="7682" width="52.5" style="2" bestFit="1" customWidth="1"/>
    <col min="7683" max="7937" width="9" style="2"/>
    <col min="7938" max="7938" width="52.5" style="2" bestFit="1" customWidth="1"/>
    <col min="7939" max="8193" width="9" style="2"/>
    <col min="8194" max="8194" width="52.5" style="2" bestFit="1" customWidth="1"/>
    <col min="8195" max="8449" width="9" style="2"/>
    <col min="8450" max="8450" width="52.5" style="2" bestFit="1" customWidth="1"/>
    <col min="8451" max="8705" width="9" style="2"/>
    <col min="8706" max="8706" width="52.5" style="2" bestFit="1" customWidth="1"/>
    <col min="8707" max="8961" width="9" style="2"/>
    <col min="8962" max="8962" width="52.5" style="2" bestFit="1" customWidth="1"/>
    <col min="8963" max="9217" width="9" style="2"/>
    <col min="9218" max="9218" width="52.5" style="2" bestFit="1" customWidth="1"/>
    <col min="9219" max="9473" width="9" style="2"/>
    <col min="9474" max="9474" width="52.5" style="2" bestFit="1" customWidth="1"/>
    <col min="9475" max="9729" width="9" style="2"/>
    <col min="9730" max="9730" width="52.5" style="2" bestFit="1" customWidth="1"/>
    <col min="9731" max="9985" width="9" style="2"/>
    <col min="9986" max="9986" width="52.5" style="2" bestFit="1" customWidth="1"/>
    <col min="9987" max="10241" width="9" style="2"/>
    <col min="10242" max="10242" width="52.5" style="2" bestFit="1" customWidth="1"/>
    <col min="10243" max="10497" width="9" style="2"/>
    <col min="10498" max="10498" width="52.5" style="2" bestFit="1" customWidth="1"/>
    <col min="10499" max="10753" width="9" style="2"/>
    <col min="10754" max="10754" width="52.5" style="2" bestFit="1" customWidth="1"/>
    <col min="10755" max="11009" width="9" style="2"/>
    <col min="11010" max="11010" width="52.5" style="2" bestFit="1" customWidth="1"/>
    <col min="11011" max="11265" width="9" style="2"/>
    <col min="11266" max="11266" width="52.5" style="2" bestFit="1" customWidth="1"/>
    <col min="11267" max="11521" width="9" style="2"/>
    <col min="11522" max="11522" width="52.5" style="2" bestFit="1" customWidth="1"/>
    <col min="11523" max="11777" width="9" style="2"/>
    <col min="11778" max="11778" width="52.5" style="2" bestFit="1" customWidth="1"/>
    <col min="11779" max="12033" width="9" style="2"/>
    <col min="12034" max="12034" width="52.5" style="2" bestFit="1" customWidth="1"/>
    <col min="12035" max="12289" width="9" style="2"/>
    <col min="12290" max="12290" width="52.5" style="2" bestFit="1" customWidth="1"/>
    <col min="12291" max="12545" width="9" style="2"/>
    <col min="12546" max="12546" width="52.5" style="2" bestFit="1" customWidth="1"/>
    <col min="12547" max="12801" width="9" style="2"/>
    <col min="12802" max="12802" width="52.5" style="2" bestFit="1" customWidth="1"/>
    <col min="12803" max="13057" width="9" style="2"/>
    <col min="13058" max="13058" width="52.5" style="2" bestFit="1" customWidth="1"/>
    <col min="13059" max="13313" width="9" style="2"/>
    <col min="13314" max="13314" width="52.5" style="2" bestFit="1" customWidth="1"/>
    <col min="13315" max="13569" width="9" style="2"/>
    <col min="13570" max="13570" width="52.5" style="2" bestFit="1" customWidth="1"/>
    <col min="13571" max="13825" width="9" style="2"/>
    <col min="13826" max="13826" width="52.5" style="2" bestFit="1" customWidth="1"/>
    <col min="13827" max="14081" width="9" style="2"/>
    <col min="14082" max="14082" width="52.5" style="2" bestFit="1" customWidth="1"/>
    <col min="14083" max="14337" width="9" style="2"/>
    <col min="14338" max="14338" width="52.5" style="2" bestFit="1" customWidth="1"/>
    <col min="14339" max="14593" width="9" style="2"/>
    <col min="14594" max="14594" width="52.5" style="2" bestFit="1" customWidth="1"/>
    <col min="14595" max="14849" width="9" style="2"/>
    <col min="14850" max="14850" width="52.5" style="2" bestFit="1" customWidth="1"/>
    <col min="14851" max="15105" width="9" style="2"/>
    <col min="15106" max="15106" width="52.5" style="2" bestFit="1" customWidth="1"/>
    <col min="15107" max="15361" width="9" style="2"/>
    <col min="15362" max="15362" width="52.5" style="2" bestFit="1" customWidth="1"/>
    <col min="15363" max="15617" width="9" style="2"/>
    <col min="15618" max="15618" width="52.5" style="2" bestFit="1" customWidth="1"/>
    <col min="15619" max="15873" width="9" style="2"/>
    <col min="15874" max="15874" width="52.5" style="2" bestFit="1" customWidth="1"/>
    <col min="15875" max="16129" width="9" style="2"/>
    <col min="16130" max="16130" width="52.5" style="2" bestFit="1" customWidth="1"/>
    <col min="16131" max="16384" width="9" style="2"/>
  </cols>
  <sheetData>
    <row r="1" spans="1:3" s="17" customFormat="1" x14ac:dyDescent="0.3">
      <c r="A1" s="17" t="s">
        <v>53</v>
      </c>
    </row>
    <row r="2" spans="1:3" s="17" customFormat="1" x14ac:dyDescent="0.3">
      <c r="A2" s="17" t="s">
        <v>56</v>
      </c>
    </row>
    <row r="4" spans="1:3" ht="18.75" customHeight="1" x14ac:dyDescent="0.3">
      <c r="A4" s="11" t="s">
        <v>52</v>
      </c>
      <c r="B4" s="12" t="s">
        <v>28</v>
      </c>
      <c r="C4" s="13" t="s">
        <v>29</v>
      </c>
    </row>
    <row r="5" spans="1:3" ht="18.75" customHeight="1" x14ac:dyDescent="0.3">
      <c r="A5" s="9">
        <v>1</v>
      </c>
      <c r="B5" s="5" t="s">
        <v>41</v>
      </c>
      <c r="C5" s="10" t="s">
        <v>30</v>
      </c>
    </row>
    <row r="6" spans="1:3" ht="18.75" customHeight="1" x14ac:dyDescent="0.3">
      <c r="A6" s="9">
        <v>2</v>
      </c>
      <c r="B6" s="5" t="s">
        <v>42</v>
      </c>
      <c r="C6" s="10" t="s">
        <v>31</v>
      </c>
    </row>
    <row r="7" spans="1:3" ht="18.75" customHeight="1" x14ac:dyDescent="0.3">
      <c r="A7" s="9">
        <v>3</v>
      </c>
      <c r="B7" s="5" t="s">
        <v>43</v>
      </c>
      <c r="C7" s="10" t="s">
        <v>32</v>
      </c>
    </row>
    <row r="8" spans="1:3" ht="18.75" customHeight="1" x14ac:dyDescent="0.3">
      <c r="A8" s="9">
        <v>4</v>
      </c>
      <c r="B8" s="5" t="s">
        <v>44</v>
      </c>
      <c r="C8" s="10" t="s">
        <v>33</v>
      </c>
    </row>
    <row r="9" spans="1:3" ht="18.75" customHeight="1" x14ac:dyDescent="0.3">
      <c r="A9" s="9">
        <v>5</v>
      </c>
      <c r="B9" s="5" t="s">
        <v>45</v>
      </c>
      <c r="C9" s="10" t="s">
        <v>34</v>
      </c>
    </row>
    <row r="10" spans="1:3" ht="18.75" customHeight="1" x14ac:dyDescent="0.3">
      <c r="A10" s="9">
        <v>6</v>
      </c>
      <c r="B10" s="5" t="s">
        <v>46</v>
      </c>
      <c r="C10" s="10" t="s">
        <v>35</v>
      </c>
    </row>
    <row r="11" spans="1:3" ht="18.75" customHeight="1" x14ac:dyDescent="0.3">
      <c r="A11" s="9">
        <v>7</v>
      </c>
      <c r="B11" s="5" t="s">
        <v>47</v>
      </c>
      <c r="C11" s="10" t="s">
        <v>36</v>
      </c>
    </row>
    <row r="12" spans="1:3" ht="18.75" customHeight="1" x14ac:dyDescent="0.3">
      <c r="A12" s="9">
        <v>8</v>
      </c>
      <c r="B12" s="5" t="s">
        <v>48</v>
      </c>
      <c r="C12" s="10" t="s">
        <v>37</v>
      </c>
    </row>
    <row r="13" spans="1:3" ht="18.75" customHeight="1" x14ac:dyDescent="0.3">
      <c r="A13" s="9">
        <v>9</v>
      </c>
      <c r="B13" s="5" t="s">
        <v>49</v>
      </c>
      <c r="C13" s="10" t="s">
        <v>38</v>
      </c>
    </row>
    <row r="14" spans="1:3" ht="18.75" customHeight="1" x14ac:dyDescent="0.3">
      <c r="A14" s="9">
        <v>10</v>
      </c>
      <c r="B14" s="5" t="s">
        <v>50</v>
      </c>
      <c r="C14" s="10" t="s">
        <v>39</v>
      </c>
    </row>
    <row r="15" spans="1:3" ht="18.75" customHeight="1" x14ac:dyDescent="0.3">
      <c r="A15" s="14">
        <v>11</v>
      </c>
      <c r="B15" s="15" t="s">
        <v>51</v>
      </c>
      <c r="C15" s="16" t="s">
        <v>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4:A11"/>
  <sheetViews>
    <sheetView workbookViewId="0">
      <selection activeCell="I20" sqref="I20"/>
    </sheetView>
  </sheetViews>
  <sheetFormatPr defaultRowHeight="16.5" x14ac:dyDescent="0.3"/>
  <sheetData>
    <row r="4" spans="1:1" x14ac:dyDescent="0.3">
      <c r="A4" s="8" t="s">
        <v>12</v>
      </c>
    </row>
    <row r="5" spans="1:1" x14ac:dyDescent="0.3">
      <c r="A5" s="28" t="s">
        <v>71</v>
      </c>
    </row>
    <row r="6" spans="1:1" x14ac:dyDescent="0.3">
      <c r="A6" s="28" t="s">
        <v>73</v>
      </c>
    </row>
    <row r="7" spans="1:1" x14ac:dyDescent="0.3">
      <c r="A7" s="28" t="s">
        <v>74</v>
      </c>
    </row>
    <row r="8" spans="1:1" x14ac:dyDescent="0.3">
      <c r="A8" s="28"/>
    </row>
    <row r="9" spans="1:1" x14ac:dyDescent="0.3">
      <c r="A9" s="28"/>
    </row>
    <row r="10" spans="1:1" x14ac:dyDescent="0.3">
      <c r="A10" s="28"/>
    </row>
    <row r="11" spans="1:1" x14ac:dyDescent="0.3">
      <c r="A11" s="28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3</vt:i4>
      </vt:variant>
    </vt:vector>
  </HeadingPairs>
  <TitlesOfParts>
    <vt:vector size="7" baseType="lpstr">
      <vt:lpstr>평가분석</vt:lpstr>
      <vt:lpstr>설문자료</vt:lpstr>
      <vt:lpstr>문항내용</vt:lpstr>
      <vt:lpstr>@작업시트</vt:lpstr>
      <vt:lpstr>'@작업시트'!Extract</vt:lpstr>
      <vt:lpstr>nm강사</vt:lpstr>
      <vt:lpstr>nm강사_출력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2014-05-17T17:52:36Z</dcterms:modified>
  <cp:category>엑셀 매크로</cp:category>
</cp:coreProperties>
</file>