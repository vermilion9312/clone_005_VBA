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11장\"/>
    </mc:Choice>
  </mc:AlternateContent>
  <bookViews>
    <workbookView xWindow="0" yWindow="0" windowWidth="25200" windowHeight="10890"/>
  </bookViews>
  <sheets>
    <sheet name="통계" sheetId="2" r:id="rId1"/>
    <sheet name="수하물통계" sheetId="3" r:id="rId2"/>
    <sheet name="Sheet1" sheetId="1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3" l="1"/>
  <c r="E8" i="3"/>
  <c r="F7" i="3"/>
  <c r="E7" i="3"/>
  <c r="D16" i="2" s="1"/>
  <c r="F6" i="3"/>
  <c r="E6" i="3"/>
  <c r="D15" i="2" s="1"/>
  <c r="F5" i="3"/>
  <c r="E5" i="3"/>
  <c r="F4" i="3"/>
  <c r="E4" i="3"/>
  <c r="D14" i="2"/>
  <c r="C14" i="2"/>
  <c r="D13" i="2"/>
  <c r="C13" i="2"/>
  <c r="D12" i="2"/>
  <c r="C12" i="2"/>
  <c r="D10" i="2"/>
  <c r="C10" i="2"/>
  <c r="D9" i="2"/>
  <c r="C9" i="2"/>
  <c r="D8" i="2"/>
  <c r="C8" i="2"/>
  <c r="C11" i="2" l="1"/>
  <c r="C15" i="2"/>
  <c r="D11" i="2"/>
  <c r="C16" i="2"/>
  <c r="D17" i="2" l="1"/>
  <c r="F11" i="2" s="1"/>
  <c r="C17" i="2"/>
  <c r="E11" i="2" l="1"/>
  <c r="E10" i="2"/>
  <c r="E15" i="2"/>
  <c r="E13" i="2"/>
  <c r="E12" i="2"/>
  <c r="E8" i="2"/>
  <c r="E9" i="2"/>
  <c r="E14" i="2"/>
  <c r="F14" i="2"/>
  <c r="F12" i="2"/>
  <c r="F10" i="2"/>
  <c r="F8" i="2"/>
  <c r="F13" i="2"/>
  <c r="F9" i="2"/>
  <c r="F15" i="2"/>
  <c r="F16" i="2"/>
  <c r="E16" i="2"/>
  <c r="E17" i="2" l="1"/>
  <c r="F17" i="2"/>
</calcChain>
</file>

<file path=xl/sharedStrings.xml><?xml version="1.0" encoding="utf-8"?>
<sst xmlns="http://schemas.openxmlformats.org/spreadsheetml/2006/main" count="2696" uniqueCount="206">
  <si>
    <t>월별 발송 및 운임 요약</t>
    <phoneticPr fontId="1" type="noConversion"/>
  </si>
  <si>
    <t>배송연도</t>
    <phoneticPr fontId="1" type="noConversion"/>
  </si>
  <si>
    <t>배송월</t>
    <phoneticPr fontId="1" type="noConversion"/>
  </si>
  <si>
    <t>직원</t>
  </si>
  <si>
    <t>발송회수</t>
    <phoneticPr fontId="1" type="noConversion"/>
  </si>
  <si>
    <t>운임합계</t>
    <phoneticPr fontId="1" type="noConversion"/>
  </si>
  <si>
    <t>발송비율</t>
    <phoneticPr fontId="1" type="noConversion"/>
  </si>
  <si>
    <t>운임비율</t>
    <phoneticPr fontId="1" type="noConversion"/>
  </si>
  <si>
    <t>김덕훈</t>
  </si>
  <si>
    <t>김소미</t>
  </si>
  <si>
    <t>김찬진</t>
  </si>
  <si>
    <t>선하라</t>
  </si>
  <si>
    <t>안정훈</t>
  </si>
  <si>
    <t>오영수</t>
  </si>
  <si>
    <t>유가을</t>
  </si>
  <si>
    <t>윤대현</t>
  </si>
  <si>
    <t>최소라</t>
  </si>
  <si>
    <t>합계</t>
    <phoneticPr fontId="1" type="noConversion"/>
  </si>
  <si>
    <t>배송일지(총괄)</t>
    <phoneticPr fontId="1" type="noConversion"/>
  </si>
  <si>
    <t>주문 번호</t>
  </si>
  <si>
    <t>고객</t>
  </si>
  <si>
    <t>배송일</t>
    <phoneticPr fontId="1" type="noConversion"/>
  </si>
  <si>
    <t>연도</t>
    <phoneticPr fontId="1" type="noConversion"/>
  </si>
  <si>
    <t>월</t>
    <phoneticPr fontId="1" type="noConversion"/>
  </si>
  <si>
    <t>업체</t>
    <phoneticPr fontId="1" type="noConversion"/>
  </si>
  <si>
    <t>운임</t>
  </si>
  <si>
    <t>배송지</t>
    <phoneticPr fontId="1" type="noConversion"/>
  </si>
  <si>
    <t>삼선 무역</t>
  </si>
  <si>
    <t>한일 특급</t>
  </si>
  <si>
    <t>호계동 11</t>
  </si>
  <si>
    <t>이화 무역</t>
  </si>
  <si>
    <t>야탑동 77</t>
  </si>
  <si>
    <t>조선 무역</t>
  </si>
  <si>
    <t>동구 자양동 34-16</t>
  </si>
  <si>
    <t>한남 상사</t>
  </si>
  <si>
    <t>서대문구 창천동 167-3</t>
  </si>
  <si>
    <t>장미 백화점</t>
  </si>
  <si>
    <t>경현동 160</t>
  </si>
  <si>
    <t>신세계 통상</t>
  </si>
  <si>
    <t>국제특송</t>
  </si>
  <si>
    <t>중구 도원동 507-16</t>
  </si>
  <si>
    <t>태강 교역</t>
  </si>
  <si>
    <t>사하구 신평동 701-29</t>
  </si>
  <si>
    <t>삼일</t>
  </si>
  <si>
    <t>마포구 공덕 1동 81</t>
  </si>
  <si>
    <t>은성 상사</t>
  </si>
  <si>
    <t>권선구 세류 3동 116</t>
  </si>
  <si>
    <t>동양 무역</t>
  </si>
  <si>
    <t>태평 3동 120-1</t>
  </si>
  <si>
    <t>동신 상사</t>
  </si>
  <si>
    <t>덕진구 고랑동 290</t>
  </si>
  <si>
    <t>정금 상사</t>
  </si>
  <si>
    <t>서구 도마동 110-6</t>
  </si>
  <si>
    <t>미성 백화점</t>
  </si>
  <si>
    <t>서구 연희동 400-16</t>
  </si>
  <si>
    <t>삼양 상사</t>
  </si>
  <si>
    <t>용산구서빙고동 111-16</t>
  </si>
  <si>
    <t>경동 무역</t>
  </si>
  <si>
    <t>중구 광희동 1가 100-41</t>
  </si>
  <si>
    <t>천지 교역</t>
  </si>
  <si>
    <t>마포구 동교동 211-11</t>
  </si>
  <si>
    <t>신세기 상사</t>
  </si>
  <si>
    <t>서구가좌 1동 7</t>
  </si>
  <si>
    <t>월드 링크</t>
  </si>
  <si>
    <t>무릉동 171-3</t>
  </si>
  <si>
    <t>글로리아 백화점</t>
  </si>
  <si>
    <t>강남구 개포동 135-24</t>
  </si>
  <si>
    <t>칠성 상사</t>
  </si>
  <si>
    <t>중앙로 3가 150-1</t>
  </si>
  <si>
    <t>삼왕 통상</t>
  </si>
  <si>
    <t>중구 답동 78</t>
  </si>
  <si>
    <t>금강</t>
  </si>
  <si>
    <t>은행동 425-12</t>
  </si>
  <si>
    <t>한성 백화점</t>
  </si>
  <si>
    <t>학성동 18</t>
  </si>
  <si>
    <t>오성 통상</t>
  </si>
  <si>
    <t>갈현동 232-8</t>
  </si>
  <si>
    <t>성화 식품</t>
  </si>
  <si>
    <t>강서구 등촌동 106-3</t>
  </si>
  <si>
    <t>협우 상사</t>
  </si>
  <si>
    <t>서대문구 남가좌 1동 121</t>
  </si>
  <si>
    <t>신흥 교역</t>
  </si>
  <si>
    <t>동대문구 신설동 721-11</t>
  </si>
  <si>
    <t>알프스 무역</t>
  </si>
  <si>
    <t>강정동 718-1</t>
  </si>
  <si>
    <t>서주 무역</t>
  </si>
  <si>
    <t>용산구 갈월동 116-7</t>
  </si>
  <si>
    <t>샤론 통상</t>
  </si>
  <si>
    <t>동구 범일 3동 14-1</t>
  </si>
  <si>
    <t>아틀란티스 통상</t>
  </si>
  <si>
    <t>양천구 신정 3동 241-16</t>
  </si>
  <si>
    <t>동남 상사</t>
  </si>
  <si>
    <t>강남구 청담동 115</t>
  </si>
  <si>
    <t>성신 교역</t>
  </si>
  <si>
    <t>영등포구 여의도동 171-3</t>
  </si>
  <si>
    <t>한미 식품</t>
  </si>
  <si>
    <t>중구 광희동 1가 188-3</t>
  </si>
  <si>
    <t>광성 교역</t>
  </si>
  <si>
    <t>도봉구 방학 3동 18</t>
  </si>
  <si>
    <t>동광 통상</t>
  </si>
  <si>
    <t>강서구 내발산동 318</t>
  </si>
  <si>
    <t>한진 교역</t>
  </si>
  <si>
    <t>중구 정동 273-11</t>
  </si>
  <si>
    <t>TGIF</t>
  </si>
  <si>
    <t>구로구 오류 1동 101</t>
  </si>
  <si>
    <t>국제 무역</t>
  </si>
  <si>
    <t>동작구 흑석 3동 140-3</t>
  </si>
  <si>
    <t>미주 상사</t>
  </si>
  <si>
    <t>용산구 동자동 181-7</t>
  </si>
  <si>
    <t>크리스탈 교역</t>
  </si>
  <si>
    <t>비전 1동 118-36</t>
  </si>
  <si>
    <t>베네디스 유통</t>
  </si>
  <si>
    <t>영등포구 당산동 3가 16</t>
  </si>
  <si>
    <t>한일 상사</t>
  </si>
  <si>
    <t>양천구신월 3동 67-18</t>
  </si>
  <si>
    <t>성진 인터내셔널</t>
  </si>
  <si>
    <t>용산구 용문동 81-3</t>
  </si>
  <si>
    <t>태흥 무역</t>
  </si>
  <si>
    <t>서대문구 미근동 11-7</t>
  </si>
  <si>
    <t>HQ 무역</t>
  </si>
  <si>
    <t>생연 1동 416-1</t>
  </si>
  <si>
    <t>캘리포니아</t>
  </si>
  <si>
    <t>종로구 송현동 87-14</t>
  </si>
  <si>
    <t>신천지 통상</t>
  </si>
  <si>
    <t>종로구 송월동 101</t>
  </si>
  <si>
    <t>우주 상사</t>
  </si>
  <si>
    <t>도봉구 미아 7동 334-7</t>
  </si>
  <si>
    <t>경성 트레이딩</t>
  </si>
  <si>
    <t>남구 연수동 208-16</t>
  </si>
  <si>
    <t>흑진주 백화점</t>
  </si>
  <si>
    <t>동작구 노량진 1동 71</t>
  </si>
  <si>
    <t>해바라기 백화점</t>
  </si>
  <si>
    <t>도봉구 창 1동 218-16</t>
  </si>
  <si>
    <t>원창</t>
  </si>
  <si>
    <t>서초구 방배동 883-11</t>
  </si>
  <si>
    <t>YH 무역</t>
  </si>
  <si>
    <t>강제동 57-11</t>
  </si>
  <si>
    <t>혜성 백화점</t>
  </si>
  <si>
    <t>강남구 대치동 315-11</t>
  </si>
  <si>
    <t>동성 직배</t>
  </si>
  <si>
    <t>서대문구 북아현 3동 36-6</t>
  </si>
  <si>
    <t>프랑소아 백화점</t>
  </si>
  <si>
    <t>건입동 111-16</t>
  </si>
  <si>
    <t>엘르</t>
  </si>
  <si>
    <t>동대문구 전농1동 742-3</t>
  </si>
  <si>
    <t>신성 식품</t>
  </si>
  <si>
    <t>남동구 간석동 264-11</t>
  </si>
  <si>
    <t>삼영 식품</t>
  </si>
  <si>
    <t>가학동 301</t>
  </si>
  <si>
    <t>미림 백화점</t>
  </si>
  <si>
    <t>수택동 435</t>
  </si>
  <si>
    <t>개성 트레이딩</t>
  </si>
  <si>
    <t>고잔동 16</t>
  </si>
  <si>
    <t>대성 교역</t>
  </si>
  <si>
    <t>서초구 방배본동 102-3</t>
  </si>
  <si>
    <t>금화 유통</t>
  </si>
  <si>
    <t>부산진구 양정 1동 462-77</t>
  </si>
  <si>
    <t>동방 무역</t>
  </si>
  <si>
    <t>마포구 대흥동 77-5</t>
  </si>
  <si>
    <t>정문 상사</t>
  </si>
  <si>
    <t>송파구 마천동 120</t>
  </si>
  <si>
    <t>세일 상사</t>
  </si>
  <si>
    <t>남구 소사 3동 146</t>
  </si>
  <si>
    <t>유미 백화점</t>
  </si>
  <si>
    <t>중앙동 427-10</t>
  </si>
  <si>
    <t>동도 교역</t>
  </si>
  <si>
    <t>금정구 청룡동 168-14</t>
  </si>
  <si>
    <t>몽블랑 백화점</t>
  </si>
  <si>
    <t>종로구 내자동 190-53</t>
  </si>
  <si>
    <t>진흥</t>
  </si>
  <si>
    <t>성북구 길음동 136-11</t>
  </si>
  <si>
    <t>스타 상사</t>
  </si>
  <si>
    <t>강서구 화곡 1동 77-3</t>
  </si>
  <si>
    <t>극동 무역</t>
  </si>
  <si>
    <t>송파구 잠실동 220</t>
  </si>
  <si>
    <t>대륙 통운</t>
  </si>
  <si>
    <t>사하라 통상</t>
  </si>
  <si>
    <t>중구 남산동 3가 43</t>
  </si>
  <si>
    <t>새롬 교역</t>
  </si>
  <si>
    <t>종로구 와룡동 336</t>
  </si>
  <si>
    <t>게이트웨이 통상</t>
  </si>
  <si>
    <t>동구 신흥동 75-3</t>
  </si>
  <si>
    <t>한미 교역</t>
  </si>
  <si>
    <t>동작구 대방동 36-8</t>
  </si>
  <si>
    <t>산타페</t>
  </si>
  <si>
    <t>중구 원미 1동 120-16</t>
  </si>
  <si>
    <t>ITM</t>
  </si>
  <si>
    <t>소하동 11-3</t>
  </si>
  <si>
    <t>대진 상사</t>
  </si>
  <si>
    <t>노원구 공릉동 178</t>
  </si>
  <si>
    <t>언더우드 상사</t>
  </si>
  <si>
    <t>강서구 오쇠동 124-7</t>
  </si>
  <si>
    <t>아성 교역</t>
  </si>
  <si>
    <t>동작구 신대방동 10-6</t>
  </si>
  <si>
    <t>양정 물산</t>
  </si>
  <si>
    <t>강동구 성내동 143</t>
  </si>
  <si>
    <t>세준 통상</t>
  </si>
  <si>
    <t>구로구 가리봉 1동 22-1</t>
  </si>
  <si>
    <t>신영상사</t>
  </si>
  <si>
    <t>가장동 78-1</t>
  </si>
  <si>
    <t>삼화 상사</t>
  </si>
  <si>
    <t>부산진구 당감 3동 611-3</t>
  </si>
  <si>
    <t>백조 백화점</t>
  </si>
  <si>
    <t>외삼미동 123-8</t>
  </si>
  <si>
    <t>대광 상사</t>
  </si>
  <si>
    <t>남동구 동춘동 78-6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</si>
</sst>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_(* #,##0_);_(* \(#,##0\);_(* &quot;-&quot;_);_(@_)"/>
    <numFmt numFmtId="177" formatCode="0.0%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6"/>
      <color theme="3"/>
      <name val="맑은 고딕"/>
      <family val="2"/>
      <charset val="129"/>
      <scheme val="major"/>
    </font>
    <font>
      <b/>
      <sz val="11"/>
      <color theme="1"/>
      <name val="맑은 고딕"/>
      <family val="3"/>
      <charset val="129"/>
      <scheme val="minor"/>
    </font>
    <font>
      <b/>
      <sz val="12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6"/>
      <color theme="3"/>
      <name val="맑은 고딕"/>
      <family val="3"/>
      <charset val="129"/>
      <scheme val="maj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theme="7"/>
      </patternFill>
    </fill>
    <fill>
      <patternFill patternType="solid">
        <fgColor theme="9" tint="0.39997558519241921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3" tint="-0.24994659260841701"/>
      </top>
      <bottom style="medium">
        <color theme="3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7"/>
      </left>
      <right/>
      <top style="thin">
        <color theme="7"/>
      </top>
      <bottom style="thin">
        <color theme="7"/>
      </bottom>
      <diagonal/>
    </border>
    <border>
      <left/>
      <right/>
      <top style="thin">
        <color theme="7"/>
      </top>
      <bottom style="thin">
        <color theme="7"/>
      </bottom>
      <diagonal/>
    </border>
    <border>
      <left/>
      <right style="thin">
        <color theme="7"/>
      </right>
      <top style="thin">
        <color theme="7"/>
      </top>
      <bottom style="thin">
        <color theme="7"/>
      </bottom>
      <diagonal/>
    </border>
  </borders>
  <cellStyleXfs count="4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6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176" fontId="9" fillId="0" borderId="2" xfId="1" applyFont="1" applyBorder="1">
      <alignment vertical="center"/>
    </xf>
    <xf numFmtId="177" fontId="9" fillId="0" borderId="2" xfId="2" applyNumberFormat="1" applyFont="1" applyBorder="1">
      <alignment vertical="center"/>
    </xf>
    <xf numFmtId="0" fontId="9" fillId="4" borderId="2" xfId="0" applyFont="1" applyFill="1" applyBorder="1" applyAlignment="1">
      <alignment horizontal="center" vertical="center"/>
    </xf>
    <xf numFmtId="176" fontId="9" fillId="4" borderId="2" xfId="1" applyFont="1" applyFill="1" applyBorder="1">
      <alignment vertical="center"/>
    </xf>
    <xf numFmtId="9" fontId="9" fillId="4" borderId="2" xfId="2" applyFont="1" applyFill="1" applyBorder="1">
      <alignment vertical="center"/>
    </xf>
    <xf numFmtId="14" fontId="0" fillId="0" borderId="0" xfId="0" applyNumberFormat="1">
      <alignment vertical="center"/>
    </xf>
    <xf numFmtId="176" fontId="0" fillId="0" borderId="0" xfId="1" applyFont="1">
      <alignment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14" fontId="3" fillId="3" borderId="4" xfId="0" applyNumberFormat="1" applyFont="1" applyFill="1" applyBorder="1" applyAlignment="1">
      <alignment horizontal="center" vertical="center"/>
    </xf>
    <xf numFmtId="176" fontId="3" fillId="3" borderId="4" xfId="1" applyNumberFormat="1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0" fillId="0" borderId="6" xfId="0" applyFont="1" applyBorder="1">
      <alignment vertical="center"/>
    </xf>
    <xf numFmtId="0" fontId="0" fillId="0" borderId="7" xfId="0" applyFont="1" applyBorder="1">
      <alignment vertical="center"/>
    </xf>
    <xf numFmtId="14" fontId="0" fillId="0" borderId="7" xfId="0" applyNumberFormat="1" applyFont="1" applyBorder="1">
      <alignment vertical="center"/>
    </xf>
    <xf numFmtId="0" fontId="0" fillId="0" borderId="7" xfId="1" applyNumberFormat="1" applyFont="1" applyBorder="1" applyAlignment="1">
      <alignment horizontal="center" vertical="center"/>
    </xf>
    <xf numFmtId="0" fontId="0" fillId="0" borderId="7" xfId="0" applyNumberFormat="1" applyFont="1" applyBorder="1" applyAlignment="1">
      <alignment horizontal="center" vertical="center"/>
    </xf>
    <xf numFmtId="176" fontId="0" fillId="0" borderId="7" xfId="1" applyNumberFormat="1" applyFont="1" applyBorder="1">
      <alignment vertical="center"/>
    </xf>
    <xf numFmtId="0" fontId="0" fillId="0" borderId="8" xfId="0" applyFont="1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5" fillId="2" borderId="1" xfId="3" applyFont="1" applyFill="1" applyBorder="1" applyAlignment="1">
      <alignment horizontal="center" vertical="center"/>
    </xf>
    <xf numFmtId="0" fontId="10" fillId="0" borderId="0" xfId="3" applyFont="1" applyAlignment="1">
      <alignment horizontal="distributed" vertical="center" indent="14"/>
    </xf>
    <xf numFmtId="0" fontId="5" fillId="0" borderId="0" xfId="3" applyFont="1" applyAlignment="1">
      <alignment horizontal="distributed" vertical="center" indent="14"/>
    </xf>
  </cellXfs>
  <cellStyles count="4">
    <cellStyle name="백분율" xfId="2" builtinId="5"/>
    <cellStyle name="쉼표 [0]" xfId="1" builtinId="6"/>
    <cellStyle name="제목 5" xfId="3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ko-KR" altLang="en-US" sz="1400"/>
              <a:t>발송회수 및 운임합계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운임합계</c:v>
          </c:tx>
          <c:invertIfNegative val="0"/>
          <c:cat>
            <c:strRef>
              <c:f>통계!$B$8:$B$16</c:f>
              <c:strCache>
                <c:ptCount val="9"/>
                <c:pt idx="0">
                  <c:v>김덕훈</c:v>
                </c:pt>
                <c:pt idx="1">
                  <c:v>김소미</c:v>
                </c:pt>
                <c:pt idx="2">
                  <c:v>김찬진</c:v>
                </c:pt>
                <c:pt idx="3">
                  <c:v>선하라</c:v>
                </c:pt>
                <c:pt idx="4">
                  <c:v>안정훈</c:v>
                </c:pt>
                <c:pt idx="5">
                  <c:v>오영수</c:v>
                </c:pt>
                <c:pt idx="6">
                  <c:v>유가을</c:v>
                </c:pt>
                <c:pt idx="7">
                  <c:v>윤대현</c:v>
                </c:pt>
                <c:pt idx="8">
                  <c:v>최소라</c:v>
                </c:pt>
              </c:strCache>
            </c:strRef>
          </c:cat>
          <c:val>
            <c:numRef>
              <c:f>통계!$D$8:$D$16</c:f>
              <c:numCache>
                <c:formatCode>_(* #,##0_);_(* \(#,##0\);_(* "-"_);_(@_)</c:formatCode>
                <c:ptCount val="9"/>
                <c:pt idx="0">
                  <c:v>271000</c:v>
                </c:pt>
                <c:pt idx="1">
                  <c:v>35000</c:v>
                </c:pt>
                <c:pt idx="2">
                  <c:v>33000</c:v>
                </c:pt>
                <c:pt idx="3">
                  <c:v>137000</c:v>
                </c:pt>
                <c:pt idx="4">
                  <c:v>0</c:v>
                </c:pt>
                <c:pt idx="5">
                  <c:v>490000</c:v>
                </c:pt>
                <c:pt idx="6">
                  <c:v>24000</c:v>
                </c:pt>
                <c:pt idx="7">
                  <c:v>233000</c:v>
                </c:pt>
                <c:pt idx="8">
                  <c:v>852000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046056"/>
        <c:axId val="193046448"/>
      </c:barChart>
      <c:lineChart>
        <c:grouping val="standard"/>
        <c:varyColors val="0"/>
        <c:ser>
          <c:idx val="0"/>
          <c:order val="0"/>
          <c:tx>
            <c:v>발송회수</c:v>
          </c:tx>
          <c:cat>
            <c:strRef>
              <c:f>통계!$B$8:$B$16</c:f>
              <c:strCache>
                <c:ptCount val="9"/>
                <c:pt idx="0">
                  <c:v>김덕훈</c:v>
                </c:pt>
                <c:pt idx="1">
                  <c:v>김소미</c:v>
                </c:pt>
                <c:pt idx="2">
                  <c:v>김찬진</c:v>
                </c:pt>
                <c:pt idx="3">
                  <c:v>선하라</c:v>
                </c:pt>
                <c:pt idx="4">
                  <c:v>안정훈</c:v>
                </c:pt>
                <c:pt idx="5">
                  <c:v>오영수</c:v>
                </c:pt>
                <c:pt idx="6">
                  <c:v>유가을</c:v>
                </c:pt>
                <c:pt idx="7">
                  <c:v>윤대현</c:v>
                </c:pt>
                <c:pt idx="8">
                  <c:v>최소라</c:v>
                </c:pt>
              </c:strCache>
            </c:strRef>
          </c:cat>
          <c:val>
            <c:numRef>
              <c:f>통계!$C$8:$C$16</c:f>
              <c:numCache>
                <c:formatCode>General</c:formatCode>
                <c:ptCount val="9"/>
                <c:pt idx="0">
                  <c:v>4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0</c:v>
                </c:pt>
                <c:pt idx="5">
                  <c:v>3</c:v>
                </c:pt>
                <c:pt idx="6">
                  <c:v>1</c:v>
                </c:pt>
                <c:pt idx="7">
                  <c:v>6</c:v>
                </c:pt>
                <c:pt idx="8">
                  <c:v>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195696"/>
        <c:axId val="318195304"/>
      </c:lineChart>
      <c:catAx>
        <c:axId val="193046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046448"/>
        <c:crosses val="autoZero"/>
        <c:auto val="1"/>
        <c:lblAlgn val="ctr"/>
        <c:lblOffset val="100"/>
        <c:noMultiLvlLbl val="0"/>
      </c:catAx>
      <c:valAx>
        <c:axId val="1930464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93046056"/>
        <c:crosses val="autoZero"/>
        <c:crossBetween val="between"/>
        <c:dispUnits>
          <c:builtInUnit val="thousands"/>
          <c:dispUnitsLbl>
            <c:layout/>
          </c:dispUnitsLbl>
        </c:dispUnits>
      </c:valAx>
      <c:valAx>
        <c:axId val="3181953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18195696"/>
        <c:crosses val="max"/>
        <c:crossBetween val="between"/>
      </c:valAx>
      <c:catAx>
        <c:axId val="3181956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18195304"/>
        <c:crosses val="autoZero"/>
        <c:auto val="1"/>
        <c:lblAlgn val="ctr"/>
        <c:lblOffset val="100"/>
        <c:noMultiLvlLbl val="0"/>
      </c:catAx>
    </c:plotArea>
    <c:legend>
      <c:legendPos val="t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ko-KR" altLang="en-US" sz="1400"/>
              <a:t>운임합계 비율</a:t>
            </a:r>
          </a:p>
        </c:rich>
      </c:tx>
      <c:layout/>
      <c:overlay val="0"/>
    </c:title>
    <c:autoTitleDeleted val="0"/>
    <c:view3D>
      <c:rotX val="15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explosion val="25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통계!$B$8:$B$16</c:f>
              <c:strCache>
                <c:ptCount val="9"/>
                <c:pt idx="0">
                  <c:v>김덕훈</c:v>
                </c:pt>
                <c:pt idx="1">
                  <c:v>김소미</c:v>
                </c:pt>
                <c:pt idx="2">
                  <c:v>김찬진</c:v>
                </c:pt>
                <c:pt idx="3">
                  <c:v>선하라</c:v>
                </c:pt>
                <c:pt idx="4">
                  <c:v>안정훈</c:v>
                </c:pt>
                <c:pt idx="5">
                  <c:v>오영수</c:v>
                </c:pt>
                <c:pt idx="6">
                  <c:v>유가을</c:v>
                </c:pt>
                <c:pt idx="7">
                  <c:v>윤대현</c:v>
                </c:pt>
                <c:pt idx="8">
                  <c:v>최소라</c:v>
                </c:pt>
              </c:strCache>
            </c:strRef>
          </c:cat>
          <c:val>
            <c:numRef>
              <c:f>통계!$D$8:$D$16</c:f>
              <c:numCache>
                <c:formatCode>_(* #,##0_);_(* \(#,##0\);_(* "-"_);_(@_)</c:formatCode>
                <c:ptCount val="9"/>
                <c:pt idx="0">
                  <c:v>271000</c:v>
                </c:pt>
                <c:pt idx="1">
                  <c:v>35000</c:v>
                </c:pt>
                <c:pt idx="2">
                  <c:v>33000</c:v>
                </c:pt>
                <c:pt idx="3">
                  <c:v>137000</c:v>
                </c:pt>
                <c:pt idx="4">
                  <c:v>0</c:v>
                </c:pt>
                <c:pt idx="5">
                  <c:v>490000</c:v>
                </c:pt>
                <c:pt idx="6">
                  <c:v>24000</c:v>
                </c:pt>
                <c:pt idx="7">
                  <c:v>233000</c:v>
                </c:pt>
                <c:pt idx="8">
                  <c:v>852000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Spin" dx="16" fmlaLink="$C$4" max="2020" min="2006" page="10" val="2014"/>
</file>

<file path=xl/ctrlProps/ctrlProp2.xml><?xml version="1.0" encoding="utf-8"?>
<formControlPr xmlns="http://schemas.microsoft.com/office/spreadsheetml/2009/9/main" objectType="Spin" dx="16" fmlaLink="$E$4" max="12" min="1" page="1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704850</xdr:colOff>
          <xdr:row>2</xdr:row>
          <xdr:rowOff>247650</xdr:rowOff>
        </xdr:from>
        <xdr:to>
          <xdr:col>3</xdr:col>
          <xdr:colOff>219075</xdr:colOff>
          <xdr:row>4</xdr:row>
          <xdr:rowOff>9525</xdr:rowOff>
        </xdr:to>
        <xdr:sp macro="" textlink="">
          <xdr:nvSpPr>
            <xdr:cNvPr id="1029" name="Spinner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733425</xdr:colOff>
          <xdr:row>2</xdr:row>
          <xdr:rowOff>247650</xdr:rowOff>
        </xdr:from>
        <xdr:to>
          <xdr:col>5</xdr:col>
          <xdr:colOff>123825</xdr:colOff>
          <xdr:row>4</xdr:row>
          <xdr:rowOff>9525</xdr:rowOff>
        </xdr:to>
        <xdr:sp macro="" textlink="">
          <xdr:nvSpPr>
            <xdr:cNvPr id="1030" name="Spinner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0</xdr:colOff>
      <xdr:row>18</xdr:row>
      <xdr:rowOff>0</xdr:rowOff>
    </xdr:from>
    <xdr:to>
      <xdr:col>6</xdr:col>
      <xdr:colOff>0</xdr:colOff>
      <xdr:row>33</xdr:row>
      <xdr:rowOff>0</xdr:rowOff>
    </xdr:to>
    <xdr:graphicFrame macro="">
      <xdr:nvGraphicFramePr>
        <xdr:cNvPr id="7" name="cht운임합계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18</xdr:row>
      <xdr:rowOff>0</xdr:rowOff>
    </xdr:from>
    <xdr:to>
      <xdr:col>13</xdr:col>
      <xdr:colOff>161925</xdr:colOff>
      <xdr:row>33</xdr:row>
      <xdr:rowOff>0</xdr:rowOff>
    </xdr:to>
    <xdr:graphicFrame macro="">
      <xdr:nvGraphicFramePr>
        <xdr:cNvPr id="8" name="cht운임비율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17"/>
  <sheetViews>
    <sheetView showGridLines="0" tabSelected="1" workbookViewId="0">
      <selection activeCell="K9" sqref="K9"/>
    </sheetView>
  </sheetViews>
  <sheetFormatPr defaultRowHeight="16.5" x14ac:dyDescent="0.3"/>
  <cols>
    <col min="1" max="1" width="1.75" customWidth="1"/>
    <col min="2" max="2" width="12.625" customWidth="1"/>
    <col min="3" max="3" width="10.75" customWidth="1"/>
    <col min="4" max="4" width="13.875" bestFit="1" customWidth="1"/>
    <col min="5" max="6" width="12.375" customWidth="1"/>
    <col min="7" max="7" width="4.625" customWidth="1"/>
    <col min="8" max="8" width="10.25" customWidth="1"/>
  </cols>
  <sheetData>
    <row r="1" spans="2:6" ht="9.75" customHeight="1" x14ac:dyDescent="0.3"/>
    <row r="2" spans="2:6" ht="27" thickBot="1" x14ac:dyDescent="0.35">
      <c r="B2" s="28" t="s">
        <v>0</v>
      </c>
      <c r="C2" s="28"/>
      <c r="D2" s="28"/>
      <c r="E2" s="28"/>
      <c r="F2" s="28"/>
    </row>
    <row r="3" spans="2:6" ht="20.25" customHeight="1" x14ac:dyDescent="0.3"/>
    <row r="4" spans="2:6" ht="24" customHeight="1" x14ac:dyDescent="0.3">
      <c r="B4" s="1" t="s">
        <v>1</v>
      </c>
      <c r="C4" s="2">
        <v>2014</v>
      </c>
      <c r="D4" s="1" t="s">
        <v>2</v>
      </c>
      <c r="E4" s="2">
        <v>1</v>
      </c>
    </row>
    <row r="7" spans="2:6" ht="17.25" x14ac:dyDescent="0.3">
      <c r="B7" s="3" t="s">
        <v>3</v>
      </c>
      <c r="C7" s="4" t="s">
        <v>4</v>
      </c>
      <c r="D7" s="4" t="s">
        <v>5</v>
      </c>
      <c r="E7" s="4" t="s">
        <v>6</v>
      </c>
      <c r="F7" s="4" t="s">
        <v>7</v>
      </c>
    </row>
    <row r="8" spans="2:6" ht="17.25" x14ac:dyDescent="0.3">
      <c r="B8" s="5" t="s">
        <v>8</v>
      </c>
      <c r="C8" s="5">
        <f>COUNTIFS(수하물통계!$C:$C,통계!B8,수하물통계!$E:$E,$C$4,수하물통계!$F:$F,$E$4)</f>
        <v>4</v>
      </c>
      <c r="D8" s="6">
        <f>SUMIFS(수하물통계!$H:$H,수하물통계!$C:$C,통계!B8,수하물통계!$E:$E,$C$4,수하물통계!$F:$F,$E$4)</f>
        <v>271000</v>
      </c>
      <c r="E8" s="7">
        <f t="shared" ref="E8:E16" si="0">C8/$C$17</f>
        <v>0.13793103448275862</v>
      </c>
      <c r="F8" s="7">
        <f t="shared" ref="F8:F16" si="1">D8/$D$17</f>
        <v>0.13060240963855421</v>
      </c>
    </row>
    <row r="9" spans="2:6" ht="17.25" x14ac:dyDescent="0.3">
      <c r="B9" s="5" t="s">
        <v>9</v>
      </c>
      <c r="C9" s="5">
        <f>COUNTIFS(수하물통계!$C:$C,통계!B9,수하물통계!$E:$E,$C$4,수하물통계!$F:$F,$E$4)</f>
        <v>1</v>
      </c>
      <c r="D9" s="6">
        <f>SUMIFS(수하물통계!$H:$H,수하물통계!$C:$C,통계!B9,수하물통계!$E:$E,$C$4,수하물통계!$F:$F,$E$4)</f>
        <v>35000</v>
      </c>
      <c r="E9" s="7">
        <f t="shared" si="0"/>
        <v>3.4482758620689655E-2</v>
      </c>
      <c r="F9" s="7">
        <f t="shared" si="1"/>
        <v>1.6867469879518072E-2</v>
      </c>
    </row>
    <row r="10" spans="2:6" ht="17.25" x14ac:dyDescent="0.3">
      <c r="B10" s="5" t="s">
        <v>10</v>
      </c>
      <c r="C10" s="5">
        <f>COUNTIFS(수하물통계!$C:$C,통계!B10,수하물통계!$E:$E,$C$4,수하물통계!$F:$F,$E$4)</f>
        <v>2</v>
      </c>
      <c r="D10" s="6">
        <f>SUMIFS(수하물통계!$H:$H,수하물통계!$C:$C,통계!B10,수하물통계!$E:$E,$C$4,수하물통계!$F:$F,$E$4)</f>
        <v>33000</v>
      </c>
      <c r="E10" s="7">
        <f t="shared" si="0"/>
        <v>6.8965517241379309E-2</v>
      </c>
      <c r="F10" s="7">
        <f t="shared" si="1"/>
        <v>1.5903614457831325E-2</v>
      </c>
    </row>
    <row r="11" spans="2:6" ht="17.25" x14ac:dyDescent="0.3">
      <c r="B11" s="5" t="s">
        <v>11</v>
      </c>
      <c r="C11" s="5">
        <f>COUNTIFS(수하물통계!$C:$C,통계!B11,수하물통계!$E:$E,$C$4,수하물통계!$F:$F,$E$4)</f>
        <v>4</v>
      </c>
      <c r="D11" s="6">
        <f>SUMIFS(수하물통계!$H:$H,수하물통계!$C:$C,통계!B11,수하물통계!$E:$E,$C$4,수하물통계!$F:$F,$E$4)</f>
        <v>137000</v>
      </c>
      <c r="E11" s="7">
        <f t="shared" si="0"/>
        <v>0.13793103448275862</v>
      </c>
      <c r="F11" s="7">
        <f t="shared" si="1"/>
        <v>6.6024096385542172E-2</v>
      </c>
    </row>
    <row r="12" spans="2:6" ht="17.25" x14ac:dyDescent="0.3">
      <c r="B12" s="5" t="s">
        <v>12</v>
      </c>
      <c r="C12" s="5">
        <f>COUNTIFS(수하물통계!$C:$C,통계!B12,수하물통계!$E:$E,$C$4,수하물통계!$F:$F,$E$4)</f>
        <v>0</v>
      </c>
      <c r="D12" s="6">
        <f>SUMIFS(수하물통계!$H:$H,수하물통계!$C:$C,통계!B12,수하물통계!$E:$E,$C$4,수하물통계!$F:$F,$E$4)</f>
        <v>0</v>
      </c>
      <c r="E12" s="7">
        <f t="shared" si="0"/>
        <v>0</v>
      </c>
      <c r="F12" s="7">
        <f t="shared" si="1"/>
        <v>0</v>
      </c>
    </row>
    <row r="13" spans="2:6" ht="17.25" x14ac:dyDescent="0.3">
      <c r="B13" s="5" t="s">
        <v>13</v>
      </c>
      <c r="C13" s="5">
        <f>COUNTIFS(수하물통계!$C:$C,통계!B13,수하물통계!$E:$E,$C$4,수하물통계!$F:$F,$E$4)</f>
        <v>3</v>
      </c>
      <c r="D13" s="6">
        <f>SUMIFS(수하물통계!$H:$H,수하물통계!$C:$C,통계!B13,수하물통계!$E:$E,$C$4,수하물통계!$F:$F,$E$4)</f>
        <v>490000</v>
      </c>
      <c r="E13" s="7">
        <f t="shared" si="0"/>
        <v>0.10344827586206896</v>
      </c>
      <c r="F13" s="7">
        <f t="shared" si="1"/>
        <v>0.236144578313253</v>
      </c>
    </row>
    <row r="14" spans="2:6" ht="17.25" x14ac:dyDescent="0.3">
      <c r="B14" s="5" t="s">
        <v>14</v>
      </c>
      <c r="C14" s="5">
        <f>COUNTIFS(수하물통계!$C:$C,통계!B14,수하물통계!$E:$E,$C$4,수하물통계!$F:$F,$E$4)</f>
        <v>1</v>
      </c>
      <c r="D14" s="6">
        <f>SUMIFS(수하물통계!$H:$H,수하물통계!$C:$C,통계!B14,수하물통계!$E:$E,$C$4,수하물통계!$F:$F,$E$4)</f>
        <v>24000</v>
      </c>
      <c r="E14" s="7">
        <f t="shared" si="0"/>
        <v>3.4482758620689655E-2</v>
      </c>
      <c r="F14" s="7">
        <f t="shared" si="1"/>
        <v>1.1566265060240964E-2</v>
      </c>
    </row>
    <row r="15" spans="2:6" ht="17.25" x14ac:dyDescent="0.3">
      <c r="B15" s="5" t="s">
        <v>15</v>
      </c>
      <c r="C15" s="5">
        <f>COUNTIFS(수하물통계!$C:$C,통계!B15,수하물통계!$E:$E,$C$4,수하물통계!$F:$F,$E$4)</f>
        <v>6</v>
      </c>
      <c r="D15" s="6">
        <f>SUMIFS(수하물통계!$H:$H,수하물통계!$C:$C,통계!B15,수하물통계!$E:$E,$C$4,수하물통계!$F:$F,$E$4)</f>
        <v>233000</v>
      </c>
      <c r="E15" s="7">
        <f t="shared" si="0"/>
        <v>0.20689655172413793</v>
      </c>
      <c r="F15" s="7">
        <f t="shared" si="1"/>
        <v>0.11228915662650603</v>
      </c>
    </row>
    <row r="16" spans="2:6" ht="17.25" x14ac:dyDescent="0.3">
      <c r="B16" s="5" t="s">
        <v>16</v>
      </c>
      <c r="C16" s="5">
        <f>COUNTIFS(수하물통계!$C:$C,통계!B16,수하물통계!$E:$E,$C$4,수하물통계!$F:$F,$E$4)</f>
        <v>8</v>
      </c>
      <c r="D16" s="6">
        <f>SUMIFS(수하물통계!$H:$H,수하물통계!$C:$C,통계!B16,수하물통계!$E:$E,$C$4,수하물통계!$F:$F,$E$4)</f>
        <v>852000</v>
      </c>
      <c r="E16" s="7">
        <f t="shared" si="0"/>
        <v>0.27586206896551724</v>
      </c>
      <c r="F16" s="7">
        <f t="shared" si="1"/>
        <v>0.41060240963855421</v>
      </c>
    </row>
    <row r="17" spans="2:6" ht="17.25" x14ac:dyDescent="0.3">
      <c r="B17" s="8" t="s">
        <v>17</v>
      </c>
      <c r="C17" s="8">
        <f>SUM(C8:C16)</f>
        <v>29</v>
      </c>
      <c r="D17" s="9">
        <f>SUM(D8:D16)</f>
        <v>2075000</v>
      </c>
      <c r="E17" s="10">
        <f>SUM(E8:E16)</f>
        <v>0.99999999999999989</v>
      </c>
      <c r="F17" s="10">
        <f>SUM(F8:F16)</f>
        <v>1</v>
      </c>
    </row>
  </sheetData>
  <mergeCells count="1">
    <mergeCell ref="B2:F2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Spinner 5">
              <controlPr defaultSize="0" autoPict="0">
                <anchor moveWithCells="1" sizeWithCells="1">
                  <from>
                    <xdr:col>2</xdr:col>
                    <xdr:colOff>704850</xdr:colOff>
                    <xdr:row>2</xdr:row>
                    <xdr:rowOff>247650</xdr:rowOff>
                  </from>
                  <to>
                    <xdr:col>3</xdr:col>
                    <xdr:colOff>219075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Spinner 6">
              <controlPr defaultSize="0" autoPict="0">
                <anchor moveWithCells="1" sizeWithCells="1">
                  <from>
                    <xdr:col>4</xdr:col>
                    <xdr:colOff>733425</xdr:colOff>
                    <xdr:row>2</xdr:row>
                    <xdr:rowOff>247650</xdr:rowOff>
                  </from>
                  <to>
                    <xdr:col>5</xdr:col>
                    <xdr:colOff>123825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670"/>
  <sheetViews>
    <sheetView showGridLines="0" workbookViewId="0">
      <selection activeCell="A411" sqref="A411:I673"/>
    </sheetView>
  </sheetViews>
  <sheetFormatPr defaultRowHeight="16.5" x14ac:dyDescent="0.3"/>
  <cols>
    <col min="1" max="1" width="10.875" customWidth="1"/>
    <col min="2" max="2" width="15.875" bestFit="1" customWidth="1"/>
    <col min="4" max="4" width="11.125" bestFit="1" customWidth="1"/>
    <col min="5" max="6" width="11.125" customWidth="1"/>
    <col min="7" max="7" width="12.375" bestFit="1" customWidth="1"/>
    <col min="8" max="8" width="10.875" bestFit="1" customWidth="1"/>
    <col min="9" max="9" width="24.75" bestFit="1" customWidth="1"/>
  </cols>
  <sheetData>
    <row r="1" spans="1:9" ht="26.25" x14ac:dyDescent="0.3">
      <c r="A1" s="29" t="s">
        <v>18</v>
      </c>
      <c r="B1" s="30"/>
      <c r="C1" s="30"/>
      <c r="D1" s="30"/>
      <c r="E1" s="30"/>
      <c r="F1" s="30"/>
      <c r="G1" s="30"/>
      <c r="H1" s="30"/>
      <c r="I1" s="30"/>
    </row>
    <row r="2" spans="1:9" x14ac:dyDescent="0.3">
      <c r="D2" s="11"/>
      <c r="E2" s="11"/>
      <c r="F2" s="11"/>
      <c r="H2" s="12"/>
    </row>
    <row r="3" spans="1:9" x14ac:dyDescent="0.3">
      <c r="A3" s="13" t="s">
        <v>19</v>
      </c>
      <c r="B3" s="14" t="s">
        <v>20</v>
      </c>
      <c r="C3" s="14" t="s">
        <v>3</v>
      </c>
      <c r="D3" s="15" t="s">
        <v>21</v>
      </c>
      <c r="E3" s="15" t="s">
        <v>22</v>
      </c>
      <c r="F3" s="15" t="s">
        <v>23</v>
      </c>
      <c r="G3" s="14" t="s">
        <v>24</v>
      </c>
      <c r="H3" s="16" t="s">
        <v>25</v>
      </c>
      <c r="I3" s="17" t="s">
        <v>26</v>
      </c>
    </row>
    <row r="4" spans="1:9" x14ac:dyDescent="0.3">
      <c r="A4" s="18">
        <v>10407</v>
      </c>
      <c r="B4" s="19" t="s">
        <v>27</v>
      </c>
      <c r="C4" s="19" t="s">
        <v>8</v>
      </c>
      <c r="D4" s="20">
        <v>41644</v>
      </c>
      <c r="E4" s="21">
        <f>YEAR(D4)</f>
        <v>2014</v>
      </c>
      <c r="F4" s="22">
        <f>MONTH(D4)</f>
        <v>1</v>
      </c>
      <c r="G4" s="19" t="s">
        <v>28</v>
      </c>
      <c r="H4" s="23">
        <v>91000</v>
      </c>
      <c r="I4" s="24" t="s">
        <v>29</v>
      </c>
    </row>
    <row r="5" spans="1:9" x14ac:dyDescent="0.3">
      <c r="A5" s="18">
        <v>10412</v>
      </c>
      <c r="B5" s="19" t="s">
        <v>30</v>
      </c>
      <c r="C5" s="19" t="s">
        <v>11</v>
      </c>
      <c r="D5" s="20">
        <v>41650</v>
      </c>
      <c r="E5" s="21">
        <f>YEAR(D5)</f>
        <v>2014</v>
      </c>
      <c r="F5" s="22">
        <f>MONTH(D5)</f>
        <v>1</v>
      </c>
      <c r="G5" s="19" t="s">
        <v>28</v>
      </c>
      <c r="H5" s="23">
        <v>4000</v>
      </c>
      <c r="I5" s="24" t="s">
        <v>31</v>
      </c>
    </row>
    <row r="6" spans="1:9" x14ac:dyDescent="0.3">
      <c r="A6" s="18">
        <v>10413</v>
      </c>
      <c r="B6" s="19" t="s">
        <v>32</v>
      </c>
      <c r="C6" s="19" t="s">
        <v>15</v>
      </c>
      <c r="D6" s="20">
        <v>41651</v>
      </c>
      <c r="E6" s="21">
        <f>YEAR(D6)</f>
        <v>2014</v>
      </c>
      <c r="F6" s="22">
        <f>MONTH(D6)</f>
        <v>1</v>
      </c>
      <c r="G6" s="19" t="s">
        <v>28</v>
      </c>
      <c r="H6" s="23">
        <v>96000</v>
      </c>
      <c r="I6" s="24" t="s">
        <v>33</v>
      </c>
    </row>
    <row r="7" spans="1:9" x14ac:dyDescent="0.3">
      <c r="A7" s="18">
        <v>10419</v>
      </c>
      <c r="B7" s="19" t="s">
        <v>34</v>
      </c>
      <c r="C7" s="19" t="s">
        <v>16</v>
      </c>
      <c r="D7" s="20">
        <v>41657</v>
      </c>
      <c r="E7" s="21">
        <f>YEAR(D7)</f>
        <v>2014</v>
      </c>
      <c r="F7" s="22">
        <f>MONTH(D7)</f>
        <v>1</v>
      </c>
      <c r="G7" s="19" t="s">
        <v>28</v>
      </c>
      <c r="H7" s="23">
        <v>137000</v>
      </c>
      <c r="I7" s="24" t="s">
        <v>35</v>
      </c>
    </row>
    <row r="8" spans="1:9" x14ac:dyDescent="0.3">
      <c r="A8" s="18">
        <v>10424</v>
      </c>
      <c r="B8" s="19" t="s">
        <v>36</v>
      </c>
      <c r="C8" s="19" t="s">
        <v>13</v>
      </c>
      <c r="D8" s="20">
        <v>41660</v>
      </c>
      <c r="E8" s="21">
        <f>YEAR(D8)</f>
        <v>2014</v>
      </c>
      <c r="F8" s="22">
        <f>MONTH(D8)</f>
        <v>1</v>
      </c>
      <c r="G8" s="19" t="s">
        <v>28</v>
      </c>
      <c r="H8" s="23">
        <v>371000</v>
      </c>
      <c r="I8" s="24" t="s">
        <v>37</v>
      </c>
    </row>
    <row r="9" spans="1:9" x14ac:dyDescent="0.3">
      <c r="A9" s="18">
        <v>10403</v>
      </c>
      <c r="B9" s="19" t="s">
        <v>38</v>
      </c>
      <c r="C9" s="19" t="s">
        <v>16</v>
      </c>
      <c r="D9" s="20">
        <v>41640</v>
      </c>
      <c r="E9" s="21">
        <v>2014</v>
      </c>
      <c r="F9" s="22">
        <v>1</v>
      </c>
      <c r="G9" s="19" t="s">
        <v>39</v>
      </c>
      <c r="H9" s="23">
        <v>74000</v>
      </c>
      <c r="I9" s="24" t="s">
        <v>40</v>
      </c>
    </row>
    <row r="10" spans="1:9" x14ac:dyDescent="0.3">
      <c r="A10" s="18">
        <v>10411</v>
      </c>
      <c r="B10" s="19" t="s">
        <v>41</v>
      </c>
      <c r="C10" s="19" t="s">
        <v>14</v>
      </c>
      <c r="D10" s="20">
        <v>41647</v>
      </c>
      <c r="E10" s="21">
        <v>2014</v>
      </c>
      <c r="F10" s="22">
        <v>1</v>
      </c>
      <c r="G10" s="19" t="s">
        <v>39</v>
      </c>
      <c r="H10" s="23">
        <v>24000</v>
      </c>
      <c r="I10" s="24" t="s">
        <v>42</v>
      </c>
    </row>
    <row r="11" spans="1:9" x14ac:dyDescent="0.3">
      <c r="A11" s="18">
        <v>10410</v>
      </c>
      <c r="B11" s="19" t="s">
        <v>41</v>
      </c>
      <c r="C11" s="19" t="s">
        <v>15</v>
      </c>
      <c r="D11" s="20">
        <v>41647</v>
      </c>
      <c r="E11" s="21">
        <v>2014</v>
      </c>
      <c r="F11" s="22">
        <v>1</v>
      </c>
      <c r="G11" s="19" t="s">
        <v>39</v>
      </c>
      <c r="H11" s="23">
        <v>2000</v>
      </c>
      <c r="I11" s="24" t="s">
        <v>42</v>
      </c>
    </row>
    <row r="12" spans="1:9" x14ac:dyDescent="0.3">
      <c r="A12" s="18">
        <v>10414</v>
      </c>
      <c r="B12" s="19" t="s">
        <v>43</v>
      </c>
      <c r="C12" s="19" t="s">
        <v>8</v>
      </c>
      <c r="D12" s="20">
        <v>41651</v>
      </c>
      <c r="E12" s="21">
        <v>2014</v>
      </c>
      <c r="F12" s="22">
        <v>1</v>
      </c>
      <c r="G12" s="19" t="s">
        <v>39</v>
      </c>
      <c r="H12" s="23">
        <v>21000</v>
      </c>
      <c r="I12" s="24" t="s">
        <v>44</v>
      </c>
    </row>
    <row r="13" spans="1:9" x14ac:dyDescent="0.3">
      <c r="A13" s="18">
        <v>10417</v>
      </c>
      <c r="B13" s="19" t="s">
        <v>45</v>
      </c>
      <c r="C13" s="19" t="s">
        <v>16</v>
      </c>
      <c r="D13" s="20">
        <v>41653</v>
      </c>
      <c r="E13" s="21">
        <v>2014</v>
      </c>
      <c r="F13" s="22">
        <v>1</v>
      </c>
      <c r="G13" s="19" t="s">
        <v>39</v>
      </c>
      <c r="H13" s="23">
        <v>70000</v>
      </c>
      <c r="I13" s="24" t="s">
        <v>46</v>
      </c>
    </row>
    <row r="14" spans="1:9" x14ac:dyDescent="0.3">
      <c r="A14" s="18">
        <v>10416</v>
      </c>
      <c r="B14" s="19" t="s">
        <v>30</v>
      </c>
      <c r="C14" s="19" t="s">
        <v>11</v>
      </c>
      <c r="D14" s="20">
        <v>41653</v>
      </c>
      <c r="E14" s="21">
        <v>2014</v>
      </c>
      <c r="F14" s="22">
        <v>1</v>
      </c>
      <c r="G14" s="19" t="s">
        <v>39</v>
      </c>
      <c r="H14" s="23">
        <v>23000</v>
      </c>
      <c r="I14" s="24" t="s">
        <v>31</v>
      </c>
    </row>
    <row r="15" spans="1:9" x14ac:dyDescent="0.3">
      <c r="A15" s="18">
        <v>10423</v>
      </c>
      <c r="B15" s="19" t="s">
        <v>47</v>
      </c>
      <c r="C15" s="19" t="s">
        <v>10</v>
      </c>
      <c r="D15" s="20">
        <v>41660</v>
      </c>
      <c r="E15" s="21">
        <v>2014</v>
      </c>
      <c r="F15" s="22">
        <v>1</v>
      </c>
      <c r="G15" s="19" t="s">
        <v>39</v>
      </c>
      <c r="H15" s="23">
        <v>25000</v>
      </c>
      <c r="I15" s="24" t="s">
        <v>48</v>
      </c>
    </row>
    <row r="16" spans="1:9" x14ac:dyDescent="0.3">
      <c r="A16" s="18">
        <v>10433</v>
      </c>
      <c r="B16" s="19" t="s">
        <v>49</v>
      </c>
      <c r="C16" s="19" t="s">
        <v>15</v>
      </c>
      <c r="D16" s="20">
        <v>41671</v>
      </c>
      <c r="E16" s="21">
        <v>2014</v>
      </c>
      <c r="F16" s="22">
        <v>2</v>
      </c>
      <c r="G16" s="19" t="s">
        <v>39</v>
      </c>
      <c r="H16" s="23">
        <v>74000</v>
      </c>
      <c r="I16" s="24" t="s">
        <v>50</v>
      </c>
    </row>
    <row r="17" spans="1:9" x14ac:dyDescent="0.3">
      <c r="A17" s="18">
        <v>10439</v>
      </c>
      <c r="B17" s="19" t="s">
        <v>36</v>
      </c>
      <c r="C17" s="19" t="s">
        <v>10</v>
      </c>
      <c r="D17" s="20">
        <v>41675</v>
      </c>
      <c r="E17" s="21">
        <v>2014</v>
      </c>
      <c r="F17" s="22">
        <v>2</v>
      </c>
      <c r="G17" s="19" t="s">
        <v>39</v>
      </c>
      <c r="H17" s="23">
        <v>4000</v>
      </c>
      <c r="I17" s="24" t="s">
        <v>37</v>
      </c>
    </row>
    <row r="18" spans="1:9" x14ac:dyDescent="0.3">
      <c r="A18" s="18">
        <v>10444</v>
      </c>
      <c r="B18" s="19" t="s">
        <v>51</v>
      </c>
      <c r="C18" s="19" t="s">
        <v>15</v>
      </c>
      <c r="D18" s="20">
        <v>41680</v>
      </c>
      <c r="E18" s="21">
        <v>2014</v>
      </c>
      <c r="F18" s="22">
        <v>2</v>
      </c>
      <c r="G18" s="19" t="s">
        <v>39</v>
      </c>
      <c r="H18" s="23">
        <v>4000</v>
      </c>
      <c r="I18" s="24" t="s">
        <v>52</v>
      </c>
    </row>
    <row r="19" spans="1:9" x14ac:dyDescent="0.3">
      <c r="A19" s="18">
        <v>10451</v>
      </c>
      <c r="B19" s="19" t="s">
        <v>53</v>
      </c>
      <c r="C19" s="19" t="s">
        <v>16</v>
      </c>
      <c r="D19" s="20">
        <v>41687</v>
      </c>
      <c r="E19" s="21">
        <v>2014</v>
      </c>
      <c r="F19" s="22">
        <v>2</v>
      </c>
      <c r="G19" s="19" t="s">
        <v>39</v>
      </c>
      <c r="H19" s="23">
        <v>189000</v>
      </c>
      <c r="I19" s="24" t="s">
        <v>54</v>
      </c>
    </row>
    <row r="20" spans="1:9" x14ac:dyDescent="0.3">
      <c r="A20" s="18">
        <v>10454</v>
      </c>
      <c r="B20" s="19" t="s">
        <v>32</v>
      </c>
      <c r="C20" s="19" t="s">
        <v>16</v>
      </c>
      <c r="D20" s="20">
        <v>41689</v>
      </c>
      <c r="E20" s="21">
        <v>2014</v>
      </c>
      <c r="F20" s="22">
        <v>2</v>
      </c>
      <c r="G20" s="19" t="s">
        <v>39</v>
      </c>
      <c r="H20" s="23">
        <v>3000</v>
      </c>
      <c r="I20" s="24" t="s">
        <v>33</v>
      </c>
    </row>
    <row r="21" spans="1:9" x14ac:dyDescent="0.3">
      <c r="A21" s="18">
        <v>10458</v>
      </c>
      <c r="B21" s="19" t="s">
        <v>55</v>
      </c>
      <c r="C21" s="19" t="s">
        <v>13</v>
      </c>
      <c r="D21" s="20">
        <v>41694</v>
      </c>
      <c r="E21" s="21">
        <v>2014</v>
      </c>
      <c r="F21" s="22">
        <v>2</v>
      </c>
      <c r="G21" s="19" t="s">
        <v>39</v>
      </c>
      <c r="H21" s="23">
        <v>147000</v>
      </c>
      <c r="I21" s="24" t="s">
        <v>56</v>
      </c>
    </row>
    <row r="22" spans="1:9" x14ac:dyDescent="0.3">
      <c r="A22" s="18">
        <v>10461</v>
      </c>
      <c r="B22" s="19" t="s">
        <v>57</v>
      </c>
      <c r="C22" s="19" t="s">
        <v>9</v>
      </c>
      <c r="D22" s="20">
        <v>41696</v>
      </c>
      <c r="E22" s="21">
        <v>2014</v>
      </c>
      <c r="F22" s="22">
        <v>2</v>
      </c>
      <c r="G22" s="19" t="s">
        <v>39</v>
      </c>
      <c r="H22" s="23">
        <v>149000</v>
      </c>
      <c r="I22" s="24" t="s">
        <v>58</v>
      </c>
    </row>
    <row r="23" spans="1:9" x14ac:dyDescent="0.3">
      <c r="A23" s="18">
        <v>10463</v>
      </c>
      <c r="B23" s="19" t="s">
        <v>55</v>
      </c>
      <c r="C23" s="19" t="s">
        <v>12</v>
      </c>
      <c r="D23" s="20">
        <v>41700</v>
      </c>
      <c r="E23" s="21">
        <v>2014</v>
      </c>
      <c r="F23" s="22">
        <v>3</v>
      </c>
      <c r="G23" s="19" t="s">
        <v>39</v>
      </c>
      <c r="H23" s="23">
        <v>15000</v>
      </c>
      <c r="I23" s="24" t="s">
        <v>56</v>
      </c>
    </row>
    <row r="24" spans="1:9" x14ac:dyDescent="0.3">
      <c r="A24" s="18">
        <v>10465</v>
      </c>
      <c r="B24" s="19" t="s">
        <v>59</v>
      </c>
      <c r="C24" s="19" t="s">
        <v>9</v>
      </c>
      <c r="D24" s="20">
        <v>41701</v>
      </c>
      <c r="E24" s="21">
        <v>2014</v>
      </c>
      <c r="F24" s="22">
        <v>3</v>
      </c>
      <c r="G24" s="19" t="s">
        <v>39</v>
      </c>
      <c r="H24" s="23">
        <v>145000</v>
      </c>
      <c r="I24" s="24" t="s">
        <v>60</v>
      </c>
    </row>
    <row r="25" spans="1:9" x14ac:dyDescent="0.3">
      <c r="A25" s="18">
        <v>10468</v>
      </c>
      <c r="B25" s="19" t="s">
        <v>61</v>
      </c>
      <c r="C25" s="19" t="s">
        <v>15</v>
      </c>
      <c r="D25" s="20">
        <v>41703</v>
      </c>
      <c r="E25" s="21">
        <v>2014</v>
      </c>
      <c r="F25" s="22">
        <v>3</v>
      </c>
      <c r="G25" s="19" t="s">
        <v>39</v>
      </c>
      <c r="H25" s="23">
        <v>44000</v>
      </c>
      <c r="I25" s="24" t="s">
        <v>62</v>
      </c>
    </row>
    <row r="26" spans="1:9" x14ac:dyDescent="0.3">
      <c r="A26" s="18">
        <v>10471</v>
      </c>
      <c r="B26" s="19" t="s">
        <v>63</v>
      </c>
      <c r="C26" s="19" t="s">
        <v>8</v>
      </c>
      <c r="D26" s="20">
        <v>41707</v>
      </c>
      <c r="E26" s="21">
        <v>2014</v>
      </c>
      <c r="F26" s="22">
        <v>3</v>
      </c>
      <c r="G26" s="19" t="s">
        <v>39</v>
      </c>
      <c r="H26" s="23">
        <v>46000</v>
      </c>
      <c r="I26" s="24" t="s">
        <v>64</v>
      </c>
    </row>
    <row r="27" spans="1:9" x14ac:dyDescent="0.3">
      <c r="A27" s="18">
        <v>10473</v>
      </c>
      <c r="B27" s="19" t="s">
        <v>65</v>
      </c>
      <c r="C27" s="19" t="s">
        <v>9</v>
      </c>
      <c r="D27" s="20">
        <v>41709</v>
      </c>
      <c r="E27" s="21">
        <v>2014</v>
      </c>
      <c r="F27" s="22">
        <v>3</v>
      </c>
      <c r="G27" s="19" t="s">
        <v>39</v>
      </c>
      <c r="H27" s="23">
        <v>16000</v>
      </c>
      <c r="I27" s="24" t="s">
        <v>66</v>
      </c>
    </row>
    <row r="28" spans="1:9" x14ac:dyDescent="0.3">
      <c r="A28" s="18">
        <v>10476</v>
      </c>
      <c r="B28" s="19" t="s">
        <v>67</v>
      </c>
      <c r="C28" s="19" t="s">
        <v>11</v>
      </c>
      <c r="D28" s="20">
        <v>41713</v>
      </c>
      <c r="E28" s="21">
        <v>2014</v>
      </c>
      <c r="F28" s="22">
        <v>3</v>
      </c>
      <c r="G28" s="19" t="s">
        <v>39</v>
      </c>
      <c r="H28" s="23">
        <v>4000</v>
      </c>
      <c r="I28" s="24" t="s">
        <v>68</v>
      </c>
    </row>
    <row r="29" spans="1:9" x14ac:dyDescent="0.3">
      <c r="A29" s="18">
        <v>10478</v>
      </c>
      <c r="B29" s="19" t="s">
        <v>69</v>
      </c>
      <c r="C29" s="19" t="s">
        <v>8</v>
      </c>
      <c r="D29" s="20">
        <v>41714</v>
      </c>
      <c r="E29" s="21">
        <v>2014</v>
      </c>
      <c r="F29" s="22">
        <v>3</v>
      </c>
      <c r="G29" s="19" t="s">
        <v>39</v>
      </c>
      <c r="H29" s="23">
        <v>5000</v>
      </c>
      <c r="I29" s="24" t="s">
        <v>70</v>
      </c>
    </row>
    <row r="30" spans="1:9" x14ac:dyDescent="0.3">
      <c r="A30" s="18">
        <v>10479</v>
      </c>
      <c r="B30" s="19" t="s">
        <v>71</v>
      </c>
      <c r="C30" s="19" t="s">
        <v>15</v>
      </c>
      <c r="D30" s="20">
        <v>41715</v>
      </c>
      <c r="E30" s="21">
        <v>2014</v>
      </c>
      <c r="F30" s="22">
        <v>3</v>
      </c>
      <c r="G30" s="19" t="s">
        <v>39</v>
      </c>
      <c r="H30" s="23">
        <v>709000</v>
      </c>
      <c r="I30" s="24" t="s">
        <v>72</v>
      </c>
    </row>
    <row r="31" spans="1:9" x14ac:dyDescent="0.3">
      <c r="A31" s="18">
        <v>10482</v>
      </c>
      <c r="B31" s="19" t="s">
        <v>73</v>
      </c>
      <c r="C31" s="19" t="s">
        <v>9</v>
      </c>
      <c r="D31" s="20">
        <v>41717</v>
      </c>
      <c r="E31" s="21">
        <v>2014</v>
      </c>
      <c r="F31" s="22">
        <v>3</v>
      </c>
      <c r="G31" s="19" t="s">
        <v>39</v>
      </c>
      <c r="H31" s="23">
        <v>7000</v>
      </c>
      <c r="I31" s="24" t="s">
        <v>74</v>
      </c>
    </row>
    <row r="32" spans="1:9" x14ac:dyDescent="0.3">
      <c r="A32" s="18">
        <v>10484</v>
      </c>
      <c r="B32" s="19" t="s">
        <v>63</v>
      </c>
      <c r="C32" s="19" t="s">
        <v>15</v>
      </c>
      <c r="D32" s="20">
        <v>41720</v>
      </c>
      <c r="E32" s="21">
        <v>2014</v>
      </c>
      <c r="F32" s="22">
        <v>3</v>
      </c>
      <c r="G32" s="19" t="s">
        <v>39</v>
      </c>
      <c r="H32" s="23">
        <v>7000</v>
      </c>
      <c r="I32" s="24" t="s">
        <v>64</v>
      </c>
    </row>
    <row r="33" spans="1:9" x14ac:dyDescent="0.3">
      <c r="A33" s="18">
        <v>10491</v>
      </c>
      <c r="B33" s="19" t="s">
        <v>75</v>
      </c>
      <c r="C33" s="19" t="s">
        <v>11</v>
      </c>
      <c r="D33" s="20">
        <v>41727</v>
      </c>
      <c r="E33" s="21">
        <v>2014</v>
      </c>
      <c r="F33" s="22">
        <v>3</v>
      </c>
      <c r="G33" s="19" t="s">
        <v>39</v>
      </c>
      <c r="H33" s="23">
        <v>17000</v>
      </c>
      <c r="I33" s="24" t="s">
        <v>76</v>
      </c>
    </row>
    <row r="34" spans="1:9" x14ac:dyDescent="0.3">
      <c r="A34" s="18">
        <v>10493</v>
      </c>
      <c r="B34" s="19" t="s">
        <v>32</v>
      </c>
      <c r="C34" s="19" t="s">
        <v>16</v>
      </c>
      <c r="D34" s="20">
        <v>41729</v>
      </c>
      <c r="E34" s="21">
        <v>2014</v>
      </c>
      <c r="F34" s="22">
        <v>3</v>
      </c>
      <c r="G34" s="19" t="s">
        <v>39</v>
      </c>
      <c r="H34" s="23">
        <v>11000</v>
      </c>
      <c r="I34" s="24" t="s">
        <v>33</v>
      </c>
    </row>
    <row r="35" spans="1:9" x14ac:dyDescent="0.3">
      <c r="A35" s="18">
        <v>10495</v>
      </c>
      <c r="B35" s="19" t="s">
        <v>77</v>
      </c>
      <c r="C35" s="19" t="s">
        <v>15</v>
      </c>
      <c r="D35" s="20">
        <v>41730</v>
      </c>
      <c r="E35" s="21">
        <v>2014</v>
      </c>
      <c r="F35" s="22">
        <v>4</v>
      </c>
      <c r="G35" s="19" t="s">
        <v>39</v>
      </c>
      <c r="H35" s="23">
        <v>5000</v>
      </c>
      <c r="I35" s="24" t="s">
        <v>78</v>
      </c>
    </row>
    <row r="36" spans="1:9" x14ac:dyDescent="0.3">
      <c r="A36" s="18">
        <v>10501</v>
      </c>
      <c r="B36" s="19" t="s">
        <v>79</v>
      </c>
      <c r="C36" s="19" t="s">
        <v>14</v>
      </c>
      <c r="D36" s="20">
        <v>41736</v>
      </c>
      <c r="E36" s="21">
        <v>2014</v>
      </c>
      <c r="F36" s="22">
        <v>4</v>
      </c>
      <c r="G36" s="19" t="s">
        <v>39</v>
      </c>
      <c r="H36" s="23">
        <v>9000</v>
      </c>
      <c r="I36" s="24" t="s">
        <v>80</v>
      </c>
    </row>
    <row r="37" spans="1:9" x14ac:dyDescent="0.3">
      <c r="A37" s="18">
        <v>10504</v>
      </c>
      <c r="B37" s="19" t="s">
        <v>81</v>
      </c>
      <c r="C37" s="19" t="s">
        <v>16</v>
      </c>
      <c r="D37" s="20">
        <v>41738</v>
      </c>
      <c r="E37" s="21">
        <v>2014</v>
      </c>
      <c r="F37" s="22">
        <v>4</v>
      </c>
      <c r="G37" s="19" t="s">
        <v>39</v>
      </c>
      <c r="H37" s="23">
        <v>59000</v>
      </c>
      <c r="I37" s="24" t="s">
        <v>82</v>
      </c>
    </row>
    <row r="38" spans="1:9" x14ac:dyDescent="0.3">
      <c r="A38" s="18">
        <v>10505</v>
      </c>
      <c r="B38" s="19" t="s">
        <v>36</v>
      </c>
      <c r="C38" s="19" t="s">
        <v>15</v>
      </c>
      <c r="D38" s="20">
        <v>41741</v>
      </c>
      <c r="E38" s="21">
        <v>2014</v>
      </c>
      <c r="F38" s="22">
        <v>4</v>
      </c>
      <c r="G38" s="19" t="s">
        <v>39</v>
      </c>
      <c r="H38" s="23">
        <v>7000</v>
      </c>
      <c r="I38" s="24" t="s">
        <v>37</v>
      </c>
    </row>
    <row r="39" spans="1:9" x14ac:dyDescent="0.3">
      <c r="A39" s="18">
        <v>10510</v>
      </c>
      <c r="B39" s="19" t="s">
        <v>83</v>
      </c>
      <c r="C39" s="19" t="s">
        <v>10</v>
      </c>
      <c r="D39" s="20">
        <v>41745</v>
      </c>
      <c r="E39" s="21">
        <v>2014</v>
      </c>
      <c r="F39" s="22">
        <v>4</v>
      </c>
      <c r="G39" s="19" t="s">
        <v>39</v>
      </c>
      <c r="H39" s="23">
        <v>368000</v>
      </c>
      <c r="I39" s="24" t="s">
        <v>84</v>
      </c>
    </row>
    <row r="40" spans="1:9" x14ac:dyDescent="0.3">
      <c r="A40" s="18">
        <v>10511</v>
      </c>
      <c r="B40" s="19" t="s">
        <v>85</v>
      </c>
      <c r="C40" s="19" t="s">
        <v>16</v>
      </c>
      <c r="D40" s="20">
        <v>41745</v>
      </c>
      <c r="E40" s="21">
        <v>2014</v>
      </c>
      <c r="F40" s="22">
        <v>4</v>
      </c>
      <c r="G40" s="19" t="s">
        <v>39</v>
      </c>
      <c r="H40" s="23">
        <v>351000</v>
      </c>
      <c r="I40" s="24" t="s">
        <v>86</v>
      </c>
    </row>
    <row r="41" spans="1:9" x14ac:dyDescent="0.3">
      <c r="A41" s="18">
        <v>10516</v>
      </c>
      <c r="B41" s="19" t="s">
        <v>87</v>
      </c>
      <c r="C41" s="19" t="s">
        <v>8</v>
      </c>
      <c r="D41" s="20">
        <v>41751</v>
      </c>
      <c r="E41" s="21">
        <v>2014</v>
      </c>
      <c r="F41" s="22">
        <v>4</v>
      </c>
      <c r="G41" s="19" t="s">
        <v>39</v>
      </c>
      <c r="H41" s="23">
        <v>63000</v>
      </c>
      <c r="I41" s="24" t="s">
        <v>88</v>
      </c>
    </row>
    <row r="42" spans="1:9" x14ac:dyDescent="0.3">
      <c r="A42" s="18">
        <v>10517</v>
      </c>
      <c r="B42" s="19" t="s">
        <v>89</v>
      </c>
      <c r="C42" s="19" t="s">
        <v>15</v>
      </c>
      <c r="D42" s="20">
        <v>41751</v>
      </c>
      <c r="E42" s="21">
        <v>2014</v>
      </c>
      <c r="F42" s="22">
        <v>4</v>
      </c>
      <c r="G42" s="19" t="s">
        <v>39</v>
      </c>
      <c r="H42" s="23">
        <v>32000</v>
      </c>
      <c r="I42" s="24" t="s">
        <v>90</v>
      </c>
    </row>
    <row r="43" spans="1:9" x14ac:dyDescent="0.3">
      <c r="A43" s="18">
        <v>10519</v>
      </c>
      <c r="B43" s="19" t="s">
        <v>91</v>
      </c>
      <c r="C43" s="19" t="s">
        <v>10</v>
      </c>
      <c r="D43" s="20">
        <v>41755</v>
      </c>
      <c r="E43" s="21">
        <v>2014</v>
      </c>
      <c r="F43" s="22">
        <v>4</v>
      </c>
      <c r="G43" s="19" t="s">
        <v>39</v>
      </c>
      <c r="H43" s="23">
        <v>92000</v>
      </c>
      <c r="I43" s="24" t="s">
        <v>92</v>
      </c>
    </row>
    <row r="44" spans="1:9" x14ac:dyDescent="0.3">
      <c r="A44" s="18">
        <v>10532</v>
      </c>
      <c r="B44" s="19" t="s">
        <v>93</v>
      </c>
      <c r="C44" s="19" t="s">
        <v>13</v>
      </c>
      <c r="D44" s="20">
        <v>41766</v>
      </c>
      <c r="E44" s="21">
        <v>2014</v>
      </c>
      <c r="F44" s="22">
        <v>5</v>
      </c>
      <c r="G44" s="19" t="s">
        <v>39</v>
      </c>
      <c r="H44" s="23">
        <v>74000</v>
      </c>
      <c r="I44" s="24" t="s">
        <v>94</v>
      </c>
    </row>
    <row r="45" spans="1:9" x14ac:dyDescent="0.3">
      <c r="A45" s="18">
        <v>10538</v>
      </c>
      <c r="B45" s="19" t="s">
        <v>63</v>
      </c>
      <c r="C45" s="19" t="s">
        <v>14</v>
      </c>
      <c r="D45" s="20">
        <v>41772</v>
      </c>
      <c r="E45" s="21">
        <v>2014</v>
      </c>
      <c r="F45" s="22">
        <v>5</v>
      </c>
      <c r="G45" s="19" t="s">
        <v>39</v>
      </c>
      <c r="H45" s="23">
        <v>5000</v>
      </c>
      <c r="I45" s="24" t="s">
        <v>64</v>
      </c>
    </row>
    <row r="46" spans="1:9" x14ac:dyDescent="0.3">
      <c r="A46" s="18">
        <v>10539</v>
      </c>
      <c r="B46" s="19" t="s">
        <v>63</v>
      </c>
      <c r="C46" s="19" t="s">
        <v>10</v>
      </c>
      <c r="D46" s="20">
        <v>41773</v>
      </c>
      <c r="E46" s="21">
        <v>2014</v>
      </c>
      <c r="F46" s="22">
        <v>5</v>
      </c>
      <c r="G46" s="19" t="s">
        <v>39</v>
      </c>
      <c r="H46" s="23">
        <v>12000</v>
      </c>
      <c r="I46" s="24" t="s">
        <v>64</v>
      </c>
    </row>
    <row r="47" spans="1:9" x14ac:dyDescent="0.3">
      <c r="A47" s="18">
        <v>10540</v>
      </c>
      <c r="B47" s="19" t="s">
        <v>53</v>
      </c>
      <c r="C47" s="19" t="s">
        <v>15</v>
      </c>
      <c r="D47" s="20">
        <v>41776</v>
      </c>
      <c r="E47" s="21">
        <v>2014</v>
      </c>
      <c r="F47" s="22">
        <v>5</v>
      </c>
      <c r="G47" s="19" t="s">
        <v>39</v>
      </c>
      <c r="H47" s="23">
        <v>1008000</v>
      </c>
      <c r="I47" s="24" t="s">
        <v>54</v>
      </c>
    </row>
    <row r="48" spans="1:9" x14ac:dyDescent="0.3">
      <c r="A48" s="18">
        <v>10542</v>
      </c>
      <c r="B48" s="19" t="s">
        <v>61</v>
      </c>
      <c r="C48" s="19" t="s">
        <v>9</v>
      </c>
      <c r="D48" s="20">
        <v>41777</v>
      </c>
      <c r="E48" s="21">
        <v>2014</v>
      </c>
      <c r="F48" s="22">
        <v>5</v>
      </c>
      <c r="G48" s="19" t="s">
        <v>39</v>
      </c>
      <c r="H48" s="23">
        <v>11000</v>
      </c>
      <c r="I48" s="24" t="s">
        <v>62</v>
      </c>
    </row>
    <row r="49" spans="1:9" x14ac:dyDescent="0.3">
      <c r="A49" s="18">
        <v>10546</v>
      </c>
      <c r="B49" s="19" t="s">
        <v>69</v>
      </c>
      <c r="C49" s="19" t="s">
        <v>9</v>
      </c>
      <c r="D49" s="20">
        <v>41780</v>
      </c>
      <c r="E49" s="21">
        <v>2014</v>
      </c>
      <c r="F49" s="22">
        <v>5</v>
      </c>
      <c r="G49" s="19" t="s">
        <v>39</v>
      </c>
      <c r="H49" s="23">
        <v>195000</v>
      </c>
      <c r="I49" s="24" t="s">
        <v>70</v>
      </c>
    </row>
    <row r="50" spans="1:9" x14ac:dyDescent="0.3">
      <c r="A50" s="18">
        <v>10551</v>
      </c>
      <c r="B50" s="19" t="s">
        <v>75</v>
      </c>
      <c r="C50" s="19" t="s">
        <v>16</v>
      </c>
      <c r="D50" s="20">
        <v>41785</v>
      </c>
      <c r="E50" s="21">
        <v>2014</v>
      </c>
      <c r="F50" s="22">
        <v>5</v>
      </c>
      <c r="G50" s="19" t="s">
        <v>39</v>
      </c>
      <c r="H50" s="23">
        <v>73000</v>
      </c>
      <c r="I50" s="24" t="s">
        <v>76</v>
      </c>
    </row>
    <row r="51" spans="1:9" x14ac:dyDescent="0.3">
      <c r="A51" s="18">
        <v>10550</v>
      </c>
      <c r="B51" s="19" t="s">
        <v>95</v>
      </c>
      <c r="C51" s="19" t="s">
        <v>13</v>
      </c>
      <c r="D51" s="20">
        <v>41785</v>
      </c>
      <c r="E51" s="21">
        <v>2014</v>
      </c>
      <c r="F51" s="22">
        <v>5</v>
      </c>
      <c r="G51" s="19" t="s">
        <v>39</v>
      </c>
      <c r="H51" s="23">
        <v>4000</v>
      </c>
      <c r="I51" s="24" t="s">
        <v>96</v>
      </c>
    </row>
    <row r="52" spans="1:9" x14ac:dyDescent="0.3">
      <c r="A52" s="18">
        <v>10554</v>
      </c>
      <c r="B52" s="19" t="s">
        <v>27</v>
      </c>
      <c r="C52" s="19" t="s">
        <v>16</v>
      </c>
      <c r="D52" s="20">
        <v>41787</v>
      </c>
      <c r="E52" s="21">
        <v>2014</v>
      </c>
      <c r="F52" s="22">
        <v>5</v>
      </c>
      <c r="G52" s="19" t="s">
        <v>39</v>
      </c>
      <c r="H52" s="23">
        <v>121000</v>
      </c>
      <c r="I52" s="24" t="s">
        <v>29</v>
      </c>
    </row>
    <row r="53" spans="1:9" x14ac:dyDescent="0.3">
      <c r="A53" s="18">
        <v>10555</v>
      </c>
      <c r="B53" s="19" t="s">
        <v>83</v>
      </c>
      <c r="C53" s="19" t="s">
        <v>10</v>
      </c>
      <c r="D53" s="20">
        <v>41790</v>
      </c>
      <c r="E53" s="21">
        <v>2014</v>
      </c>
      <c r="F53" s="22">
        <v>5</v>
      </c>
      <c r="G53" s="19" t="s">
        <v>39</v>
      </c>
      <c r="H53" s="23">
        <v>252000</v>
      </c>
      <c r="I53" s="24" t="s">
        <v>84</v>
      </c>
    </row>
    <row r="54" spans="1:9" x14ac:dyDescent="0.3">
      <c r="A54" s="18">
        <v>10564</v>
      </c>
      <c r="B54" s="19" t="s">
        <v>71</v>
      </c>
      <c r="C54" s="19" t="s">
        <v>16</v>
      </c>
      <c r="D54" s="20">
        <v>41798</v>
      </c>
      <c r="E54" s="21">
        <v>2014</v>
      </c>
      <c r="F54" s="22">
        <v>6</v>
      </c>
      <c r="G54" s="19" t="s">
        <v>39</v>
      </c>
      <c r="H54" s="23">
        <v>14000</v>
      </c>
      <c r="I54" s="24" t="s">
        <v>72</v>
      </c>
    </row>
    <row r="55" spans="1:9" x14ac:dyDescent="0.3">
      <c r="A55" s="18">
        <v>10568</v>
      </c>
      <c r="B55" s="19" t="s">
        <v>97</v>
      </c>
      <c r="C55" s="19" t="s">
        <v>15</v>
      </c>
      <c r="D55" s="20">
        <v>41801</v>
      </c>
      <c r="E55" s="21">
        <v>2014</v>
      </c>
      <c r="F55" s="22">
        <v>6</v>
      </c>
      <c r="G55" s="19" t="s">
        <v>39</v>
      </c>
      <c r="H55" s="23">
        <v>7000</v>
      </c>
      <c r="I55" s="24" t="s">
        <v>98</v>
      </c>
    </row>
    <row r="56" spans="1:9" x14ac:dyDescent="0.3">
      <c r="A56" s="18">
        <v>10570</v>
      </c>
      <c r="B56" s="19" t="s">
        <v>36</v>
      </c>
      <c r="C56" s="19" t="s">
        <v>15</v>
      </c>
      <c r="D56" s="20">
        <v>41805</v>
      </c>
      <c r="E56" s="21">
        <v>2014</v>
      </c>
      <c r="F56" s="22">
        <v>6</v>
      </c>
      <c r="G56" s="19" t="s">
        <v>39</v>
      </c>
      <c r="H56" s="23">
        <v>189000</v>
      </c>
      <c r="I56" s="24" t="s">
        <v>37</v>
      </c>
    </row>
    <row r="57" spans="1:9" x14ac:dyDescent="0.3">
      <c r="A57" s="18">
        <v>10571</v>
      </c>
      <c r="B57" s="19" t="s">
        <v>38</v>
      </c>
      <c r="C57" s="19" t="s">
        <v>11</v>
      </c>
      <c r="D57" s="20">
        <v>41805</v>
      </c>
      <c r="E57" s="21">
        <v>2014</v>
      </c>
      <c r="F57" s="22">
        <v>6</v>
      </c>
      <c r="G57" s="19" t="s">
        <v>39</v>
      </c>
      <c r="H57" s="23">
        <v>26000</v>
      </c>
      <c r="I57" s="24" t="s">
        <v>40</v>
      </c>
    </row>
    <row r="58" spans="1:9" x14ac:dyDescent="0.3">
      <c r="A58" s="18">
        <v>10573</v>
      </c>
      <c r="B58" s="19" t="s">
        <v>99</v>
      </c>
      <c r="C58" s="19" t="s">
        <v>13</v>
      </c>
      <c r="D58" s="20">
        <v>41807</v>
      </c>
      <c r="E58" s="21">
        <v>2014</v>
      </c>
      <c r="F58" s="22">
        <v>6</v>
      </c>
      <c r="G58" s="19" t="s">
        <v>39</v>
      </c>
      <c r="H58" s="23">
        <v>85000</v>
      </c>
      <c r="I58" s="24" t="s">
        <v>100</v>
      </c>
    </row>
    <row r="59" spans="1:9" x14ac:dyDescent="0.3">
      <c r="A59" s="18">
        <v>10576</v>
      </c>
      <c r="B59" s="19" t="s">
        <v>101</v>
      </c>
      <c r="C59" s="19" t="s">
        <v>15</v>
      </c>
      <c r="D59" s="20">
        <v>41811</v>
      </c>
      <c r="E59" s="21">
        <v>2014</v>
      </c>
      <c r="F59" s="22">
        <v>6</v>
      </c>
      <c r="G59" s="19" t="s">
        <v>39</v>
      </c>
      <c r="H59" s="23">
        <v>19000</v>
      </c>
      <c r="I59" s="24" t="s">
        <v>102</v>
      </c>
    </row>
    <row r="60" spans="1:9" x14ac:dyDescent="0.3">
      <c r="A60" s="18">
        <v>10578</v>
      </c>
      <c r="B60" s="19" t="s">
        <v>63</v>
      </c>
      <c r="C60" s="19" t="s">
        <v>16</v>
      </c>
      <c r="D60" s="20">
        <v>41812</v>
      </c>
      <c r="E60" s="21">
        <v>2014</v>
      </c>
      <c r="F60" s="22">
        <v>6</v>
      </c>
      <c r="G60" s="19" t="s">
        <v>39</v>
      </c>
      <c r="H60" s="23">
        <v>30000</v>
      </c>
      <c r="I60" s="24" t="s">
        <v>64</v>
      </c>
    </row>
    <row r="61" spans="1:9" x14ac:dyDescent="0.3">
      <c r="A61" s="18">
        <v>10580</v>
      </c>
      <c r="B61" s="19" t="s">
        <v>27</v>
      </c>
      <c r="C61" s="19" t="s">
        <v>16</v>
      </c>
      <c r="D61" s="20">
        <v>41814</v>
      </c>
      <c r="E61" s="21">
        <v>2014</v>
      </c>
      <c r="F61" s="22">
        <v>6</v>
      </c>
      <c r="G61" s="19" t="s">
        <v>39</v>
      </c>
      <c r="H61" s="23">
        <v>76000</v>
      </c>
      <c r="I61" s="24" t="s">
        <v>29</v>
      </c>
    </row>
    <row r="62" spans="1:9" x14ac:dyDescent="0.3">
      <c r="A62" s="18">
        <v>10588</v>
      </c>
      <c r="B62" s="19" t="s">
        <v>53</v>
      </c>
      <c r="C62" s="19" t="s">
        <v>8</v>
      </c>
      <c r="D62" s="20">
        <v>41821</v>
      </c>
      <c r="E62" s="21">
        <v>2014</v>
      </c>
      <c r="F62" s="22">
        <v>7</v>
      </c>
      <c r="G62" s="19" t="s">
        <v>39</v>
      </c>
      <c r="H62" s="23">
        <v>195000</v>
      </c>
      <c r="I62" s="24" t="s">
        <v>54</v>
      </c>
    </row>
    <row r="63" spans="1:9" x14ac:dyDescent="0.3">
      <c r="A63" s="18">
        <v>10590</v>
      </c>
      <c r="B63" s="19" t="s">
        <v>36</v>
      </c>
      <c r="C63" s="19" t="s">
        <v>16</v>
      </c>
      <c r="D63" s="20">
        <v>41825</v>
      </c>
      <c r="E63" s="21">
        <v>2014</v>
      </c>
      <c r="F63" s="22">
        <v>7</v>
      </c>
      <c r="G63" s="19" t="s">
        <v>39</v>
      </c>
      <c r="H63" s="23">
        <v>45000</v>
      </c>
      <c r="I63" s="24" t="s">
        <v>37</v>
      </c>
    </row>
    <row r="64" spans="1:9" x14ac:dyDescent="0.3">
      <c r="A64" s="18">
        <v>10597</v>
      </c>
      <c r="B64" s="19" t="s">
        <v>103</v>
      </c>
      <c r="C64" s="19" t="s">
        <v>13</v>
      </c>
      <c r="D64" s="20">
        <v>41829</v>
      </c>
      <c r="E64" s="21">
        <v>2014</v>
      </c>
      <c r="F64" s="22">
        <v>7</v>
      </c>
      <c r="G64" s="19" t="s">
        <v>39</v>
      </c>
      <c r="H64" s="23">
        <v>35000</v>
      </c>
      <c r="I64" s="24" t="s">
        <v>104</v>
      </c>
    </row>
    <row r="65" spans="1:9" x14ac:dyDescent="0.3">
      <c r="A65" s="18">
        <v>10598</v>
      </c>
      <c r="B65" s="19" t="s">
        <v>71</v>
      </c>
      <c r="C65" s="19" t="s">
        <v>9</v>
      </c>
      <c r="D65" s="20">
        <v>41832</v>
      </c>
      <c r="E65" s="21">
        <v>2014</v>
      </c>
      <c r="F65" s="22">
        <v>7</v>
      </c>
      <c r="G65" s="19" t="s">
        <v>39</v>
      </c>
      <c r="H65" s="23">
        <v>44000</v>
      </c>
      <c r="I65" s="24" t="s">
        <v>72</v>
      </c>
    </row>
    <row r="66" spans="1:9" x14ac:dyDescent="0.3">
      <c r="A66" s="18">
        <v>10599</v>
      </c>
      <c r="B66" s="19" t="s">
        <v>63</v>
      </c>
      <c r="C66" s="19" t="s">
        <v>10</v>
      </c>
      <c r="D66" s="20">
        <v>41833</v>
      </c>
      <c r="E66" s="21">
        <v>2014</v>
      </c>
      <c r="F66" s="22">
        <v>7</v>
      </c>
      <c r="G66" s="19" t="s">
        <v>39</v>
      </c>
      <c r="H66" s="23">
        <v>30000</v>
      </c>
      <c r="I66" s="24" t="s">
        <v>64</v>
      </c>
    </row>
    <row r="67" spans="1:9" x14ac:dyDescent="0.3">
      <c r="A67" s="18">
        <v>10606</v>
      </c>
      <c r="B67" s="19" t="s">
        <v>105</v>
      </c>
      <c r="C67" s="19" t="s">
        <v>16</v>
      </c>
      <c r="D67" s="20">
        <v>41840</v>
      </c>
      <c r="E67" s="21">
        <v>2014</v>
      </c>
      <c r="F67" s="22">
        <v>7</v>
      </c>
      <c r="G67" s="19" t="s">
        <v>39</v>
      </c>
      <c r="H67" s="23">
        <v>79000</v>
      </c>
      <c r="I67" s="24" t="s">
        <v>106</v>
      </c>
    </row>
    <row r="68" spans="1:9" x14ac:dyDescent="0.3">
      <c r="A68" s="18">
        <v>10614</v>
      </c>
      <c r="B68" s="19" t="s">
        <v>79</v>
      </c>
      <c r="C68" s="19" t="s">
        <v>11</v>
      </c>
      <c r="D68" s="20">
        <v>41847</v>
      </c>
      <c r="E68" s="21">
        <v>2014</v>
      </c>
      <c r="F68" s="22">
        <v>7</v>
      </c>
      <c r="G68" s="19" t="s">
        <v>39</v>
      </c>
      <c r="H68" s="23">
        <v>2000</v>
      </c>
      <c r="I68" s="24" t="s">
        <v>80</v>
      </c>
    </row>
    <row r="69" spans="1:9" x14ac:dyDescent="0.3">
      <c r="A69" s="18">
        <v>10615</v>
      </c>
      <c r="B69" s="19" t="s">
        <v>107</v>
      </c>
      <c r="C69" s="19" t="s">
        <v>8</v>
      </c>
      <c r="D69" s="20">
        <v>41848</v>
      </c>
      <c r="E69" s="21">
        <v>2014</v>
      </c>
      <c r="F69" s="22">
        <v>7</v>
      </c>
      <c r="G69" s="19" t="s">
        <v>39</v>
      </c>
      <c r="H69" s="23">
        <v>1000</v>
      </c>
      <c r="I69" s="24" t="s">
        <v>108</v>
      </c>
    </row>
    <row r="70" spans="1:9" x14ac:dyDescent="0.3">
      <c r="A70" s="18">
        <v>10619</v>
      </c>
      <c r="B70" s="19" t="s">
        <v>36</v>
      </c>
      <c r="C70" s="19" t="s">
        <v>15</v>
      </c>
      <c r="D70" s="20">
        <v>41853</v>
      </c>
      <c r="E70" s="21">
        <v>2014</v>
      </c>
      <c r="F70" s="22">
        <v>8</v>
      </c>
      <c r="G70" s="19" t="s">
        <v>39</v>
      </c>
      <c r="H70" s="23">
        <v>91000</v>
      </c>
      <c r="I70" s="24" t="s">
        <v>37</v>
      </c>
    </row>
    <row r="71" spans="1:9" x14ac:dyDescent="0.3">
      <c r="A71" s="18">
        <v>10620</v>
      </c>
      <c r="B71" s="19" t="s">
        <v>77</v>
      </c>
      <c r="C71" s="19" t="s">
        <v>8</v>
      </c>
      <c r="D71" s="20">
        <v>41854</v>
      </c>
      <c r="E71" s="21">
        <v>2014</v>
      </c>
      <c r="F71" s="22">
        <v>8</v>
      </c>
      <c r="G71" s="19" t="s">
        <v>39</v>
      </c>
      <c r="H71" s="23">
        <v>1000</v>
      </c>
      <c r="I71" s="24" t="s">
        <v>78</v>
      </c>
    </row>
    <row r="72" spans="1:9" x14ac:dyDescent="0.3">
      <c r="A72" s="18">
        <v>10622</v>
      </c>
      <c r="B72" s="19" t="s">
        <v>109</v>
      </c>
      <c r="C72" s="19" t="s">
        <v>16</v>
      </c>
      <c r="D72" s="20">
        <v>41855</v>
      </c>
      <c r="E72" s="21">
        <v>2014</v>
      </c>
      <c r="F72" s="22">
        <v>8</v>
      </c>
      <c r="G72" s="19" t="s">
        <v>39</v>
      </c>
      <c r="H72" s="23">
        <v>51000</v>
      </c>
      <c r="I72" s="24" t="s">
        <v>110</v>
      </c>
    </row>
    <row r="73" spans="1:9" x14ac:dyDescent="0.3">
      <c r="A73" s="18">
        <v>10627</v>
      </c>
      <c r="B73" s="19" t="s">
        <v>83</v>
      </c>
      <c r="C73" s="19" t="s">
        <v>11</v>
      </c>
      <c r="D73" s="20">
        <v>41860</v>
      </c>
      <c r="E73" s="21">
        <v>2014</v>
      </c>
      <c r="F73" s="22">
        <v>8</v>
      </c>
      <c r="G73" s="19" t="s">
        <v>39</v>
      </c>
      <c r="H73" s="23">
        <v>107000</v>
      </c>
      <c r="I73" s="24" t="s">
        <v>84</v>
      </c>
    </row>
    <row r="74" spans="1:9" x14ac:dyDescent="0.3">
      <c r="A74" s="18">
        <v>10629</v>
      </c>
      <c r="B74" s="19" t="s">
        <v>95</v>
      </c>
      <c r="C74" s="19" t="s">
        <v>16</v>
      </c>
      <c r="D74" s="20">
        <v>41861</v>
      </c>
      <c r="E74" s="21">
        <v>2014</v>
      </c>
      <c r="F74" s="22">
        <v>8</v>
      </c>
      <c r="G74" s="19" t="s">
        <v>39</v>
      </c>
      <c r="H74" s="23">
        <v>85000</v>
      </c>
      <c r="I74" s="24" t="s">
        <v>96</v>
      </c>
    </row>
    <row r="75" spans="1:9" x14ac:dyDescent="0.3">
      <c r="A75" s="18">
        <v>10628</v>
      </c>
      <c r="B75" s="19" t="s">
        <v>111</v>
      </c>
      <c r="C75" s="19" t="s">
        <v>16</v>
      </c>
      <c r="D75" s="20">
        <v>41861</v>
      </c>
      <c r="E75" s="21">
        <v>2014</v>
      </c>
      <c r="F75" s="22">
        <v>8</v>
      </c>
      <c r="G75" s="19" t="s">
        <v>39</v>
      </c>
      <c r="H75" s="23">
        <v>30000</v>
      </c>
      <c r="I75" s="24" t="s">
        <v>112</v>
      </c>
    </row>
    <row r="76" spans="1:9" x14ac:dyDescent="0.3">
      <c r="A76" s="18">
        <v>10634</v>
      </c>
      <c r="B76" s="19" t="s">
        <v>113</v>
      </c>
      <c r="C76" s="19" t="s">
        <v>16</v>
      </c>
      <c r="D76" s="20">
        <v>41864</v>
      </c>
      <c r="E76" s="21">
        <v>2014</v>
      </c>
      <c r="F76" s="22">
        <v>8</v>
      </c>
      <c r="G76" s="19" t="s">
        <v>39</v>
      </c>
      <c r="H76" s="23">
        <v>487000</v>
      </c>
      <c r="I76" s="24" t="s">
        <v>114</v>
      </c>
    </row>
    <row r="77" spans="1:9" x14ac:dyDescent="0.3">
      <c r="A77" s="18">
        <v>10633</v>
      </c>
      <c r="B77" s="19" t="s">
        <v>38</v>
      </c>
      <c r="C77" s="19" t="s">
        <v>13</v>
      </c>
      <c r="D77" s="20">
        <v>41864</v>
      </c>
      <c r="E77" s="21">
        <v>2014</v>
      </c>
      <c r="F77" s="22">
        <v>8</v>
      </c>
      <c r="G77" s="19" t="s">
        <v>39</v>
      </c>
      <c r="H77" s="23">
        <v>478000</v>
      </c>
      <c r="I77" s="24" t="s">
        <v>40</v>
      </c>
    </row>
    <row r="78" spans="1:9" x14ac:dyDescent="0.3">
      <c r="A78" s="18">
        <v>10635</v>
      </c>
      <c r="B78" s="19" t="s">
        <v>115</v>
      </c>
      <c r="C78" s="19" t="s">
        <v>11</v>
      </c>
      <c r="D78" s="20">
        <v>41867</v>
      </c>
      <c r="E78" s="21">
        <v>2014</v>
      </c>
      <c r="F78" s="22">
        <v>8</v>
      </c>
      <c r="G78" s="19" t="s">
        <v>39</v>
      </c>
      <c r="H78" s="23">
        <v>47000</v>
      </c>
      <c r="I78" s="24" t="s">
        <v>116</v>
      </c>
    </row>
    <row r="79" spans="1:9" x14ac:dyDescent="0.3">
      <c r="A79" s="18">
        <v>10639</v>
      </c>
      <c r="B79" s="19" t="s">
        <v>117</v>
      </c>
      <c r="C79" s="19" t="s">
        <v>13</v>
      </c>
      <c r="D79" s="20">
        <v>41869</v>
      </c>
      <c r="E79" s="21">
        <v>2014</v>
      </c>
      <c r="F79" s="22">
        <v>8</v>
      </c>
      <c r="G79" s="19" t="s">
        <v>39</v>
      </c>
      <c r="H79" s="23">
        <v>39000</v>
      </c>
      <c r="I79" s="24" t="s">
        <v>118</v>
      </c>
    </row>
    <row r="80" spans="1:9" x14ac:dyDescent="0.3">
      <c r="A80" s="18">
        <v>10642</v>
      </c>
      <c r="B80" s="19" t="s">
        <v>45</v>
      </c>
      <c r="C80" s="19" t="s">
        <v>13</v>
      </c>
      <c r="D80" s="20">
        <v>41871</v>
      </c>
      <c r="E80" s="21">
        <v>2014</v>
      </c>
      <c r="F80" s="22">
        <v>8</v>
      </c>
      <c r="G80" s="19" t="s">
        <v>39</v>
      </c>
      <c r="H80" s="23">
        <v>42000</v>
      </c>
      <c r="I80" s="24" t="s">
        <v>46</v>
      </c>
    </row>
    <row r="81" spans="1:9" x14ac:dyDescent="0.3">
      <c r="A81" s="18">
        <v>10646</v>
      </c>
      <c r="B81" s="19" t="s">
        <v>87</v>
      </c>
      <c r="C81" s="19" t="s">
        <v>14</v>
      </c>
      <c r="D81" s="20">
        <v>41876</v>
      </c>
      <c r="E81" s="21">
        <v>2014</v>
      </c>
      <c r="F81" s="22">
        <v>8</v>
      </c>
      <c r="G81" s="19" t="s">
        <v>39</v>
      </c>
      <c r="H81" s="23">
        <v>142000</v>
      </c>
      <c r="I81" s="24" t="s">
        <v>88</v>
      </c>
    </row>
    <row r="82" spans="1:9" x14ac:dyDescent="0.3">
      <c r="A82" s="18">
        <v>10649</v>
      </c>
      <c r="B82" s="19" t="s">
        <v>119</v>
      </c>
      <c r="C82" s="19" t="s">
        <v>12</v>
      </c>
      <c r="D82" s="20">
        <v>41877</v>
      </c>
      <c r="E82" s="21">
        <v>2014</v>
      </c>
      <c r="F82" s="22">
        <v>8</v>
      </c>
      <c r="G82" s="19" t="s">
        <v>39</v>
      </c>
      <c r="H82" s="23">
        <v>6000</v>
      </c>
      <c r="I82" s="24" t="s">
        <v>120</v>
      </c>
    </row>
    <row r="83" spans="1:9" x14ac:dyDescent="0.3">
      <c r="A83" s="18">
        <v>10650</v>
      </c>
      <c r="B83" s="19" t="s">
        <v>43</v>
      </c>
      <c r="C83" s="19" t="s">
        <v>12</v>
      </c>
      <c r="D83" s="20">
        <v>41878</v>
      </c>
      <c r="E83" s="21">
        <v>2014</v>
      </c>
      <c r="F83" s="22">
        <v>8</v>
      </c>
      <c r="G83" s="19" t="s">
        <v>39</v>
      </c>
      <c r="H83" s="23">
        <v>177000</v>
      </c>
      <c r="I83" s="24" t="s">
        <v>44</v>
      </c>
    </row>
    <row r="84" spans="1:9" x14ac:dyDescent="0.3">
      <c r="A84" s="18">
        <v>10661</v>
      </c>
      <c r="B84" s="19" t="s">
        <v>87</v>
      </c>
      <c r="C84" s="19" t="s">
        <v>13</v>
      </c>
      <c r="D84" s="20">
        <v>41889</v>
      </c>
      <c r="E84" s="21">
        <v>2014</v>
      </c>
      <c r="F84" s="22">
        <v>9</v>
      </c>
      <c r="G84" s="19" t="s">
        <v>39</v>
      </c>
      <c r="H84" s="23">
        <v>18000</v>
      </c>
      <c r="I84" s="24" t="s">
        <v>88</v>
      </c>
    </row>
    <row r="85" spans="1:9" x14ac:dyDescent="0.3">
      <c r="A85" s="18">
        <v>10664</v>
      </c>
      <c r="B85" s="19" t="s">
        <v>75</v>
      </c>
      <c r="C85" s="19" t="s">
        <v>9</v>
      </c>
      <c r="D85" s="20">
        <v>41890</v>
      </c>
      <c r="E85" s="21">
        <v>2014</v>
      </c>
      <c r="F85" s="22">
        <v>9</v>
      </c>
      <c r="G85" s="19" t="s">
        <v>39</v>
      </c>
      <c r="H85" s="23">
        <v>1000</v>
      </c>
      <c r="I85" s="24" t="s">
        <v>76</v>
      </c>
    </row>
    <row r="86" spans="1:9" x14ac:dyDescent="0.3">
      <c r="A86" s="18">
        <v>10677</v>
      </c>
      <c r="B86" s="19" t="s">
        <v>99</v>
      </c>
      <c r="C86" s="19" t="s">
        <v>9</v>
      </c>
      <c r="D86" s="20">
        <v>41902</v>
      </c>
      <c r="E86" s="21">
        <v>2014</v>
      </c>
      <c r="F86" s="22">
        <v>9</v>
      </c>
      <c r="G86" s="19" t="s">
        <v>39</v>
      </c>
      <c r="H86" s="23">
        <v>4000</v>
      </c>
      <c r="I86" s="24" t="s">
        <v>100</v>
      </c>
    </row>
    <row r="87" spans="1:9" x14ac:dyDescent="0.3">
      <c r="A87" s="18">
        <v>10678</v>
      </c>
      <c r="B87" s="19" t="s">
        <v>83</v>
      </c>
      <c r="C87" s="19" t="s">
        <v>13</v>
      </c>
      <c r="D87" s="20">
        <v>41903</v>
      </c>
      <c r="E87" s="21">
        <v>2014</v>
      </c>
      <c r="F87" s="22">
        <v>9</v>
      </c>
      <c r="G87" s="19" t="s">
        <v>39</v>
      </c>
      <c r="H87" s="23">
        <v>389000</v>
      </c>
      <c r="I87" s="24" t="s">
        <v>84</v>
      </c>
    </row>
    <row r="88" spans="1:9" x14ac:dyDescent="0.3">
      <c r="A88" s="18">
        <v>10679</v>
      </c>
      <c r="B88" s="19" t="s">
        <v>111</v>
      </c>
      <c r="C88" s="19" t="s">
        <v>11</v>
      </c>
      <c r="D88" s="20">
        <v>41903</v>
      </c>
      <c r="E88" s="21">
        <v>2014</v>
      </c>
      <c r="F88" s="22">
        <v>9</v>
      </c>
      <c r="G88" s="19" t="s">
        <v>39</v>
      </c>
      <c r="H88" s="23">
        <v>28000</v>
      </c>
      <c r="I88" s="24" t="s">
        <v>112</v>
      </c>
    </row>
    <row r="89" spans="1:9" x14ac:dyDescent="0.3">
      <c r="A89" s="18">
        <v>10681</v>
      </c>
      <c r="B89" s="19" t="s">
        <v>121</v>
      </c>
      <c r="C89" s="19" t="s">
        <v>15</v>
      </c>
      <c r="D89" s="20">
        <v>41905</v>
      </c>
      <c r="E89" s="21">
        <v>2014</v>
      </c>
      <c r="F89" s="22">
        <v>9</v>
      </c>
      <c r="G89" s="19" t="s">
        <v>39</v>
      </c>
      <c r="H89" s="23">
        <v>76000</v>
      </c>
      <c r="I89" s="24" t="s">
        <v>122</v>
      </c>
    </row>
    <row r="90" spans="1:9" x14ac:dyDescent="0.3">
      <c r="A90" s="18">
        <v>10694</v>
      </c>
      <c r="B90" s="19" t="s">
        <v>53</v>
      </c>
      <c r="C90" s="19" t="s">
        <v>11</v>
      </c>
      <c r="D90" s="20">
        <v>41916</v>
      </c>
      <c r="E90" s="21">
        <v>2014</v>
      </c>
      <c r="F90" s="22">
        <v>10</v>
      </c>
      <c r="G90" s="19" t="s">
        <v>39</v>
      </c>
      <c r="H90" s="23">
        <v>396000</v>
      </c>
      <c r="I90" s="24" t="s">
        <v>54</v>
      </c>
    </row>
    <row r="91" spans="1:9" x14ac:dyDescent="0.3">
      <c r="A91" s="18">
        <v>10693</v>
      </c>
      <c r="B91" s="19" t="s">
        <v>81</v>
      </c>
      <c r="C91" s="19" t="s">
        <v>15</v>
      </c>
      <c r="D91" s="20">
        <v>41916</v>
      </c>
      <c r="E91" s="21">
        <v>2014</v>
      </c>
      <c r="F91" s="22">
        <v>10</v>
      </c>
      <c r="G91" s="19" t="s">
        <v>39</v>
      </c>
      <c r="H91" s="23">
        <v>139000</v>
      </c>
      <c r="I91" s="24" t="s">
        <v>82</v>
      </c>
    </row>
    <row r="92" spans="1:9" x14ac:dyDescent="0.3">
      <c r="A92" s="18">
        <v>10696</v>
      </c>
      <c r="B92" s="19" t="s">
        <v>81</v>
      </c>
      <c r="C92" s="19" t="s">
        <v>11</v>
      </c>
      <c r="D92" s="20">
        <v>41918</v>
      </c>
      <c r="E92" s="21">
        <v>2014</v>
      </c>
      <c r="F92" s="22">
        <v>10</v>
      </c>
      <c r="G92" s="19" t="s">
        <v>39</v>
      </c>
      <c r="H92" s="23">
        <v>103000</v>
      </c>
      <c r="I92" s="24" t="s">
        <v>82</v>
      </c>
    </row>
    <row r="93" spans="1:9" x14ac:dyDescent="0.3">
      <c r="A93" s="18">
        <v>10699</v>
      </c>
      <c r="B93" s="19" t="s">
        <v>123</v>
      </c>
      <c r="C93" s="19" t="s">
        <v>15</v>
      </c>
      <c r="D93" s="20">
        <v>41919</v>
      </c>
      <c r="E93" s="21">
        <v>2014</v>
      </c>
      <c r="F93" s="22">
        <v>10</v>
      </c>
      <c r="G93" s="19" t="s">
        <v>39</v>
      </c>
      <c r="H93" s="23">
        <v>1000</v>
      </c>
      <c r="I93" s="24" t="s">
        <v>124</v>
      </c>
    </row>
    <row r="94" spans="1:9" x14ac:dyDescent="0.3">
      <c r="A94" s="18">
        <v>10701</v>
      </c>
      <c r="B94" s="19" t="s">
        <v>87</v>
      </c>
      <c r="C94" s="19" t="s">
        <v>10</v>
      </c>
      <c r="D94" s="20">
        <v>41923</v>
      </c>
      <c r="E94" s="21">
        <v>2014</v>
      </c>
      <c r="F94" s="22">
        <v>10</v>
      </c>
      <c r="G94" s="19" t="s">
        <v>39</v>
      </c>
      <c r="H94" s="23">
        <v>220000</v>
      </c>
      <c r="I94" s="24" t="s">
        <v>88</v>
      </c>
    </row>
    <row r="95" spans="1:9" x14ac:dyDescent="0.3">
      <c r="A95" s="18">
        <v>10706</v>
      </c>
      <c r="B95" s="19" t="s">
        <v>125</v>
      </c>
      <c r="C95" s="19" t="s">
        <v>11</v>
      </c>
      <c r="D95" s="20">
        <v>41926</v>
      </c>
      <c r="E95" s="21">
        <v>2014</v>
      </c>
      <c r="F95" s="22">
        <v>10</v>
      </c>
      <c r="G95" s="19" t="s">
        <v>39</v>
      </c>
      <c r="H95" s="23">
        <v>136000</v>
      </c>
      <c r="I95" s="24" t="s">
        <v>126</v>
      </c>
    </row>
    <row r="96" spans="1:9" x14ac:dyDescent="0.3">
      <c r="A96" s="18">
        <v>10707</v>
      </c>
      <c r="B96" s="19" t="s">
        <v>127</v>
      </c>
      <c r="C96" s="19" t="s">
        <v>16</v>
      </c>
      <c r="D96" s="20">
        <v>41926</v>
      </c>
      <c r="E96" s="21">
        <v>2014</v>
      </c>
      <c r="F96" s="22">
        <v>10</v>
      </c>
      <c r="G96" s="19" t="s">
        <v>39</v>
      </c>
      <c r="H96" s="23">
        <v>22000</v>
      </c>
      <c r="I96" s="24" t="s">
        <v>128</v>
      </c>
    </row>
    <row r="97" spans="1:9" x14ac:dyDescent="0.3">
      <c r="A97" s="18">
        <v>10709</v>
      </c>
      <c r="B97" s="19" t="s">
        <v>47</v>
      </c>
      <c r="C97" s="19" t="s">
        <v>9</v>
      </c>
      <c r="D97" s="20">
        <v>41927</v>
      </c>
      <c r="E97" s="21">
        <v>2014</v>
      </c>
      <c r="F97" s="22">
        <v>10</v>
      </c>
      <c r="G97" s="19" t="s">
        <v>39</v>
      </c>
      <c r="H97" s="23">
        <v>211000</v>
      </c>
      <c r="I97" s="24" t="s">
        <v>48</v>
      </c>
    </row>
    <row r="98" spans="1:9" x14ac:dyDescent="0.3">
      <c r="A98" s="18">
        <v>10714</v>
      </c>
      <c r="B98" s="19" t="s">
        <v>83</v>
      </c>
      <c r="C98" s="19" t="s">
        <v>12</v>
      </c>
      <c r="D98" s="20">
        <v>41932</v>
      </c>
      <c r="E98" s="21">
        <v>2014</v>
      </c>
      <c r="F98" s="22">
        <v>10</v>
      </c>
      <c r="G98" s="19" t="s">
        <v>39</v>
      </c>
      <c r="H98" s="23">
        <v>24000</v>
      </c>
      <c r="I98" s="24" t="s">
        <v>84</v>
      </c>
    </row>
    <row r="99" spans="1:9" x14ac:dyDescent="0.3">
      <c r="A99" s="18">
        <v>10718</v>
      </c>
      <c r="B99" s="19" t="s">
        <v>61</v>
      </c>
      <c r="C99" s="19" t="s">
        <v>9</v>
      </c>
      <c r="D99" s="20">
        <v>41937</v>
      </c>
      <c r="E99" s="21">
        <v>2014</v>
      </c>
      <c r="F99" s="22">
        <v>10</v>
      </c>
      <c r="G99" s="19" t="s">
        <v>39</v>
      </c>
      <c r="H99" s="23">
        <v>171000</v>
      </c>
      <c r="I99" s="24" t="s">
        <v>62</v>
      </c>
    </row>
    <row r="100" spans="1:9" x14ac:dyDescent="0.3">
      <c r="A100" s="18">
        <v>10721</v>
      </c>
      <c r="B100" s="19" t="s">
        <v>53</v>
      </c>
      <c r="C100" s="19" t="s">
        <v>12</v>
      </c>
      <c r="D100" s="20">
        <v>41939</v>
      </c>
      <c r="E100" s="21">
        <v>2014</v>
      </c>
      <c r="F100" s="22">
        <v>10</v>
      </c>
      <c r="G100" s="19" t="s">
        <v>39</v>
      </c>
      <c r="H100" s="23">
        <v>49000</v>
      </c>
      <c r="I100" s="24" t="s">
        <v>54</v>
      </c>
    </row>
    <row r="101" spans="1:9" x14ac:dyDescent="0.3">
      <c r="A101" s="18">
        <v>10725</v>
      </c>
      <c r="B101" s="19" t="s">
        <v>43</v>
      </c>
      <c r="C101" s="19" t="s">
        <v>16</v>
      </c>
      <c r="D101" s="20">
        <v>41941</v>
      </c>
      <c r="E101" s="21">
        <v>2014</v>
      </c>
      <c r="F101" s="22">
        <v>10</v>
      </c>
      <c r="G101" s="19" t="s">
        <v>39</v>
      </c>
      <c r="H101" s="23">
        <v>11000</v>
      </c>
      <c r="I101" s="24" t="s">
        <v>44</v>
      </c>
    </row>
    <row r="102" spans="1:9" x14ac:dyDescent="0.3">
      <c r="A102" s="18">
        <v>10729</v>
      </c>
      <c r="B102" s="19" t="s">
        <v>129</v>
      </c>
      <c r="C102" s="19" t="s">
        <v>11</v>
      </c>
      <c r="D102" s="20">
        <v>41945</v>
      </c>
      <c r="E102" s="21">
        <v>2014</v>
      </c>
      <c r="F102" s="22">
        <v>11</v>
      </c>
      <c r="G102" s="19" t="s">
        <v>39</v>
      </c>
      <c r="H102" s="23">
        <v>141000</v>
      </c>
      <c r="I102" s="24" t="s">
        <v>130</v>
      </c>
    </row>
    <row r="103" spans="1:9" x14ac:dyDescent="0.3">
      <c r="A103" s="18">
        <v>10733</v>
      </c>
      <c r="B103" s="19" t="s">
        <v>51</v>
      </c>
      <c r="C103" s="19" t="s">
        <v>9</v>
      </c>
      <c r="D103" s="20">
        <v>41948</v>
      </c>
      <c r="E103" s="21">
        <v>2014</v>
      </c>
      <c r="F103" s="22">
        <v>11</v>
      </c>
      <c r="G103" s="19" t="s">
        <v>39</v>
      </c>
      <c r="H103" s="23">
        <v>110000</v>
      </c>
      <c r="I103" s="24" t="s">
        <v>52</v>
      </c>
    </row>
    <row r="104" spans="1:9" x14ac:dyDescent="0.3">
      <c r="A104" s="18">
        <v>10734</v>
      </c>
      <c r="B104" s="19" t="s">
        <v>47</v>
      </c>
      <c r="C104" s="19" t="s">
        <v>8</v>
      </c>
      <c r="D104" s="20">
        <v>41948</v>
      </c>
      <c r="E104" s="21">
        <v>2014</v>
      </c>
      <c r="F104" s="22">
        <v>11</v>
      </c>
      <c r="G104" s="19" t="s">
        <v>39</v>
      </c>
      <c r="H104" s="23">
        <v>2000</v>
      </c>
      <c r="I104" s="24" t="s">
        <v>48</v>
      </c>
    </row>
    <row r="105" spans="1:9" x14ac:dyDescent="0.3">
      <c r="A105" s="18">
        <v>10739</v>
      </c>
      <c r="B105" s="19" t="s">
        <v>131</v>
      </c>
      <c r="C105" s="19" t="s">
        <v>15</v>
      </c>
      <c r="D105" s="20">
        <v>41953</v>
      </c>
      <c r="E105" s="21">
        <v>2014</v>
      </c>
      <c r="F105" s="22">
        <v>11</v>
      </c>
      <c r="G105" s="19" t="s">
        <v>39</v>
      </c>
      <c r="H105" s="23">
        <v>11000</v>
      </c>
      <c r="I105" s="24" t="s">
        <v>132</v>
      </c>
    </row>
    <row r="106" spans="1:9" x14ac:dyDescent="0.3">
      <c r="A106" s="18">
        <v>10742</v>
      </c>
      <c r="B106" s="19" t="s">
        <v>41</v>
      </c>
      <c r="C106" s="19" t="s">
        <v>15</v>
      </c>
      <c r="D106" s="20">
        <v>41955</v>
      </c>
      <c r="E106" s="21">
        <v>2014</v>
      </c>
      <c r="F106" s="22">
        <v>11</v>
      </c>
      <c r="G106" s="19" t="s">
        <v>39</v>
      </c>
      <c r="H106" s="23">
        <v>244000</v>
      </c>
      <c r="I106" s="24" t="s">
        <v>42</v>
      </c>
    </row>
    <row r="107" spans="1:9" x14ac:dyDescent="0.3">
      <c r="A107" s="18">
        <v>10741</v>
      </c>
      <c r="B107" s="19" t="s">
        <v>127</v>
      </c>
      <c r="C107" s="19" t="s">
        <v>16</v>
      </c>
      <c r="D107" s="20">
        <v>41955</v>
      </c>
      <c r="E107" s="21">
        <v>2014</v>
      </c>
      <c r="F107" s="22">
        <v>11</v>
      </c>
      <c r="G107" s="19" t="s">
        <v>39</v>
      </c>
      <c r="H107" s="23">
        <v>11000</v>
      </c>
      <c r="I107" s="24" t="s">
        <v>128</v>
      </c>
    </row>
    <row r="108" spans="1:9" x14ac:dyDescent="0.3">
      <c r="A108" s="18">
        <v>10746</v>
      </c>
      <c r="B108" s="19" t="s">
        <v>91</v>
      </c>
      <c r="C108" s="19" t="s">
        <v>9</v>
      </c>
      <c r="D108" s="20">
        <v>41960</v>
      </c>
      <c r="E108" s="21">
        <v>2014</v>
      </c>
      <c r="F108" s="22">
        <v>11</v>
      </c>
      <c r="G108" s="19" t="s">
        <v>39</v>
      </c>
      <c r="H108" s="23">
        <v>31000</v>
      </c>
      <c r="I108" s="24" t="s">
        <v>92</v>
      </c>
    </row>
    <row r="109" spans="1:9" x14ac:dyDescent="0.3">
      <c r="A109" s="18">
        <v>10751</v>
      </c>
      <c r="B109" s="19" t="s">
        <v>34</v>
      </c>
      <c r="C109" s="19" t="s">
        <v>15</v>
      </c>
      <c r="D109" s="20">
        <v>41965</v>
      </c>
      <c r="E109" s="21">
        <v>2014</v>
      </c>
      <c r="F109" s="22">
        <v>11</v>
      </c>
      <c r="G109" s="19" t="s">
        <v>39</v>
      </c>
      <c r="H109" s="23">
        <v>131000</v>
      </c>
      <c r="I109" s="24" t="s">
        <v>35</v>
      </c>
    </row>
    <row r="110" spans="1:9" x14ac:dyDescent="0.3">
      <c r="A110" s="18">
        <v>10752</v>
      </c>
      <c r="B110" s="19" t="s">
        <v>89</v>
      </c>
      <c r="C110" s="19" t="s">
        <v>8</v>
      </c>
      <c r="D110" s="20">
        <v>41965</v>
      </c>
      <c r="E110" s="21">
        <v>2014</v>
      </c>
      <c r="F110" s="22">
        <v>11</v>
      </c>
      <c r="G110" s="19" t="s">
        <v>39</v>
      </c>
      <c r="H110" s="23">
        <v>1000</v>
      </c>
      <c r="I110" s="24" t="s">
        <v>90</v>
      </c>
    </row>
    <row r="111" spans="1:9" x14ac:dyDescent="0.3">
      <c r="A111" s="18">
        <v>10754</v>
      </c>
      <c r="B111" s="19" t="s">
        <v>115</v>
      </c>
      <c r="C111" s="19" t="s">
        <v>10</v>
      </c>
      <c r="D111" s="20">
        <v>41966</v>
      </c>
      <c r="E111" s="21">
        <v>2014</v>
      </c>
      <c r="F111" s="22">
        <v>11</v>
      </c>
      <c r="G111" s="19" t="s">
        <v>39</v>
      </c>
      <c r="H111" s="23">
        <v>2000</v>
      </c>
      <c r="I111" s="24" t="s">
        <v>116</v>
      </c>
    </row>
    <row r="112" spans="1:9" x14ac:dyDescent="0.3">
      <c r="A112" s="18">
        <v>10758</v>
      </c>
      <c r="B112" s="19" t="s">
        <v>34</v>
      </c>
      <c r="C112" s="19" t="s">
        <v>15</v>
      </c>
      <c r="D112" s="20">
        <v>41969</v>
      </c>
      <c r="E112" s="21">
        <v>2014</v>
      </c>
      <c r="F112" s="22">
        <v>11</v>
      </c>
      <c r="G112" s="19" t="s">
        <v>39</v>
      </c>
      <c r="H112" s="23">
        <v>138000</v>
      </c>
      <c r="I112" s="24" t="s">
        <v>35</v>
      </c>
    </row>
    <row r="113" spans="1:9" x14ac:dyDescent="0.3">
      <c r="A113" s="18">
        <v>10759</v>
      </c>
      <c r="B113" s="19" t="s">
        <v>133</v>
      </c>
      <c r="C113" s="19" t="s">
        <v>15</v>
      </c>
      <c r="D113" s="20">
        <v>41969</v>
      </c>
      <c r="E113" s="21">
        <v>2014</v>
      </c>
      <c r="F113" s="22">
        <v>11</v>
      </c>
      <c r="G113" s="19" t="s">
        <v>39</v>
      </c>
      <c r="H113" s="23">
        <v>12000</v>
      </c>
      <c r="I113" s="24" t="s">
        <v>134</v>
      </c>
    </row>
    <row r="114" spans="1:9" x14ac:dyDescent="0.3">
      <c r="A114" s="18">
        <v>10764</v>
      </c>
      <c r="B114" s="19" t="s">
        <v>38</v>
      </c>
      <c r="C114" s="19" t="s">
        <v>10</v>
      </c>
      <c r="D114" s="20">
        <v>41974</v>
      </c>
      <c r="E114" s="21">
        <v>2014</v>
      </c>
      <c r="F114" s="22">
        <v>12</v>
      </c>
      <c r="G114" s="19" t="s">
        <v>39</v>
      </c>
      <c r="H114" s="23">
        <v>145000</v>
      </c>
      <c r="I114" s="24" t="s">
        <v>40</v>
      </c>
    </row>
    <row r="115" spans="1:9" x14ac:dyDescent="0.3">
      <c r="A115" s="18">
        <v>10763</v>
      </c>
      <c r="B115" s="19" t="s">
        <v>113</v>
      </c>
      <c r="C115" s="19" t="s">
        <v>15</v>
      </c>
      <c r="D115" s="20">
        <v>41974</v>
      </c>
      <c r="E115" s="21">
        <v>2014</v>
      </c>
      <c r="F115" s="22">
        <v>12</v>
      </c>
      <c r="G115" s="19" t="s">
        <v>39</v>
      </c>
      <c r="H115" s="23">
        <v>37000</v>
      </c>
      <c r="I115" s="24" t="s">
        <v>114</v>
      </c>
    </row>
    <row r="116" spans="1:9" x14ac:dyDescent="0.3">
      <c r="A116" s="18">
        <v>10765</v>
      </c>
      <c r="B116" s="19" t="s">
        <v>53</v>
      </c>
      <c r="C116" s="19" t="s">
        <v>15</v>
      </c>
      <c r="D116" s="20">
        <v>41975</v>
      </c>
      <c r="E116" s="21">
        <v>2014</v>
      </c>
      <c r="F116" s="22">
        <v>12</v>
      </c>
      <c r="G116" s="19" t="s">
        <v>39</v>
      </c>
      <c r="H116" s="23">
        <v>43000</v>
      </c>
      <c r="I116" s="24" t="s">
        <v>54</v>
      </c>
    </row>
    <row r="117" spans="1:9" x14ac:dyDescent="0.3">
      <c r="A117" s="18">
        <v>10767</v>
      </c>
      <c r="B117" s="19" t="s">
        <v>55</v>
      </c>
      <c r="C117" s="19" t="s">
        <v>16</v>
      </c>
      <c r="D117" s="20">
        <v>41976</v>
      </c>
      <c r="E117" s="21">
        <v>2014</v>
      </c>
      <c r="F117" s="22">
        <v>12</v>
      </c>
      <c r="G117" s="19" t="s">
        <v>39</v>
      </c>
      <c r="H117" s="23">
        <v>2000</v>
      </c>
      <c r="I117" s="24" t="s">
        <v>56</v>
      </c>
    </row>
    <row r="118" spans="1:9" x14ac:dyDescent="0.3">
      <c r="A118" s="18">
        <v>10770</v>
      </c>
      <c r="B118" s="19" t="s">
        <v>135</v>
      </c>
      <c r="C118" s="19" t="s">
        <v>11</v>
      </c>
      <c r="D118" s="20">
        <v>41980</v>
      </c>
      <c r="E118" s="21">
        <v>2014</v>
      </c>
      <c r="F118" s="22">
        <v>12</v>
      </c>
      <c r="G118" s="19" t="s">
        <v>39</v>
      </c>
      <c r="H118" s="23">
        <v>5000</v>
      </c>
      <c r="I118" s="24" t="s">
        <v>136</v>
      </c>
    </row>
    <row r="119" spans="1:9" x14ac:dyDescent="0.3">
      <c r="A119" s="18">
        <v>10773</v>
      </c>
      <c r="B119" s="19" t="s">
        <v>38</v>
      </c>
      <c r="C119" s="19" t="s">
        <v>9</v>
      </c>
      <c r="D119" s="20">
        <v>41982</v>
      </c>
      <c r="E119" s="21">
        <v>2014</v>
      </c>
      <c r="F119" s="22">
        <v>12</v>
      </c>
      <c r="G119" s="19" t="s">
        <v>39</v>
      </c>
      <c r="H119" s="23">
        <v>96000</v>
      </c>
      <c r="I119" s="24" t="s">
        <v>40</v>
      </c>
    </row>
    <row r="120" spans="1:9" x14ac:dyDescent="0.3">
      <c r="A120" s="18">
        <v>10776</v>
      </c>
      <c r="B120" s="19" t="s">
        <v>38</v>
      </c>
      <c r="C120" s="19" t="s">
        <v>9</v>
      </c>
      <c r="D120" s="20">
        <v>41986</v>
      </c>
      <c r="E120" s="21">
        <v>2014</v>
      </c>
      <c r="F120" s="22">
        <v>12</v>
      </c>
      <c r="G120" s="19" t="s">
        <v>39</v>
      </c>
      <c r="H120" s="23">
        <v>365000</v>
      </c>
      <c r="I120" s="24" t="s">
        <v>40</v>
      </c>
    </row>
    <row r="121" spans="1:9" x14ac:dyDescent="0.3">
      <c r="A121" s="18">
        <v>10781</v>
      </c>
      <c r="B121" s="19" t="s">
        <v>30</v>
      </c>
      <c r="C121" s="19" t="s">
        <v>8</v>
      </c>
      <c r="D121" s="20">
        <v>41988</v>
      </c>
      <c r="E121" s="21">
        <v>2014</v>
      </c>
      <c r="F121" s="22">
        <v>12</v>
      </c>
      <c r="G121" s="19" t="s">
        <v>39</v>
      </c>
      <c r="H121" s="23">
        <v>73000</v>
      </c>
      <c r="I121" s="24" t="s">
        <v>31</v>
      </c>
    </row>
    <row r="122" spans="1:9" x14ac:dyDescent="0.3">
      <c r="A122" s="18">
        <v>10782</v>
      </c>
      <c r="B122" s="19" t="s">
        <v>137</v>
      </c>
      <c r="C122" s="19" t="s">
        <v>14</v>
      </c>
      <c r="D122" s="20">
        <v>41988</v>
      </c>
      <c r="E122" s="21">
        <v>2014</v>
      </c>
      <c r="F122" s="22">
        <v>12</v>
      </c>
      <c r="G122" s="19" t="s">
        <v>39</v>
      </c>
      <c r="H122" s="23">
        <v>1000</v>
      </c>
      <c r="I122" s="24" t="s">
        <v>138</v>
      </c>
    </row>
    <row r="123" spans="1:9" x14ac:dyDescent="0.3">
      <c r="A123" s="18">
        <v>10784</v>
      </c>
      <c r="B123" s="19" t="s">
        <v>115</v>
      </c>
      <c r="C123" s="19" t="s">
        <v>16</v>
      </c>
      <c r="D123" s="20">
        <v>41989</v>
      </c>
      <c r="E123" s="21">
        <v>2014</v>
      </c>
      <c r="F123" s="22">
        <v>12</v>
      </c>
      <c r="G123" s="19" t="s">
        <v>39</v>
      </c>
      <c r="H123" s="23">
        <v>7000</v>
      </c>
      <c r="I123" s="24" t="s">
        <v>116</v>
      </c>
    </row>
    <row r="124" spans="1:9" x14ac:dyDescent="0.3">
      <c r="A124" s="18">
        <v>10785</v>
      </c>
      <c r="B124" s="19" t="s">
        <v>139</v>
      </c>
      <c r="C124" s="19" t="s">
        <v>9</v>
      </c>
      <c r="D124" s="20">
        <v>41989</v>
      </c>
      <c r="E124" s="21">
        <v>2014</v>
      </c>
      <c r="F124" s="22">
        <v>12</v>
      </c>
      <c r="G124" s="19" t="s">
        <v>39</v>
      </c>
      <c r="H124" s="23">
        <v>2000</v>
      </c>
      <c r="I124" s="24" t="s">
        <v>140</v>
      </c>
    </row>
    <row r="125" spans="1:9" x14ac:dyDescent="0.3">
      <c r="A125" s="18">
        <v>10792</v>
      </c>
      <c r="B125" s="19" t="s">
        <v>141</v>
      </c>
      <c r="C125" s="19" t="s">
        <v>9</v>
      </c>
      <c r="D125" s="20">
        <v>41994</v>
      </c>
      <c r="E125" s="21">
        <v>2014</v>
      </c>
      <c r="F125" s="22">
        <v>12</v>
      </c>
      <c r="G125" s="19" t="s">
        <v>39</v>
      </c>
      <c r="H125" s="23">
        <v>24000</v>
      </c>
      <c r="I125" s="24" t="s">
        <v>142</v>
      </c>
    </row>
    <row r="126" spans="1:9" x14ac:dyDescent="0.3">
      <c r="A126" s="18">
        <v>10793</v>
      </c>
      <c r="B126" s="19" t="s">
        <v>127</v>
      </c>
      <c r="C126" s="19" t="s">
        <v>15</v>
      </c>
      <c r="D126" s="20">
        <v>41995</v>
      </c>
      <c r="E126" s="21">
        <v>2014</v>
      </c>
      <c r="F126" s="22">
        <v>12</v>
      </c>
      <c r="G126" s="19" t="s">
        <v>39</v>
      </c>
      <c r="H126" s="23">
        <v>5000</v>
      </c>
      <c r="I126" s="24" t="s">
        <v>128</v>
      </c>
    </row>
    <row r="127" spans="1:9" x14ac:dyDescent="0.3">
      <c r="A127" s="18">
        <v>10800</v>
      </c>
      <c r="B127" s="19" t="s">
        <v>143</v>
      </c>
      <c r="C127" s="19" t="s">
        <v>9</v>
      </c>
      <c r="D127" s="20">
        <v>41997</v>
      </c>
      <c r="E127" s="21">
        <v>2014</v>
      </c>
      <c r="F127" s="22">
        <v>12</v>
      </c>
      <c r="G127" s="19" t="s">
        <v>39</v>
      </c>
      <c r="H127" s="23">
        <v>137000</v>
      </c>
      <c r="I127" s="24" t="s">
        <v>144</v>
      </c>
    </row>
    <row r="128" spans="1:9" x14ac:dyDescent="0.3">
      <c r="A128" s="18">
        <v>10799</v>
      </c>
      <c r="B128" s="19" t="s">
        <v>61</v>
      </c>
      <c r="C128" s="19" t="s">
        <v>14</v>
      </c>
      <c r="D128" s="20">
        <v>41997</v>
      </c>
      <c r="E128" s="21">
        <v>2014</v>
      </c>
      <c r="F128" s="22">
        <v>12</v>
      </c>
      <c r="G128" s="19" t="s">
        <v>39</v>
      </c>
      <c r="H128" s="23">
        <v>31000</v>
      </c>
      <c r="I128" s="24" t="s">
        <v>62</v>
      </c>
    </row>
    <row r="129" spans="1:9" x14ac:dyDescent="0.3">
      <c r="A129" s="18">
        <v>10805</v>
      </c>
      <c r="B129" s="19" t="s">
        <v>145</v>
      </c>
      <c r="C129" s="19" t="s">
        <v>8</v>
      </c>
      <c r="D129" s="20">
        <v>42001</v>
      </c>
      <c r="E129" s="21">
        <v>2014</v>
      </c>
      <c r="F129" s="22">
        <v>12</v>
      </c>
      <c r="G129" s="19" t="s">
        <v>39</v>
      </c>
      <c r="H129" s="23">
        <v>237000</v>
      </c>
      <c r="I129" s="24" t="s">
        <v>146</v>
      </c>
    </row>
    <row r="130" spans="1:9" x14ac:dyDescent="0.3">
      <c r="A130" s="18">
        <v>10808</v>
      </c>
      <c r="B130" s="19" t="s">
        <v>125</v>
      </c>
      <c r="C130" s="19" t="s">
        <v>8</v>
      </c>
      <c r="D130" s="20">
        <v>42003</v>
      </c>
      <c r="E130" s="21">
        <v>2014</v>
      </c>
      <c r="F130" s="22">
        <v>12</v>
      </c>
      <c r="G130" s="19" t="s">
        <v>39</v>
      </c>
      <c r="H130" s="23">
        <v>46000</v>
      </c>
      <c r="I130" s="24" t="s">
        <v>126</v>
      </c>
    </row>
    <row r="131" spans="1:9" x14ac:dyDescent="0.3">
      <c r="A131" s="18">
        <v>10810</v>
      </c>
      <c r="B131" s="19" t="s">
        <v>77</v>
      </c>
      <c r="C131" s="19" t="s">
        <v>8</v>
      </c>
      <c r="D131" s="20">
        <v>42003</v>
      </c>
      <c r="E131" s="21">
        <v>2014</v>
      </c>
      <c r="F131" s="22">
        <v>12</v>
      </c>
      <c r="G131" s="19" t="s">
        <v>39</v>
      </c>
      <c r="H131" s="23">
        <v>4000</v>
      </c>
      <c r="I131" s="24" t="s">
        <v>78</v>
      </c>
    </row>
    <row r="132" spans="1:9" x14ac:dyDescent="0.3">
      <c r="A132" s="18">
        <v>10814</v>
      </c>
      <c r="B132" s="19" t="s">
        <v>69</v>
      </c>
      <c r="C132" s="19" t="s">
        <v>15</v>
      </c>
      <c r="D132" s="20">
        <v>39450</v>
      </c>
      <c r="E132" s="21">
        <v>2008</v>
      </c>
      <c r="F132" s="22">
        <v>1</v>
      </c>
      <c r="G132" s="19" t="s">
        <v>39</v>
      </c>
      <c r="H132" s="23">
        <v>131000</v>
      </c>
      <c r="I132" s="24" t="s">
        <v>70</v>
      </c>
    </row>
    <row r="133" spans="1:9" x14ac:dyDescent="0.3">
      <c r="A133" s="18">
        <v>10815</v>
      </c>
      <c r="B133" s="19" t="s">
        <v>83</v>
      </c>
      <c r="C133" s="19" t="s">
        <v>8</v>
      </c>
      <c r="D133" s="20">
        <v>39450</v>
      </c>
      <c r="E133" s="21">
        <v>2008</v>
      </c>
      <c r="F133" s="22">
        <v>1</v>
      </c>
      <c r="G133" s="19" t="s">
        <v>39</v>
      </c>
      <c r="H133" s="23">
        <v>15000</v>
      </c>
      <c r="I133" s="24" t="s">
        <v>84</v>
      </c>
    </row>
    <row r="134" spans="1:9" x14ac:dyDescent="0.3">
      <c r="A134" s="18">
        <v>10818</v>
      </c>
      <c r="B134" s="19" t="s">
        <v>115</v>
      </c>
      <c r="C134" s="19" t="s">
        <v>13</v>
      </c>
      <c r="D134" s="20">
        <v>39452</v>
      </c>
      <c r="E134" s="21">
        <v>2008</v>
      </c>
      <c r="F134" s="22">
        <v>1</v>
      </c>
      <c r="G134" s="19" t="s">
        <v>39</v>
      </c>
      <c r="H134" s="23">
        <v>65000</v>
      </c>
      <c r="I134" s="24" t="s">
        <v>116</v>
      </c>
    </row>
    <row r="135" spans="1:9" x14ac:dyDescent="0.3">
      <c r="A135" s="18">
        <v>10819</v>
      </c>
      <c r="B135" s="19" t="s">
        <v>137</v>
      </c>
      <c r="C135" s="19" t="s">
        <v>8</v>
      </c>
      <c r="D135" s="20">
        <v>39452</v>
      </c>
      <c r="E135" s="21">
        <v>2008</v>
      </c>
      <c r="F135" s="22">
        <v>1</v>
      </c>
      <c r="G135" s="19" t="s">
        <v>39</v>
      </c>
      <c r="H135" s="23">
        <v>20000</v>
      </c>
      <c r="I135" s="24" t="s">
        <v>138</v>
      </c>
    </row>
    <row r="136" spans="1:9" x14ac:dyDescent="0.3">
      <c r="A136" s="18">
        <v>10822</v>
      </c>
      <c r="B136" s="19" t="s">
        <v>147</v>
      </c>
      <c r="C136" s="19" t="s">
        <v>10</v>
      </c>
      <c r="D136" s="20">
        <v>39453</v>
      </c>
      <c r="E136" s="21">
        <v>2008</v>
      </c>
      <c r="F136" s="22">
        <v>1</v>
      </c>
      <c r="G136" s="19" t="s">
        <v>39</v>
      </c>
      <c r="H136" s="23">
        <v>7000</v>
      </c>
      <c r="I136" s="24" t="s">
        <v>148</v>
      </c>
    </row>
    <row r="137" spans="1:9" x14ac:dyDescent="0.3">
      <c r="A137" s="18">
        <v>10834</v>
      </c>
      <c r="B137" s="19" t="s">
        <v>105</v>
      </c>
      <c r="C137" s="19" t="s">
        <v>9</v>
      </c>
      <c r="D137" s="20">
        <v>39460</v>
      </c>
      <c r="E137" s="21">
        <v>2008</v>
      </c>
      <c r="F137" s="22">
        <v>1</v>
      </c>
      <c r="G137" s="19" t="s">
        <v>39</v>
      </c>
      <c r="H137" s="23">
        <v>30000</v>
      </c>
      <c r="I137" s="24" t="s">
        <v>106</v>
      </c>
    </row>
    <row r="138" spans="1:9" x14ac:dyDescent="0.3">
      <c r="A138" s="18">
        <v>10837</v>
      </c>
      <c r="B138" s="19" t="s">
        <v>51</v>
      </c>
      <c r="C138" s="19" t="s">
        <v>14</v>
      </c>
      <c r="D138" s="20">
        <v>39461</v>
      </c>
      <c r="E138" s="21">
        <v>2008</v>
      </c>
      <c r="F138" s="22">
        <v>1</v>
      </c>
      <c r="G138" s="19" t="s">
        <v>39</v>
      </c>
      <c r="H138" s="23">
        <v>13000</v>
      </c>
      <c r="I138" s="24" t="s">
        <v>52</v>
      </c>
    </row>
    <row r="139" spans="1:9" x14ac:dyDescent="0.3">
      <c r="A139" s="18">
        <v>10838</v>
      </c>
      <c r="B139" s="19" t="s">
        <v>129</v>
      </c>
      <c r="C139" s="19" t="s">
        <v>15</v>
      </c>
      <c r="D139" s="20">
        <v>39464</v>
      </c>
      <c r="E139" s="21">
        <v>2008</v>
      </c>
      <c r="F139" s="22">
        <v>1</v>
      </c>
      <c r="G139" s="19" t="s">
        <v>39</v>
      </c>
      <c r="H139" s="23">
        <v>59000</v>
      </c>
      <c r="I139" s="24" t="s">
        <v>130</v>
      </c>
    </row>
    <row r="140" spans="1:9" x14ac:dyDescent="0.3">
      <c r="A140" s="18">
        <v>10839</v>
      </c>
      <c r="B140" s="19" t="s">
        <v>105</v>
      </c>
      <c r="C140" s="19" t="s">
        <v>15</v>
      </c>
      <c r="D140" s="20">
        <v>39464</v>
      </c>
      <c r="E140" s="21">
        <v>2008</v>
      </c>
      <c r="F140" s="22">
        <v>1</v>
      </c>
      <c r="G140" s="19" t="s">
        <v>39</v>
      </c>
      <c r="H140" s="23">
        <v>35000</v>
      </c>
      <c r="I140" s="24" t="s">
        <v>106</v>
      </c>
    </row>
    <row r="141" spans="1:9" x14ac:dyDescent="0.3">
      <c r="A141" s="18">
        <v>10842</v>
      </c>
      <c r="B141" s="19" t="s">
        <v>101</v>
      </c>
      <c r="C141" s="19" t="s">
        <v>9</v>
      </c>
      <c r="D141" s="20">
        <v>39465</v>
      </c>
      <c r="E141" s="21">
        <v>2008</v>
      </c>
      <c r="F141" s="22">
        <v>1</v>
      </c>
      <c r="G141" s="19" t="s">
        <v>39</v>
      </c>
      <c r="H141" s="23">
        <v>54000</v>
      </c>
      <c r="I141" s="24" t="s">
        <v>102</v>
      </c>
    </row>
    <row r="142" spans="1:9" x14ac:dyDescent="0.3">
      <c r="A142" s="18">
        <v>10847</v>
      </c>
      <c r="B142" s="19" t="s">
        <v>83</v>
      </c>
      <c r="C142" s="19" t="s">
        <v>16</v>
      </c>
      <c r="D142" s="20">
        <v>39467</v>
      </c>
      <c r="E142" s="21">
        <v>2008</v>
      </c>
      <c r="F142" s="22">
        <v>1</v>
      </c>
      <c r="G142" s="19" t="s">
        <v>39</v>
      </c>
      <c r="H142" s="23">
        <v>488000</v>
      </c>
      <c r="I142" s="24" t="s">
        <v>84</v>
      </c>
    </row>
    <row r="143" spans="1:9" x14ac:dyDescent="0.3">
      <c r="A143" s="18">
        <v>10846</v>
      </c>
      <c r="B143" s="19" t="s">
        <v>55</v>
      </c>
      <c r="C143" s="19" t="s">
        <v>8</v>
      </c>
      <c r="D143" s="20">
        <v>39467</v>
      </c>
      <c r="E143" s="21">
        <v>2008</v>
      </c>
      <c r="F143" s="22">
        <v>1</v>
      </c>
      <c r="G143" s="19" t="s">
        <v>39</v>
      </c>
      <c r="H143" s="23">
        <v>56000</v>
      </c>
      <c r="I143" s="24" t="s">
        <v>56</v>
      </c>
    </row>
    <row r="144" spans="1:9" x14ac:dyDescent="0.3">
      <c r="A144" s="18">
        <v>10860</v>
      </c>
      <c r="B144" s="19" t="s">
        <v>149</v>
      </c>
      <c r="C144" s="19" t="s">
        <v>15</v>
      </c>
      <c r="D144" s="20">
        <v>39474</v>
      </c>
      <c r="E144" s="21">
        <v>2008</v>
      </c>
      <c r="F144" s="22">
        <v>1</v>
      </c>
      <c r="G144" s="19" t="s">
        <v>39</v>
      </c>
      <c r="H144" s="23">
        <v>19000</v>
      </c>
      <c r="I144" s="24" t="s">
        <v>150</v>
      </c>
    </row>
    <row r="145" spans="1:9" x14ac:dyDescent="0.3">
      <c r="A145" s="18">
        <v>10870</v>
      </c>
      <c r="B145" s="19" t="s">
        <v>141</v>
      </c>
      <c r="C145" s="19" t="s">
        <v>12</v>
      </c>
      <c r="D145" s="20">
        <v>39480</v>
      </c>
      <c r="E145" s="21">
        <v>2008</v>
      </c>
      <c r="F145" s="22">
        <v>2</v>
      </c>
      <c r="G145" s="19" t="s">
        <v>39</v>
      </c>
      <c r="H145" s="23">
        <v>12000</v>
      </c>
      <c r="I145" s="24" t="s">
        <v>142</v>
      </c>
    </row>
    <row r="146" spans="1:9" x14ac:dyDescent="0.3">
      <c r="A146" s="18">
        <v>10876</v>
      </c>
      <c r="B146" s="19" t="s">
        <v>85</v>
      </c>
      <c r="C146" s="19" t="s">
        <v>13</v>
      </c>
      <c r="D146" s="20">
        <v>39485</v>
      </c>
      <c r="E146" s="21">
        <v>2008</v>
      </c>
      <c r="F146" s="22">
        <v>2</v>
      </c>
      <c r="G146" s="19" t="s">
        <v>39</v>
      </c>
      <c r="H146" s="23">
        <v>60000</v>
      </c>
      <c r="I146" s="24" t="s">
        <v>86</v>
      </c>
    </row>
    <row r="147" spans="1:9" x14ac:dyDescent="0.3">
      <c r="A147" s="18">
        <v>10879</v>
      </c>
      <c r="B147" s="19" t="s">
        <v>107</v>
      </c>
      <c r="C147" s="19" t="s">
        <v>15</v>
      </c>
      <c r="D147" s="20">
        <v>39486</v>
      </c>
      <c r="E147" s="21">
        <v>2008</v>
      </c>
      <c r="F147" s="22">
        <v>2</v>
      </c>
      <c r="G147" s="19" t="s">
        <v>39</v>
      </c>
      <c r="H147" s="23">
        <v>9000</v>
      </c>
      <c r="I147" s="24" t="s">
        <v>108</v>
      </c>
    </row>
    <row r="148" spans="1:9" x14ac:dyDescent="0.3">
      <c r="A148" s="18">
        <v>10882</v>
      </c>
      <c r="B148" s="19" t="s">
        <v>83</v>
      </c>
      <c r="C148" s="19" t="s">
        <v>16</v>
      </c>
      <c r="D148" s="20">
        <v>39487</v>
      </c>
      <c r="E148" s="21">
        <v>2008</v>
      </c>
      <c r="F148" s="22">
        <v>2</v>
      </c>
      <c r="G148" s="19" t="s">
        <v>39</v>
      </c>
      <c r="H148" s="23">
        <v>23000</v>
      </c>
      <c r="I148" s="24" t="s">
        <v>84</v>
      </c>
    </row>
    <row r="149" spans="1:9" x14ac:dyDescent="0.3">
      <c r="A149" s="18">
        <v>10885</v>
      </c>
      <c r="B149" s="19" t="s">
        <v>55</v>
      </c>
      <c r="C149" s="19" t="s">
        <v>10</v>
      </c>
      <c r="D149" s="20">
        <v>39488</v>
      </c>
      <c r="E149" s="21">
        <v>2008</v>
      </c>
      <c r="F149" s="22">
        <v>2</v>
      </c>
      <c r="G149" s="19" t="s">
        <v>39</v>
      </c>
      <c r="H149" s="23">
        <v>6000</v>
      </c>
      <c r="I149" s="24" t="s">
        <v>56</v>
      </c>
    </row>
    <row r="150" spans="1:9" x14ac:dyDescent="0.3">
      <c r="A150" s="18">
        <v>10883</v>
      </c>
      <c r="B150" s="19" t="s">
        <v>151</v>
      </c>
      <c r="C150" s="19" t="s">
        <v>11</v>
      </c>
      <c r="D150" s="20">
        <v>39488</v>
      </c>
      <c r="E150" s="21">
        <v>2008</v>
      </c>
      <c r="F150" s="22">
        <v>2</v>
      </c>
      <c r="G150" s="19" t="s">
        <v>39</v>
      </c>
      <c r="H150" s="23">
        <v>1000</v>
      </c>
      <c r="I150" s="24" t="s">
        <v>152</v>
      </c>
    </row>
    <row r="151" spans="1:9" x14ac:dyDescent="0.3">
      <c r="A151" s="18">
        <v>10887</v>
      </c>
      <c r="B151" s="19" t="s">
        <v>97</v>
      </c>
      <c r="C151" s="19" t="s">
        <v>11</v>
      </c>
      <c r="D151" s="20">
        <v>39489</v>
      </c>
      <c r="E151" s="21">
        <v>2008</v>
      </c>
      <c r="F151" s="22">
        <v>2</v>
      </c>
      <c r="G151" s="19" t="s">
        <v>39</v>
      </c>
      <c r="H151" s="23">
        <v>1000</v>
      </c>
      <c r="I151" s="24" t="s">
        <v>98</v>
      </c>
    </row>
    <row r="152" spans="1:9" x14ac:dyDescent="0.3">
      <c r="A152" s="18">
        <v>10889</v>
      </c>
      <c r="B152" s="19" t="s">
        <v>71</v>
      </c>
      <c r="C152" s="19" t="s">
        <v>14</v>
      </c>
      <c r="D152" s="20">
        <v>39492</v>
      </c>
      <c r="E152" s="21">
        <v>2008</v>
      </c>
      <c r="F152" s="22">
        <v>2</v>
      </c>
      <c r="G152" s="19" t="s">
        <v>39</v>
      </c>
      <c r="H152" s="23">
        <v>281000</v>
      </c>
      <c r="I152" s="24" t="s">
        <v>72</v>
      </c>
    </row>
    <row r="153" spans="1:9" x14ac:dyDescent="0.3">
      <c r="A153" s="18">
        <v>10896</v>
      </c>
      <c r="B153" s="19" t="s">
        <v>119</v>
      </c>
      <c r="C153" s="19" t="s">
        <v>13</v>
      </c>
      <c r="D153" s="20">
        <v>39495</v>
      </c>
      <c r="E153" s="21">
        <v>2008</v>
      </c>
      <c r="F153" s="22">
        <v>2</v>
      </c>
      <c r="G153" s="19" t="s">
        <v>39</v>
      </c>
      <c r="H153" s="23">
        <v>32000</v>
      </c>
      <c r="I153" s="24" t="s">
        <v>120</v>
      </c>
    </row>
    <row r="154" spans="1:9" x14ac:dyDescent="0.3">
      <c r="A154" s="18">
        <v>10899</v>
      </c>
      <c r="B154" s="19" t="s">
        <v>57</v>
      </c>
      <c r="C154" s="19" t="s">
        <v>12</v>
      </c>
      <c r="D154" s="20">
        <v>39496</v>
      </c>
      <c r="E154" s="21">
        <v>2008</v>
      </c>
      <c r="F154" s="22">
        <v>2</v>
      </c>
      <c r="G154" s="19" t="s">
        <v>39</v>
      </c>
      <c r="H154" s="23">
        <v>1000</v>
      </c>
      <c r="I154" s="24" t="s">
        <v>58</v>
      </c>
    </row>
    <row r="155" spans="1:9" x14ac:dyDescent="0.3">
      <c r="A155" s="18">
        <v>10904</v>
      </c>
      <c r="B155" s="19" t="s">
        <v>81</v>
      </c>
      <c r="C155" s="19" t="s">
        <v>15</v>
      </c>
      <c r="D155" s="20">
        <v>39500</v>
      </c>
      <c r="E155" s="21">
        <v>2008</v>
      </c>
      <c r="F155" s="22">
        <v>2</v>
      </c>
      <c r="G155" s="19" t="s">
        <v>39</v>
      </c>
      <c r="H155" s="23">
        <v>163000</v>
      </c>
      <c r="I155" s="24" t="s">
        <v>82</v>
      </c>
    </row>
    <row r="156" spans="1:9" x14ac:dyDescent="0.3">
      <c r="A156" s="18">
        <v>10903</v>
      </c>
      <c r="B156" s="19" t="s">
        <v>135</v>
      </c>
      <c r="C156" s="19" t="s">
        <v>15</v>
      </c>
      <c r="D156" s="20">
        <v>39500</v>
      </c>
      <c r="E156" s="21">
        <v>2008</v>
      </c>
      <c r="F156" s="22">
        <v>2</v>
      </c>
      <c r="G156" s="19" t="s">
        <v>39</v>
      </c>
      <c r="H156" s="23">
        <v>37000</v>
      </c>
      <c r="I156" s="24" t="s">
        <v>136</v>
      </c>
    </row>
    <row r="157" spans="1:9" x14ac:dyDescent="0.3">
      <c r="A157" s="18">
        <v>10906</v>
      </c>
      <c r="B157" s="19" t="s">
        <v>141</v>
      </c>
      <c r="C157" s="19" t="s">
        <v>16</v>
      </c>
      <c r="D157" s="20">
        <v>39501</v>
      </c>
      <c r="E157" s="21">
        <v>2008</v>
      </c>
      <c r="F157" s="22">
        <v>2</v>
      </c>
      <c r="G157" s="19" t="s">
        <v>39</v>
      </c>
      <c r="H157" s="23">
        <v>26000</v>
      </c>
      <c r="I157" s="24" t="s">
        <v>142</v>
      </c>
    </row>
    <row r="158" spans="1:9" x14ac:dyDescent="0.3">
      <c r="A158" s="18">
        <v>10907</v>
      </c>
      <c r="B158" s="19" t="s">
        <v>153</v>
      </c>
      <c r="C158" s="19" t="s">
        <v>10</v>
      </c>
      <c r="D158" s="20">
        <v>39501</v>
      </c>
      <c r="E158" s="21">
        <v>2008</v>
      </c>
      <c r="F158" s="22">
        <v>2</v>
      </c>
      <c r="G158" s="19" t="s">
        <v>39</v>
      </c>
      <c r="H158" s="23">
        <v>9000</v>
      </c>
      <c r="I158" s="24" t="s">
        <v>154</v>
      </c>
    </row>
    <row r="159" spans="1:9" x14ac:dyDescent="0.3">
      <c r="A159" s="18">
        <v>10910</v>
      </c>
      <c r="B159" s="19" t="s">
        <v>107</v>
      </c>
      <c r="C159" s="19" t="s">
        <v>9</v>
      </c>
      <c r="D159" s="20">
        <v>39502</v>
      </c>
      <c r="E159" s="21">
        <v>2008</v>
      </c>
      <c r="F159" s="22">
        <v>2</v>
      </c>
      <c r="G159" s="19" t="s">
        <v>39</v>
      </c>
      <c r="H159" s="23">
        <v>38000</v>
      </c>
      <c r="I159" s="24" t="s">
        <v>108</v>
      </c>
    </row>
    <row r="160" spans="1:9" x14ac:dyDescent="0.3">
      <c r="A160" s="18">
        <v>10918</v>
      </c>
      <c r="B160" s="19" t="s">
        <v>41</v>
      </c>
      <c r="C160" s="19" t="s">
        <v>15</v>
      </c>
      <c r="D160" s="20">
        <v>39506</v>
      </c>
      <c r="E160" s="21">
        <v>2008</v>
      </c>
      <c r="F160" s="22">
        <v>2</v>
      </c>
      <c r="G160" s="19" t="s">
        <v>39</v>
      </c>
      <c r="H160" s="23">
        <v>49000</v>
      </c>
      <c r="I160" s="24" t="s">
        <v>42</v>
      </c>
    </row>
    <row r="161" spans="1:9" x14ac:dyDescent="0.3">
      <c r="A161" s="18">
        <v>10923</v>
      </c>
      <c r="B161" s="19" t="s">
        <v>32</v>
      </c>
      <c r="C161" s="19" t="s">
        <v>13</v>
      </c>
      <c r="D161" s="20">
        <v>39507</v>
      </c>
      <c r="E161" s="21">
        <v>2008</v>
      </c>
      <c r="F161" s="22">
        <v>2</v>
      </c>
      <c r="G161" s="19" t="s">
        <v>39</v>
      </c>
      <c r="H161" s="23">
        <v>68000</v>
      </c>
      <c r="I161" s="24" t="s">
        <v>33</v>
      </c>
    </row>
    <row r="162" spans="1:9" x14ac:dyDescent="0.3">
      <c r="A162" s="18">
        <v>10922</v>
      </c>
      <c r="B162" s="19" t="s">
        <v>135</v>
      </c>
      <c r="C162" s="19" t="s">
        <v>12</v>
      </c>
      <c r="D162" s="20">
        <v>39507</v>
      </c>
      <c r="E162" s="21">
        <v>2008</v>
      </c>
      <c r="F162" s="22">
        <v>2</v>
      </c>
      <c r="G162" s="19" t="s">
        <v>39</v>
      </c>
      <c r="H162" s="23">
        <v>63000</v>
      </c>
      <c r="I162" s="24" t="s">
        <v>136</v>
      </c>
    </row>
    <row r="163" spans="1:9" x14ac:dyDescent="0.3">
      <c r="A163" s="18">
        <v>10926</v>
      </c>
      <c r="B163" s="19" t="s">
        <v>133</v>
      </c>
      <c r="C163" s="19" t="s">
        <v>16</v>
      </c>
      <c r="D163" s="20">
        <v>39508</v>
      </c>
      <c r="E163" s="21">
        <v>2008</v>
      </c>
      <c r="F163" s="22">
        <v>3</v>
      </c>
      <c r="G163" s="19" t="s">
        <v>39</v>
      </c>
      <c r="H163" s="23">
        <v>40000</v>
      </c>
      <c r="I163" s="24" t="s">
        <v>134</v>
      </c>
    </row>
    <row r="164" spans="1:9" x14ac:dyDescent="0.3">
      <c r="A164" s="18">
        <v>10933</v>
      </c>
      <c r="B164" s="19" t="s">
        <v>65</v>
      </c>
      <c r="C164" s="19" t="s">
        <v>10</v>
      </c>
      <c r="D164" s="20">
        <v>39510</v>
      </c>
      <c r="E164" s="21">
        <v>2008</v>
      </c>
      <c r="F164" s="22">
        <v>3</v>
      </c>
      <c r="G164" s="19" t="s">
        <v>39</v>
      </c>
      <c r="H164" s="23">
        <v>54000</v>
      </c>
      <c r="I164" s="24" t="s">
        <v>66</v>
      </c>
    </row>
    <row r="165" spans="1:9" x14ac:dyDescent="0.3">
      <c r="A165" s="18">
        <v>10930</v>
      </c>
      <c r="B165" s="19" t="s">
        <v>55</v>
      </c>
      <c r="C165" s="19" t="s">
        <v>16</v>
      </c>
      <c r="D165" s="20">
        <v>39510</v>
      </c>
      <c r="E165" s="21">
        <v>2008</v>
      </c>
      <c r="F165" s="22">
        <v>3</v>
      </c>
      <c r="G165" s="19" t="s">
        <v>39</v>
      </c>
      <c r="H165" s="23">
        <v>16000</v>
      </c>
      <c r="I165" s="24" t="s">
        <v>56</v>
      </c>
    </row>
    <row r="166" spans="1:9" x14ac:dyDescent="0.3">
      <c r="A166" s="18">
        <v>10935</v>
      </c>
      <c r="B166" s="19" t="s">
        <v>155</v>
      </c>
      <c r="C166" s="19" t="s">
        <v>16</v>
      </c>
      <c r="D166" s="20">
        <v>39513</v>
      </c>
      <c r="E166" s="21">
        <v>2008</v>
      </c>
      <c r="F166" s="22">
        <v>3</v>
      </c>
      <c r="G166" s="19" t="s">
        <v>39</v>
      </c>
      <c r="H166" s="23">
        <v>48000</v>
      </c>
      <c r="I166" s="24" t="s">
        <v>156</v>
      </c>
    </row>
    <row r="167" spans="1:9" x14ac:dyDescent="0.3">
      <c r="A167" s="18">
        <v>10934</v>
      </c>
      <c r="B167" s="19" t="s">
        <v>157</v>
      </c>
      <c r="C167" s="19" t="s">
        <v>15</v>
      </c>
      <c r="D167" s="20">
        <v>39513</v>
      </c>
      <c r="E167" s="21">
        <v>2008</v>
      </c>
      <c r="F167" s="22">
        <v>3</v>
      </c>
      <c r="G167" s="19" t="s">
        <v>39</v>
      </c>
      <c r="H167" s="23">
        <v>32000</v>
      </c>
      <c r="I167" s="24" t="s">
        <v>158</v>
      </c>
    </row>
    <row r="168" spans="1:9" x14ac:dyDescent="0.3">
      <c r="A168" s="18">
        <v>10937</v>
      </c>
      <c r="B168" s="19" t="s">
        <v>137</v>
      </c>
      <c r="C168" s="19" t="s">
        <v>13</v>
      </c>
      <c r="D168" s="20">
        <v>39514</v>
      </c>
      <c r="E168" s="21">
        <v>2008</v>
      </c>
      <c r="F168" s="22">
        <v>3</v>
      </c>
      <c r="G168" s="19" t="s">
        <v>39</v>
      </c>
      <c r="H168" s="23">
        <v>32000</v>
      </c>
      <c r="I168" s="24" t="s">
        <v>138</v>
      </c>
    </row>
    <row r="169" spans="1:9" x14ac:dyDescent="0.3">
      <c r="A169" s="18">
        <v>10940</v>
      </c>
      <c r="B169" s="19" t="s">
        <v>85</v>
      </c>
      <c r="C169" s="19" t="s">
        <v>11</v>
      </c>
      <c r="D169" s="20">
        <v>39515</v>
      </c>
      <c r="E169" s="21">
        <v>2008</v>
      </c>
      <c r="F169" s="22">
        <v>3</v>
      </c>
      <c r="G169" s="19" t="s">
        <v>39</v>
      </c>
      <c r="H169" s="23">
        <v>20000</v>
      </c>
      <c r="I169" s="24" t="s">
        <v>86</v>
      </c>
    </row>
    <row r="170" spans="1:9" x14ac:dyDescent="0.3">
      <c r="A170" s="18">
        <v>10942</v>
      </c>
      <c r="B170" s="19" t="s">
        <v>159</v>
      </c>
      <c r="C170" s="19" t="s">
        <v>14</v>
      </c>
      <c r="D170" s="20">
        <v>39515</v>
      </c>
      <c r="E170" s="21">
        <v>2008</v>
      </c>
      <c r="F170" s="22">
        <v>3</v>
      </c>
      <c r="G170" s="19" t="s">
        <v>39</v>
      </c>
      <c r="H170" s="23">
        <v>18000</v>
      </c>
      <c r="I170" s="24" t="s">
        <v>160</v>
      </c>
    </row>
    <row r="171" spans="1:9" x14ac:dyDescent="0.3">
      <c r="A171" s="18">
        <v>10944</v>
      </c>
      <c r="B171" s="19" t="s">
        <v>41</v>
      </c>
      <c r="C171" s="19" t="s">
        <v>10</v>
      </c>
      <c r="D171" s="20">
        <v>39516</v>
      </c>
      <c r="E171" s="21">
        <v>2008</v>
      </c>
      <c r="F171" s="22">
        <v>3</v>
      </c>
      <c r="G171" s="19" t="s">
        <v>39</v>
      </c>
      <c r="H171" s="23">
        <v>53000</v>
      </c>
      <c r="I171" s="24" t="s">
        <v>42</v>
      </c>
    </row>
    <row r="172" spans="1:9" x14ac:dyDescent="0.3">
      <c r="A172" s="18">
        <v>10949</v>
      </c>
      <c r="B172" s="19" t="s">
        <v>41</v>
      </c>
      <c r="C172" s="19" t="s">
        <v>8</v>
      </c>
      <c r="D172" s="20">
        <v>39517</v>
      </c>
      <c r="E172" s="21">
        <v>2008</v>
      </c>
      <c r="F172" s="22">
        <v>3</v>
      </c>
      <c r="G172" s="19" t="s">
        <v>39</v>
      </c>
      <c r="H172" s="23">
        <v>74000</v>
      </c>
      <c r="I172" s="24" t="s">
        <v>42</v>
      </c>
    </row>
    <row r="173" spans="1:9" x14ac:dyDescent="0.3">
      <c r="A173" s="18">
        <v>10948</v>
      </c>
      <c r="B173" s="19" t="s">
        <v>95</v>
      </c>
      <c r="C173" s="19" t="s">
        <v>15</v>
      </c>
      <c r="D173" s="20">
        <v>39517</v>
      </c>
      <c r="E173" s="21">
        <v>2008</v>
      </c>
      <c r="F173" s="22">
        <v>3</v>
      </c>
      <c r="G173" s="19" t="s">
        <v>39</v>
      </c>
      <c r="H173" s="23">
        <v>23000</v>
      </c>
      <c r="I173" s="24" t="s">
        <v>96</v>
      </c>
    </row>
    <row r="174" spans="1:9" x14ac:dyDescent="0.3">
      <c r="A174" s="18">
        <v>10957</v>
      </c>
      <c r="B174" s="19" t="s">
        <v>67</v>
      </c>
      <c r="C174" s="19" t="s">
        <v>11</v>
      </c>
      <c r="D174" s="20">
        <v>39522</v>
      </c>
      <c r="E174" s="21">
        <v>2008</v>
      </c>
      <c r="F174" s="22">
        <v>3</v>
      </c>
      <c r="G174" s="19" t="s">
        <v>39</v>
      </c>
      <c r="H174" s="23">
        <v>105000</v>
      </c>
      <c r="I174" s="24" t="s">
        <v>68</v>
      </c>
    </row>
    <row r="175" spans="1:9" x14ac:dyDescent="0.3">
      <c r="A175" s="18">
        <v>10963</v>
      </c>
      <c r="B175" s="19" t="s">
        <v>75</v>
      </c>
      <c r="C175" s="19" t="s">
        <v>14</v>
      </c>
      <c r="D175" s="20">
        <v>39523</v>
      </c>
      <c r="E175" s="21">
        <v>2008</v>
      </c>
      <c r="F175" s="22">
        <v>3</v>
      </c>
      <c r="G175" s="19" t="s">
        <v>39</v>
      </c>
      <c r="H175" s="23">
        <v>3000</v>
      </c>
      <c r="I175" s="24" t="s">
        <v>76</v>
      </c>
    </row>
    <row r="176" spans="1:9" x14ac:dyDescent="0.3">
      <c r="A176" s="18">
        <v>10965</v>
      </c>
      <c r="B176" s="19" t="s">
        <v>125</v>
      </c>
      <c r="C176" s="19" t="s">
        <v>10</v>
      </c>
      <c r="D176" s="20">
        <v>39524</v>
      </c>
      <c r="E176" s="21">
        <v>2008</v>
      </c>
      <c r="F176" s="22">
        <v>3</v>
      </c>
      <c r="G176" s="19" t="s">
        <v>39</v>
      </c>
      <c r="H176" s="23">
        <v>144000</v>
      </c>
      <c r="I176" s="24" t="s">
        <v>126</v>
      </c>
    </row>
    <row r="177" spans="1:9" x14ac:dyDescent="0.3">
      <c r="A177" s="18">
        <v>10968</v>
      </c>
      <c r="B177" s="19" t="s">
        <v>38</v>
      </c>
      <c r="C177" s="19" t="s">
        <v>9</v>
      </c>
      <c r="D177" s="20">
        <v>39527</v>
      </c>
      <c r="E177" s="21">
        <v>2008</v>
      </c>
      <c r="F177" s="22">
        <v>3</v>
      </c>
      <c r="G177" s="19" t="s">
        <v>39</v>
      </c>
      <c r="H177" s="23">
        <v>75000</v>
      </c>
      <c r="I177" s="24" t="s">
        <v>40</v>
      </c>
    </row>
    <row r="178" spans="1:9" x14ac:dyDescent="0.3">
      <c r="A178" s="18">
        <v>10975</v>
      </c>
      <c r="B178" s="19" t="s">
        <v>41</v>
      </c>
      <c r="C178" s="19" t="s">
        <v>9</v>
      </c>
      <c r="D178" s="20">
        <v>39529</v>
      </c>
      <c r="E178" s="21">
        <v>2008</v>
      </c>
      <c r="F178" s="22">
        <v>3</v>
      </c>
      <c r="G178" s="19" t="s">
        <v>39</v>
      </c>
      <c r="H178" s="23">
        <v>32000</v>
      </c>
      <c r="I178" s="24" t="s">
        <v>42</v>
      </c>
    </row>
    <row r="179" spans="1:9" x14ac:dyDescent="0.3">
      <c r="A179" s="18">
        <v>10974</v>
      </c>
      <c r="B179" s="19" t="s">
        <v>161</v>
      </c>
      <c r="C179" s="19" t="s">
        <v>15</v>
      </c>
      <c r="D179" s="20">
        <v>39529</v>
      </c>
      <c r="E179" s="21">
        <v>2008</v>
      </c>
      <c r="F179" s="22">
        <v>3</v>
      </c>
      <c r="G179" s="19" t="s">
        <v>39</v>
      </c>
      <c r="H179" s="23">
        <v>13000</v>
      </c>
      <c r="I179" s="24" t="s">
        <v>162</v>
      </c>
    </row>
    <row r="180" spans="1:9" x14ac:dyDescent="0.3">
      <c r="A180" s="18">
        <v>10977</v>
      </c>
      <c r="B180" s="19" t="s">
        <v>163</v>
      </c>
      <c r="C180" s="19" t="s">
        <v>11</v>
      </c>
      <c r="D180" s="20">
        <v>39530</v>
      </c>
      <c r="E180" s="21">
        <v>2008</v>
      </c>
      <c r="F180" s="22">
        <v>3</v>
      </c>
      <c r="G180" s="19" t="s">
        <v>39</v>
      </c>
      <c r="H180" s="23">
        <v>209000</v>
      </c>
      <c r="I180" s="24" t="s">
        <v>164</v>
      </c>
    </row>
    <row r="181" spans="1:9" x14ac:dyDescent="0.3">
      <c r="A181" s="18">
        <v>10984</v>
      </c>
      <c r="B181" s="19" t="s">
        <v>83</v>
      </c>
      <c r="C181" s="19" t="s">
        <v>9</v>
      </c>
      <c r="D181" s="20">
        <v>39534</v>
      </c>
      <c r="E181" s="21">
        <v>2008</v>
      </c>
      <c r="F181" s="22">
        <v>3</v>
      </c>
      <c r="G181" s="19" t="s">
        <v>39</v>
      </c>
      <c r="H181" s="23">
        <v>211000</v>
      </c>
      <c r="I181" s="24" t="s">
        <v>84</v>
      </c>
    </row>
    <row r="182" spans="1:9" x14ac:dyDescent="0.3">
      <c r="A182" s="18">
        <v>10990</v>
      </c>
      <c r="B182" s="19" t="s">
        <v>38</v>
      </c>
      <c r="C182" s="19" t="s">
        <v>8</v>
      </c>
      <c r="D182" s="20">
        <v>39536</v>
      </c>
      <c r="E182" s="21">
        <v>2008</v>
      </c>
      <c r="F182" s="22">
        <v>3</v>
      </c>
      <c r="G182" s="19" t="s">
        <v>39</v>
      </c>
      <c r="H182" s="23">
        <v>110000</v>
      </c>
      <c r="I182" s="24" t="s">
        <v>40</v>
      </c>
    </row>
    <row r="183" spans="1:9" x14ac:dyDescent="0.3">
      <c r="A183" s="18">
        <v>10993</v>
      </c>
      <c r="B183" s="19" t="s">
        <v>163</v>
      </c>
      <c r="C183" s="19" t="s">
        <v>13</v>
      </c>
      <c r="D183" s="20">
        <v>39536</v>
      </c>
      <c r="E183" s="21">
        <v>2008</v>
      </c>
      <c r="F183" s="22">
        <v>3</v>
      </c>
      <c r="G183" s="19" t="s">
        <v>39</v>
      </c>
      <c r="H183" s="23">
        <v>9000</v>
      </c>
      <c r="I183" s="24" t="s">
        <v>164</v>
      </c>
    </row>
    <row r="184" spans="1:9" x14ac:dyDescent="0.3">
      <c r="A184" s="18">
        <v>10992</v>
      </c>
      <c r="B184" s="19" t="s">
        <v>145</v>
      </c>
      <c r="C184" s="19" t="s">
        <v>9</v>
      </c>
      <c r="D184" s="20">
        <v>39536</v>
      </c>
      <c r="E184" s="21">
        <v>2008</v>
      </c>
      <c r="F184" s="22">
        <v>3</v>
      </c>
      <c r="G184" s="19" t="s">
        <v>39</v>
      </c>
      <c r="H184" s="23">
        <v>4000</v>
      </c>
      <c r="I184" s="24" t="s">
        <v>146</v>
      </c>
    </row>
    <row r="185" spans="1:9" x14ac:dyDescent="0.3">
      <c r="A185" s="18">
        <v>10994</v>
      </c>
      <c r="B185" s="19" t="s">
        <v>59</v>
      </c>
      <c r="C185" s="19" t="s">
        <v>8</v>
      </c>
      <c r="D185" s="20">
        <v>39537</v>
      </c>
      <c r="E185" s="21">
        <v>2008</v>
      </c>
      <c r="F185" s="22">
        <v>3</v>
      </c>
      <c r="G185" s="19" t="s">
        <v>39</v>
      </c>
      <c r="H185" s="23">
        <v>66000</v>
      </c>
      <c r="I185" s="24" t="s">
        <v>60</v>
      </c>
    </row>
    <row r="186" spans="1:9" x14ac:dyDescent="0.3">
      <c r="A186" s="18">
        <v>10995</v>
      </c>
      <c r="B186" s="19" t="s">
        <v>165</v>
      </c>
      <c r="C186" s="19" t="s">
        <v>9</v>
      </c>
      <c r="D186" s="20">
        <v>39537</v>
      </c>
      <c r="E186" s="21">
        <v>2008</v>
      </c>
      <c r="F186" s="22">
        <v>3</v>
      </c>
      <c r="G186" s="19" t="s">
        <v>39</v>
      </c>
      <c r="H186" s="23">
        <v>46000</v>
      </c>
      <c r="I186" s="24" t="s">
        <v>166</v>
      </c>
    </row>
    <row r="187" spans="1:9" x14ac:dyDescent="0.3">
      <c r="A187" s="18">
        <v>11000</v>
      </c>
      <c r="B187" s="19" t="s">
        <v>71</v>
      </c>
      <c r="C187" s="19" t="s">
        <v>8</v>
      </c>
      <c r="D187" s="20">
        <v>39541</v>
      </c>
      <c r="E187" s="21">
        <v>2008</v>
      </c>
      <c r="F187" s="22">
        <v>4</v>
      </c>
      <c r="G187" s="19" t="s">
        <v>39</v>
      </c>
      <c r="H187" s="23">
        <v>55000</v>
      </c>
      <c r="I187" s="24" t="s">
        <v>72</v>
      </c>
    </row>
    <row r="188" spans="1:9" x14ac:dyDescent="0.3">
      <c r="A188" s="18">
        <v>11003</v>
      </c>
      <c r="B188" s="19" t="s">
        <v>167</v>
      </c>
      <c r="C188" s="19" t="s">
        <v>15</v>
      </c>
      <c r="D188" s="20">
        <v>39541</v>
      </c>
      <c r="E188" s="21">
        <v>2008</v>
      </c>
      <c r="F188" s="22">
        <v>4</v>
      </c>
      <c r="G188" s="19" t="s">
        <v>39</v>
      </c>
      <c r="H188" s="23">
        <v>15000</v>
      </c>
      <c r="I188" s="24" t="s">
        <v>168</v>
      </c>
    </row>
    <row r="189" spans="1:9" x14ac:dyDescent="0.3">
      <c r="A189" s="18">
        <v>11008</v>
      </c>
      <c r="B189" s="19" t="s">
        <v>38</v>
      </c>
      <c r="C189" s="19" t="s">
        <v>13</v>
      </c>
      <c r="D189" s="20">
        <v>39543</v>
      </c>
      <c r="E189" s="21">
        <v>2008</v>
      </c>
      <c r="F189" s="22">
        <v>4</v>
      </c>
      <c r="G189" s="19" t="s">
        <v>39</v>
      </c>
      <c r="H189" s="23">
        <v>79000</v>
      </c>
      <c r="I189" s="24" t="s">
        <v>40</v>
      </c>
    </row>
    <row r="190" spans="1:9" x14ac:dyDescent="0.3">
      <c r="A190" s="18">
        <v>11012</v>
      </c>
      <c r="B190" s="19" t="s">
        <v>169</v>
      </c>
      <c r="C190" s="19" t="s">
        <v>9</v>
      </c>
      <c r="D190" s="20">
        <v>39544</v>
      </c>
      <c r="E190" s="21">
        <v>2008</v>
      </c>
      <c r="F190" s="22">
        <v>4</v>
      </c>
      <c r="G190" s="19" t="s">
        <v>39</v>
      </c>
      <c r="H190" s="23">
        <v>243000</v>
      </c>
      <c r="I190" s="24" t="s">
        <v>170</v>
      </c>
    </row>
    <row r="191" spans="1:9" x14ac:dyDescent="0.3">
      <c r="A191" s="18">
        <v>11014</v>
      </c>
      <c r="B191" s="19" t="s">
        <v>129</v>
      </c>
      <c r="C191" s="19" t="s">
        <v>8</v>
      </c>
      <c r="D191" s="20">
        <v>39545</v>
      </c>
      <c r="E191" s="21">
        <v>2008</v>
      </c>
      <c r="F191" s="22">
        <v>4</v>
      </c>
      <c r="G191" s="19" t="s">
        <v>39</v>
      </c>
      <c r="H191" s="23">
        <v>24000</v>
      </c>
      <c r="I191" s="24" t="s">
        <v>130</v>
      </c>
    </row>
    <row r="192" spans="1:9" x14ac:dyDescent="0.3">
      <c r="A192" s="18">
        <v>11019</v>
      </c>
      <c r="B192" s="19" t="s">
        <v>171</v>
      </c>
      <c r="C192" s="19" t="s">
        <v>10</v>
      </c>
      <c r="D192" s="20">
        <v>39548</v>
      </c>
      <c r="E192" s="21">
        <v>2008</v>
      </c>
      <c r="F192" s="22">
        <v>4</v>
      </c>
      <c r="G192" s="19" t="s">
        <v>39</v>
      </c>
      <c r="H192" s="23">
        <v>3000</v>
      </c>
      <c r="I192" s="24" t="s">
        <v>172</v>
      </c>
    </row>
    <row r="193" spans="1:9" x14ac:dyDescent="0.3">
      <c r="A193" s="18">
        <v>11025</v>
      </c>
      <c r="B193" s="19" t="s">
        <v>30</v>
      </c>
      <c r="C193" s="19" t="s">
        <v>10</v>
      </c>
      <c r="D193" s="20">
        <v>39550</v>
      </c>
      <c r="E193" s="21">
        <v>2008</v>
      </c>
      <c r="F193" s="22">
        <v>4</v>
      </c>
      <c r="G193" s="19" t="s">
        <v>39</v>
      </c>
      <c r="H193" s="23">
        <v>29000</v>
      </c>
      <c r="I193" s="24" t="s">
        <v>31</v>
      </c>
    </row>
    <row r="194" spans="1:9" x14ac:dyDescent="0.3">
      <c r="A194" s="18">
        <v>11032</v>
      </c>
      <c r="B194" s="19" t="s">
        <v>81</v>
      </c>
      <c r="C194" s="19" t="s">
        <v>8</v>
      </c>
      <c r="D194" s="20">
        <v>39552</v>
      </c>
      <c r="E194" s="21">
        <v>2008</v>
      </c>
      <c r="F194" s="22">
        <v>4</v>
      </c>
      <c r="G194" s="19" t="s">
        <v>39</v>
      </c>
      <c r="H194" s="23">
        <v>606000</v>
      </c>
      <c r="I194" s="24" t="s">
        <v>82</v>
      </c>
    </row>
    <row r="195" spans="1:9" x14ac:dyDescent="0.3">
      <c r="A195" s="18">
        <v>11033</v>
      </c>
      <c r="B195" s="19" t="s">
        <v>34</v>
      </c>
      <c r="C195" s="19" t="s">
        <v>13</v>
      </c>
      <c r="D195" s="20">
        <v>39552</v>
      </c>
      <c r="E195" s="21">
        <v>2008</v>
      </c>
      <c r="F195" s="22">
        <v>4</v>
      </c>
      <c r="G195" s="19" t="s">
        <v>39</v>
      </c>
      <c r="H195" s="23">
        <v>85000</v>
      </c>
      <c r="I195" s="24" t="s">
        <v>35</v>
      </c>
    </row>
    <row r="196" spans="1:9" x14ac:dyDescent="0.3">
      <c r="A196" s="18">
        <v>11036</v>
      </c>
      <c r="B196" s="19" t="s">
        <v>173</v>
      </c>
      <c r="C196" s="19" t="s">
        <v>11</v>
      </c>
      <c r="D196" s="20">
        <v>39555</v>
      </c>
      <c r="E196" s="21">
        <v>2008</v>
      </c>
      <c r="F196" s="22">
        <v>4</v>
      </c>
      <c r="G196" s="19" t="s">
        <v>39</v>
      </c>
      <c r="H196" s="23">
        <v>149000</v>
      </c>
      <c r="I196" s="24" t="s">
        <v>174</v>
      </c>
    </row>
    <row r="197" spans="1:9" x14ac:dyDescent="0.3">
      <c r="A197" s="18">
        <v>11040</v>
      </c>
      <c r="B197" s="19" t="s">
        <v>121</v>
      </c>
      <c r="C197" s="19" t="s">
        <v>16</v>
      </c>
      <c r="D197" s="20">
        <v>39557</v>
      </c>
      <c r="E197" s="21">
        <v>2008</v>
      </c>
      <c r="F197" s="22">
        <v>4</v>
      </c>
      <c r="G197" s="19" t="s">
        <v>39</v>
      </c>
      <c r="H197" s="23">
        <v>19000</v>
      </c>
      <c r="I197" s="24" t="s">
        <v>122</v>
      </c>
    </row>
    <row r="198" spans="1:9" x14ac:dyDescent="0.3">
      <c r="A198" s="18">
        <v>11047</v>
      </c>
      <c r="B198" s="19" t="s">
        <v>93</v>
      </c>
      <c r="C198" s="19" t="s">
        <v>13</v>
      </c>
      <c r="D198" s="20">
        <v>39559</v>
      </c>
      <c r="E198" s="21">
        <v>2008</v>
      </c>
      <c r="F198" s="22">
        <v>4</v>
      </c>
      <c r="G198" s="19" t="s">
        <v>39</v>
      </c>
      <c r="H198" s="23">
        <v>47000</v>
      </c>
      <c r="I198" s="24" t="s">
        <v>94</v>
      </c>
    </row>
    <row r="199" spans="1:9" x14ac:dyDescent="0.3">
      <c r="A199" s="18">
        <v>11048</v>
      </c>
      <c r="B199" s="19" t="s">
        <v>41</v>
      </c>
      <c r="C199" s="19" t="s">
        <v>13</v>
      </c>
      <c r="D199" s="20">
        <v>39559</v>
      </c>
      <c r="E199" s="21">
        <v>2008</v>
      </c>
      <c r="F199" s="22">
        <v>4</v>
      </c>
      <c r="G199" s="19" t="s">
        <v>39</v>
      </c>
      <c r="H199" s="23">
        <v>24000</v>
      </c>
      <c r="I199" s="24" t="s">
        <v>42</v>
      </c>
    </row>
    <row r="200" spans="1:9" x14ac:dyDescent="0.3">
      <c r="A200" s="18">
        <v>11051</v>
      </c>
      <c r="B200" s="19" t="s">
        <v>32</v>
      </c>
      <c r="C200" s="19" t="s">
        <v>13</v>
      </c>
      <c r="D200" s="20">
        <v>39562</v>
      </c>
      <c r="E200" s="21">
        <v>2008</v>
      </c>
      <c r="F200" s="22">
        <v>4</v>
      </c>
      <c r="G200" s="19" t="s">
        <v>39</v>
      </c>
      <c r="H200" s="23">
        <v>3000</v>
      </c>
      <c r="I200" s="24" t="s">
        <v>33</v>
      </c>
    </row>
    <row r="201" spans="1:9" x14ac:dyDescent="0.3">
      <c r="A201" s="18">
        <v>11058</v>
      </c>
      <c r="B201" s="19" t="s">
        <v>79</v>
      </c>
      <c r="C201" s="19" t="s">
        <v>14</v>
      </c>
      <c r="D201" s="20">
        <v>39564</v>
      </c>
      <c r="E201" s="21">
        <v>2008</v>
      </c>
      <c r="F201" s="22">
        <v>4</v>
      </c>
      <c r="G201" s="19" t="s">
        <v>39</v>
      </c>
      <c r="H201" s="23">
        <v>31000</v>
      </c>
      <c r="I201" s="24" t="s">
        <v>80</v>
      </c>
    </row>
    <row r="202" spans="1:9" x14ac:dyDescent="0.3">
      <c r="A202">
        <v>11057</v>
      </c>
      <c r="B202" t="s">
        <v>89</v>
      </c>
      <c r="C202" t="s">
        <v>15</v>
      </c>
      <c r="D202">
        <v>39564</v>
      </c>
      <c r="E202">
        <v>2008</v>
      </c>
      <c r="F202">
        <v>4</v>
      </c>
      <c r="G202" t="s">
        <v>39</v>
      </c>
      <c r="H202">
        <v>4000</v>
      </c>
      <c r="I202" t="s">
        <v>90</v>
      </c>
    </row>
    <row r="203" spans="1:9" x14ac:dyDescent="0.3">
      <c r="A203">
        <v>11061</v>
      </c>
      <c r="B203" t="s">
        <v>121</v>
      </c>
      <c r="C203" t="s">
        <v>16</v>
      </c>
      <c r="D203">
        <v>39565</v>
      </c>
      <c r="E203">
        <v>2008</v>
      </c>
      <c r="F203">
        <v>4</v>
      </c>
      <c r="G203" t="s">
        <v>39</v>
      </c>
      <c r="H203">
        <v>14000</v>
      </c>
      <c r="I203" t="s">
        <v>122</v>
      </c>
    </row>
    <row r="204" spans="1:9" x14ac:dyDescent="0.3">
      <c r="A204" s="18">
        <v>10404</v>
      </c>
      <c r="B204" s="19" t="s">
        <v>115</v>
      </c>
      <c r="C204" s="19" t="s">
        <v>8</v>
      </c>
      <c r="D204" s="20">
        <v>41640</v>
      </c>
      <c r="E204" s="21">
        <v>2014</v>
      </c>
      <c r="F204" s="22">
        <v>1</v>
      </c>
      <c r="G204" s="19" t="s">
        <v>175</v>
      </c>
      <c r="H204" s="23">
        <v>156000</v>
      </c>
      <c r="I204" s="24" t="s">
        <v>116</v>
      </c>
    </row>
    <row r="205" spans="1:9" x14ac:dyDescent="0.3">
      <c r="A205" s="18">
        <v>10405</v>
      </c>
      <c r="B205" s="19" t="s">
        <v>129</v>
      </c>
      <c r="C205" s="19" t="s">
        <v>9</v>
      </c>
      <c r="D205" s="20">
        <v>41643</v>
      </c>
      <c r="E205" s="21">
        <v>2014</v>
      </c>
      <c r="F205" s="22">
        <v>1</v>
      </c>
      <c r="G205" s="19" t="s">
        <v>175</v>
      </c>
      <c r="H205" s="23">
        <v>35000</v>
      </c>
      <c r="I205" s="24" t="s">
        <v>130</v>
      </c>
    </row>
    <row r="206" spans="1:9" x14ac:dyDescent="0.3">
      <c r="A206" s="18">
        <v>10406</v>
      </c>
      <c r="B206" s="19" t="s">
        <v>176</v>
      </c>
      <c r="C206" s="19" t="s">
        <v>13</v>
      </c>
      <c r="D206" s="20">
        <v>41644</v>
      </c>
      <c r="E206" s="21">
        <v>2014</v>
      </c>
      <c r="F206" s="22">
        <v>1</v>
      </c>
      <c r="G206" s="19" t="s">
        <v>175</v>
      </c>
      <c r="H206" s="23">
        <v>108000</v>
      </c>
      <c r="I206" s="24" t="s">
        <v>177</v>
      </c>
    </row>
    <row r="207" spans="1:9" x14ac:dyDescent="0.3">
      <c r="A207" s="18">
        <v>10408</v>
      </c>
      <c r="B207" s="19" t="s">
        <v>113</v>
      </c>
      <c r="C207" s="19" t="s">
        <v>11</v>
      </c>
      <c r="D207" s="20">
        <v>41645</v>
      </c>
      <c r="E207" s="21">
        <v>2014</v>
      </c>
      <c r="F207" s="22">
        <v>1</v>
      </c>
      <c r="G207" s="19" t="s">
        <v>175</v>
      </c>
      <c r="H207" s="23">
        <v>11000</v>
      </c>
      <c r="I207" s="24" t="s">
        <v>114</v>
      </c>
    </row>
    <row r="208" spans="1:9" x14ac:dyDescent="0.3">
      <c r="A208" s="18">
        <v>10409</v>
      </c>
      <c r="B208" s="19" t="s">
        <v>178</v>
      </c>
      <c r="C208" s="19" t="s">
        <v>15</v>
      </c>
      <c r="D208" s="20">
        <v>41646</v>
      </c>
      <c r="E208" s="21">
        <v>2014</v>
      </c>
      <c r="F208" s="22">
        <v>1</v>
      </c>
      <c r="G208" s="19" t="s">
        <v>175</v>
      </c>
      <c r="H208" s="23">
        <v>30000</v>
      </c>
      <c r="I208" s="24" t="s">
        <v>179</v>
      </c>
    </row>
    <row r="209" spans="1:9" x14ac:dyDescent="0.3">
      <c r="A209" s="18">
        <v>10418</v>
      </c>
      <c r="B209" s="19" t="s">
        <v>53</v>
      </c>
      <c r="C209" s="19" t="s">
        <v>16</v>
      </c>
      <c r="D209" s="20">
        <v>41654</v>
      </c>
      <c r="E209" s="21">
        <v>2014</v>
      </c>
      <c r="F209" s="22">
        <v>1</v>
      </c>
      <c r="G209" s="19" t="s">
        <v>175</v>
      </c>
      <c r="H209" s="23">
        <v>18000</v>
      </c>
      <c r="I209" s="24" t="s">
        <v>54</v>
      </c>
    </row>
    <row r="210" spans="1:9" x14ac:dyDescent="0.3">
      <c r="A210" s="18">
        <v>10421</v>
      </c>
      <c r="B210" s="19" t="s">
        <v>180</v>
      </c>
      <c r="C210" s="19" t="s">
        <v>11</v>
      </c>
      <c r="D210" s="20">
        <v>41658</v>
      </c>
      <c r="E210" s="21">
        <v>2014</v>
      </c>
      <c r="F210" s="22">
        <v>1</v>
      </c>
      <c r="G210" s="19" t="s">
        <v>175</v>
      </c>
      <c r="H210" s="23">
        <v>99000</v>
      </c>
      <c r="I210" s="24" t="s">
        <v>181</v>
      </c>
    </row>
    <row r="211" spans="1:9" x14ac:dyDescent="0.3">
      <c r="A211" s="18">
        <v>10420</v>
      </c>
      <c r="B211" s="19" t="s">
        <v>155</v>
      </c>
      <c r="C211" s="19" t="s">
        <v>15</v>
      </c>
      <c r="D211" s="20">
        <v>41658</v>
      </c>
      <c r="E211" s="21">
        <v>2014</v>
      </c>
      <c r="F211" s="22">
        <v>1</v>
      </c>
      <c r="G211" s="19" t="s">
        <v>175</v>
      </c>
      <c r="H211" s="23">
        <v>44000</v>
      </c>
      <c r="I211" s="24" t="s">
        <v>156</v>
      </c>
    </row>
    <row r="212" spans="1:9" x14ac:dyDescent="0.3">
      <c r="A212" s="18">
        <v>10422</v>
      </c>
      <c r="B212" s="19" t="s">
        <v>182</v>
      </c>
      <c r="C212" s="19" t="s">
        <v>8</v>
      </c>
      <c r="D212" s="20">
        <v>41659</v>
      </c>
      <c r="E212" s="21">
        <v>2014</v>
      </c>
      <c r="F212" s="22">
        <v>1</v>
      </c>
      <c r="G212" s="19" t="s">
        <v>175</v>
      </c>
      <c r="H212" s="23">
        <v>3000</v>
      </c>
      <c r="I212" s="24" t="s">
        <v>183</v>
      </c>
    </row>
    <row r="213" spans="1:9" x14ac:dyDescent="0.3">
      <c r="A213" s="18">
        <v>10426</v>
      </c>
      <c r="B213" s="19" t="s">
        <v>97</v>
      </c>
      <c r="C213" s="19" t="s">
        <v>16</v>
      </c>
      <c r="D213" s="20">
        <v>41664</v>
      </c>
      <c r="E213" s="21">
        <v>2014</v>
      </c>
      <c r="F213" s="22">
        <v>1</v>
      </c>
      <c r="G213" s="19" t="s">
        <v>175</v>
      </c>
      <c r="H213" s="23">
        <v>19000</v>
      </c>
      <c r="I213" s="24" t="s">
        <v>98</v>
      </c>
    </row>
    <row r="214" spans="1:9" x14ac:dyDescent="0.3">
      <c r="A214" s="18">
        <v>10428</v>
      </c>
      <c r="B214" s="19" t="s">
        <v>159</v>
      </c>
      <c r="C214" s="19" t="s">
        <v>13</v>
      </c>
      <c r="D214" s="20">
        <v>41665</v>
      </c>
      <c r="E214" s="21">
        <v>2014</v>
      </c>
      <c r="F214" s="22">
        <v>1</v>
      </c>
      <c r="G214" s="19" t="s">
        <v>175</v>
      </c>
      <c r="H214" s="23">
        <v>11000</v>
      </c>
      <c r="I214" s="24" t="s">
        <v>160</v>
      </c>
    </row>
    <row r="215" spans="1:9" x14ac:dyDescent="0.3">
      <c r="A215" s="18">
        <v>10430</v>
      </c>
      <c r="B215" s="19" t="s">
        <v>38</v>
      </c>
      <c r="C215" s="19" t="s">
        <v>16</v>
      </c>
      <c r="D215" s="20">
        <v>41667</v>
      </c>
      <c r="E215" s="21">
        <v>2014</v>
      </c>
      <c r="F215" s="22">
        <v>1</v>
      </c>
      <c r="G215" s="19" t="s">
        <v>175</v>
      </c>
      <c r="H215" s="23">
        <v>459000</v>
      </c>
      <c r="I215" s="24" t="s">
        <v>40</v>
      </c>
    </row>
    <row r="216" spans="1:9" x14ac:dyDescent="0.3">
      <c r="A216" s="18">
        <v>10437</v>
      </c>
      <c r="B216" s="19" t="s">
        <v>30</v>
      </c>
      <c r="C216" s="19" t="s">
        <v>11</v>
      </c>
      <c r="D216" s="20">
        <v>41673</v>
      </c>
      <c r="E216" s="21">
        <v>2014</v>
      </c>
      <c r="F216" s="22">
        <v>2</v>
      </c>
      <c r="G216" s="19" t="s">
        <v>175</v>
      </c>
      <c r="H216" s="23">
        <v>20000</v>
      </c>
      <c r="I216" s="24" t="s">
        <v>31</v>
      </c>
    </row>
    <row r="217" spans="1:9" x14ac:dyDescent="0.3">
      <c r="A217" s="18">
        <v>10443</v>
      </c>
      <c r="B217" s="19" t="s">
        <v>159</v>
      </c>
      <c r="C217" s="19" t="s">
        <v>11</v>
      </c>
      <c r="D217" s="20">
        <v>41680</v>
      </c>
      <c r="E217" s="21">
        <v>2014</v>
      </c>
      <c r="F217" s="22">
        <v>2</v>
      </c>
      <c r="G217" s="19" t="s">
        <v>175</v>
      </c>
      <c r="H217" s="23">
        <v>14000</v>
      </c>
      <c r="I217" s="24" t="s">
        <v>160</v>
      </c>
    </row>
    <row r="218" spans="1:9" x14ac:dyDescent="0.3">
      <c r="A218" s="18">
        <v>10445</v>
      </c>
      <c r="B218" s="19" t="s">
        <v>51</v>
      </c>
      <c r="C218" s="19" t="s">
        <v>15</v>
      </c>
      <c r="D218" s="20">
        <v>41681</v>
      </c>
      <c r="E218" s="21">
        <v>2014</v>
      </c>
      <c r="F218" s="22">
        <v>2</v>
      </c>
      <c r="G218" s="19" t="s">
        <v>175</v>
      </c>
      <c r="H218" s="23">
        <v>9000</v>
      </c>
      <c r="I218" s="24" t="s">
        <v>52</v>
      </c>
    </row>
    <row r="219" spans="1:9" x14ac:dyDescent="0.3">
      <c r="A219" s="18">
        <v>10446</v>
      </c>
      <c r="B219" s="19" t="s">
        <v>184</v>
      </c>
      <c r="C219" s="19" t="s">
        <v>10</v>
      </c>
      <c r="D219" s="20">
        <v>41682</v>
      </c>
      <c r="E219" s="21">
        <v>2014</v>
      </c>
      <c r="F219" s="22">
        <v>2</v>
      </c>
      <c r="G219" s="19" t="s">
        <v>175</v>
      </c>
      <c r="H219" s="23">
        <v>15000</v>
      </c>
      <c r="I219" s="24" t="s">
        <v>185</v>
      </c>
    </row>
    <row r="220" spans="1:9" x14ac:dyDescent="0.3">
      <c r="A220" s="18">
        <v>10452</v>
      </c>
      <c r="B220" s="19" t="s">
        <v>83</v>
      </c>
      <c r="C220" s="19" t="s">
        <v>11</v>
      </c>
      <c r="D220" s="20">
        <v>41688</v>
      </c>
      <c r="E220" s="21">
        <v>2014</v>
      </c>
      <c r="F220" s="22">
        <v>2</v>
      </c>
      <c r="G220" s="19" t="s">
        <v>175</v>
      </c>
      <c r="H220" s="23">
        <v>140000</v>
      </c>
      <c r="I220" s="24" t="s">
        <v>84</v>
      </c>
    </row>
    <row r="221" spans="1:9" x14ac:dyDescent="0.3">
      <c r="A221" s="18">
        <v>10457</v>
      </c>
      <c r="B221" s="19" t="s">
        <v>61</v>
      </c>
      <c r="C221" s="19" t="s">
        <v>8</v>
      </c>
      <c r="D221" s="20">
        <v>41693</v>
      </c>
      <c r="E221" s="21">
        <v>2014</v>
      </c>
      <c r="F221" s="22">
        <v>2</v>
      </c>
      <c r="G221" s="19" t="s">
        <v>175</v>
      </c>
      <c r="H221" s="23">
        <v>12000</v>
      </c>
      <c r="I221" s="24" t="s">
        <v>62</v>
      </c>
    </row>
    <row r="222" spans="1:9" x14ac:dyDescent="0.3">
      <c r="A222" s="18">
        <v>10460</v>
      </c>
      <c r="B222" s="19" t="s">
        <v>163</v>
      </c>
      <c r="C222" s="19" t="s">
        <v>11</v>
      </c>
      <c r="D222" s="20">
        <v>41696</v>
      </c>
      <c r="E222" s="21">
        <v>2014</v>
      </c>
      <c r="F222" s="22">
        <v>2</v>
      </c>
      <c r="G222" s="19" t="s">
        <v>175</v>
      </c>
      <c r="H222" s="23">
        <v>16000</v>
      </c>
      <c r="I222" s="24" t="s">
        <v>154</v>
      </c>
    </row>
    <row r="223" spans="1:9" x14ac:dyDescent="0.3">
      <c r="A223" s="18">
        <v>10462</v>
      </c>
      <c r="B223" s="19" t="s">
        <v>186</v>
      </c>
      <c r="C223" s="19" t="s">
        <v>8</v>
      </c>
      <c r="D223" s="20">
        <v>41699</v>
      </c>
      <c r="E223" s="21">
        <v>2014</v>
      </c>
      <c r="F223" s="22">
        <v>3</v>
      </c>
      <c r="G223" s="19" t="s">
        <v>175</v>
      </c>
      <c r="H223" s="23">
        <v>6000</v>
      </c>
      <c r="I223" s="24" t="s">
        <v>187</v>
      </c>
    </row>
    <row r="224" spans="1:9" x14ac:dyDescent="0.3">
      <c r="A224" s="18">
        <v>10466</v>
      </c>
      <c r="B224" s="19" t="s">
        <v>188</v>
      </c>
      <c r="C224" s="19" t="s">
        <v>16</v>
      </c>
      <c r="D224" s="20">
        <v>41702</v>
      </c>
      <c r="E224" s="21">
        <v>2014</v>
      </c>
      <c r="F224" s="22">
        <v>3</v>
      </c>
      <c r="G224" s="19" t="s">
        <v>175</v>
      </c>
      <c r="H224" s="23">
        <v>12000</v>
      </c>
      <c r="I224" s="24" t="s">
        <v>189</v>
      </c>
    </row>
    <row r="225" spans="1:9" x14ac:dyDescent="0.3">
      <c r="A225" s="18">
        <v>10469</v>
      </c>
      <c r="B225" s="19" t="s">
        <v>81</v>
      </c>
      <c r="C225" s="19" t="s">
        <v>9</v>
      </c>
      <c r="D225" s="20">
        <v>41706</v>
      </c>
      <c r="E225" s="21">
        <v>2014</v>
      </c>
      <c r="F225" s="22">
        <v>3</v>
      </c>
      <c r="G225" s="19" t="s">
        <v>175</v>
      </c>
      <c r="H225" s="23">
        <v>60000</v>
      </c>
      <c r="I225" s="24" t="s">
        <v>82</v>
      </c>
    </row>
    <row r="226" spans="1:9" x14ac:dyDescent="0.3">
      <c r="A226" s="18">
        <v>10472</v>
      </c>
      <c r="B226" s="19" t="s">
        <v>143</v>
      </c>
      <c r="C226" s="19" t="s">
        <v>11</v>
      </c>
      <c r="D226" s="20">
        <v>41708</v>
      </c>
      <c r="E226" s="21">
        <v>2014</v>
      </c>
      <c r="F226" s="22">
        <v>3</v>
      </c>
      <c r="G226" s="19" t="s">
        <v>175</v>
      </c>
      <c r="H226" s="23">
        <v>4000</v>
      </c>
      <c r="I226" s="24" t="s">
        <v>144</v>
      </c>
    </row>
    <row r="227" spans="1:9" x14ac:dyDescent="0.3">
      <c r="A227" s="18">
        <v>10475</v>
      </c>
      <c r="B227" s="19" t="s">
        <v>55</v>
      </c>
      <c r="C227" s="19" t="s">
        <v>14</v>
      </c>
      <c r="D227" s="20">
        <v>41710</v>
      </c>
      <c r="E227" s="21">
        <v>2014</v>
      </c>
      <c r="F227" s="22">
        <v>3</v>
      </c>
      <c r="G227" s="19" t="s">
        <v>175</v>
      </c>
      <c r="H227" s="23">
        <v>69000</v>
      </c>
      <c r="I227" s="24" t="s">
        <v>56</v>
      </c>
    </row>
    <row r="228" spans="1:9" x14ac:dyDescent="0.3">
      <c r="A228" s="18">
        <v>10492</v>
      </c>
      <c r="B228" s="19" t="s">
        <v>41</v>
      </c>
      <c r="C228" s="19" t="s">
        <v>15</v>
      </c>
      <c r="D228" s="20">
        <v>41728</v>
      </c>
      <c r="E228" s="21">
        <v>2014</v>
      </c>
      <c r="F228" s="22">
        <v>3</v>
      </c>
      <c r="G228" s="19" t="s">
        <v>175</v>
      </c>
      <c r="H228" s="23">
        <v>63000</v>
      </c>
      <c r="I228" s="24" t="s">
        <v>42</v>
      </c>
    </row>
    <row r="229" spans="1:9" x14ac:dyDescent="0.3">
      <c r="A229" s="18">
        <v>10497</v>
      </c>
      <c r="B229" s="19" t="s">
        <v>157</v>
      </c>
      <c r="C229" s="19" t="s">
        <v>13</v>
      </c>
      <c r="D229" s="20">
        <v>41731</v>
      </c>
      <c r="E229" s="21">
        <v>2014</v>
      </c>
      <c r="F229" s="22">
        <v>4</v>
      </c>
      <c r="G229" s="19" t="s">
        <v>175</v>
      </c>
      <c r="H229" s="23">
        <v>36000</v>
      </c>
      <c r="I229" s="24" t="s">
        <v>158</v>
      </c>
    </row>
    <row r="230" spans="1:9" x14ac:dyDescent="0.3">
      <c r="A230" s="18">
        <v>10500</v>
      </c>
      <c r="B230" s="19" t="s">
        <v>32</v>
      </c>
      <c r="C230" s="19" t="s">
        <v>10</v>
      </c>
      <c r="D230" s="20">
        <v>41736</v>
      </c>
      <c r="E230" s="21">
        <v>2014</v>
      </c>
      <c r="F230" s="22">
        <v>4</v>
      </c>
      <c r="G230" s="19" t="s">
        <v>175</v>
      </c>
      <c r="H230" s="23">
        <v>43000</v>
      </c>
      <c r="I230" s="24" t="s">
        <v>33</v>
      </c>
    </row>
    <row r="231" spans="1:9" x14ac:dyDescent="0.3">
      <c r="A231" s="18">
        <v>10502</v>
      </c>
      <c r="B231" s="19" t="s">
        <v>165</v>
      </c>
      <c r="C231" s="19" t="s">
        <v>8</v>
      </c>
      <c r="D231" s="20">
        <v>41737</v>
      </c>
      <c r="E231" s="21">
        <v>2014</v>
      </c>
      <c r="F231" s="22">
        <v>4</v>
      </c>
      <c r="G231" s="19" t="s">
        <v>175</v>
      </c>
      <c r="H231" s="23">
        <v>69000</v>
      </c>
      <c r="I231" s="24" t="s">
        <v>166</v>
      </c>
    </row>
    <row r="232" spans="1:9" x14ac:dyDescent="0.3">
      <c r="A232" s="18">
        <v>10507</v>
      </c>
      <c r="B232" s="19" t="s">
        <v>99</v>
      </c>
      <c r="C232" s="19" t="s">
        <v>13</v>
      </c>
      <c r="D232" s="20">
        <v>41742</v>
      </c>
      <c r="E232" s="21">
        <v>2014</v>
      </c>
      <c r="F232" s="22">
        <v>4</v>
      </c>
      <c r="G232" s="19" t="s">
        <v>175</v>
      </c>
      <c r="H232" s="23">
        <v>47000</v>
      </c>
      <c r="I232" s="24" t="s">
        <v>100</v>
      </c>
    </row>
    <row r="233" spans="1:9" x14ac:dyDescent="0.3">
      <c r="A233" s="18">
        <v>10513</v>
      </c>
      <c r="B233" s="19" t="s">
        <v>190</v>
      </c>
      <c r="C233" s="19" t="s">
        <v>13</v>
      </c>
      <c r="D233" s="20">
        <v>41749</v>
      </c>
      <c r="E233" s="21">
        <v>2014</v>
      </c>
      <c r="F233" s="22">
        <v>4</v>
      </c>
      <c r="G233" s="19" t="s">
        <v>175</v>
      </c>
      <c r="H233" s="23">
        <v>106000</v>
      </c>
      <c r="I233" s="24" t="s">
        <v>191</v>
      </c>
    </row>
    <row r="234" spans="1:9" x14ac:dyDescent="0.3">
      <c r="A234" s="18">
        <v>10515</v>
      </c>
      <c r="B234" s="19" t="s">
        <v>53</v>
      </c>
      <c r="C234" s="19" t="s">
        <v>8</v>
      </c>
      <c r="D234" s="20">
        <v>41750</v>
      </c>
      <c r="E234" s="21">
        <v>2014</v>
      </c>
      <c r="F234" s="22">
        <v>4</v>
      </c>
      <c r="G234" s="19" t="s">
        <v>175</v>
      </c>
      <c r="H234" s="23">
        <v>204000</v>
      </c>
      <c r="I234" s="24" t="s">
        <v>54</v>
      </c>
    </row>
    <row r="235" spans="1:9" x14ac:dyDescent="0.3">
      <c r="A235" s="18">
        <v>10520</v>
      </c>
      <c r="B235" s="19" t="s">
        <v>117</v>
      </c>
      <c r="C235" s="19" t="s">
        <v>13</v>
      </c>
      <c r="D235" s="20">
        <v>41756</v>
      </c>
      <c r="E235" s="21">
        <v>2014</v>
      </c>
      <c r="F235" s="22">
        <v>4</v>
      </c>
      <c r="G235" s="19" t="s">
        <v>175</v>
      </c>
      <c r="H235" s="23">
        <v>13000</v>
      </c>
      <c r="I235" s="24" t="s">
        <v>118</v>
      </c>
    </row>
    <row r="236" spans="1:9" x14ac:dyDescent="0.3">
      <c r="A236" s="18">
        <v>10522</v>
      </c>
      <c r="B236" s="19" t="s">
        <v>157</v>
      </c>
      <c r="C236" s="19" t="s">
        <v>16</v>
      </c>
      <c r="D236" s="20">
        <v>41757</v>
      </c>
      <c r="E236" s="21">
        <v>2014</v>
      </c>
      <c r="F236" s="22">
        <v>4</v>
      </c>
      <c r="G236" s="19" t="s">
        <v>175</v>
      </c>
      <c r="H236" s="23">
        <v>45000</v>
      </c>
      <c r="I236" s="24" t="s">
        <v>158</v>
      </c>
    </row>
    <row r="237" spans="1:9" x14ac:dyDescent="0.3">
      <c r="A237" s="18">
        <v>10527</v>
      </c>
      <c r="B237" s="19" t="s">
        <v>53</v>
      </c>
      <c r="C237" s="19" t="s">
        <v>13</v>
      </c>
      <c r="D237" s="20">
        <v>41762</v>
      </c>
      <c r="E237" s="21">
        <v>2014</v>
      </c>
      <c r="F237" s="22">
        <v>5</v>
      </c>
      <c r="G237" s="19" t="s">
        <v>175</v>
      </c>
      <c r="H237" s="23">
        <v>42000</v>
      </c>
      <c r="I237" s="24" t="s">
        <v>54</v>
      </c>
    </row>
    <row r="238" spans="1:9" x14ac:dyDescent="0.3">
      <c r="A238" s="18">
        <v>10531</v>
      </c>
      <c r="B238" s="19" t="s">
        <v>178</v>
      </c>
      <c r="C238" s="19" t="s">
        <v>13</v>
      </c>
      <c r="D238" s="20">
        <v>41765</v>
      </c>
      <c r="E238" s="21">
        <v>2014</v>
      </c>
      <c r="F238" s="22">
        <v>5</v>
      </c>
      <c r="G238" s="19" t="s">
        <v>175</v>
      </c>
      <c r="H238" s="23">
        <v>8000</v>
      </c>
      <c r="I238" s="24" t="s">
        <v>179</v>
      </c>
    </row>
    <row r="239" spans="1:9" x14ac:dyDescent="0.3">
      <c r="A239" s="18">
        <v>10533</v>
      </c>
      <c r="B239" s="19" t="s">
        <v>163</v>
      </c>
      <c r="C239" s="19" t="s">
        <v>11</v>
      </c>
      <c r="D239" s="20">
        <v>41769</v>
      </c>
      <c r="E239" s="21">
        <v>2014</v>
      </c>
      <c r="F239" s="22">
        <v>5</v>
      </c>
      <c r="G239" s="19" t="s">
        <v>175</v>
      </c>
      <c r="H239" s="23">
        <v>188000</v>
      </c>
      <c r="I239" s="24" t="s">
        <v>154</v>
      </c>
    </row>
    <row r="240" spans="1:9" x14ac:dyDescent="0.3">
      <c r="A240" s="18">
        <v>10535</v>
      </c>
      <c r="B240" s="19" t="s">
        <v>99</v>
      </c>
      <c r="C240" s="19" t="s">
        <v>16</v>
      </c>
      <c r="D240" s="20">
        <v>41770</v>
      </c>
      <c r="E240" s="21">
        <v>2014</v>
      </c>
      <c r="F240" s="22">
        <v>5</v>
      </c>
      <c r="G240" s="19" t="s">
        <v>175</v>
      </c>
      <c r="H240" s="23">
        <v>16000</v>
      </c>
      <c r="I240" s="24" t="s">
        <v>100</v>
      </c>
    </row>
    <row r="241" spans="1:9" x14ac:dyDescent="0.3">
      <c r="A241" s="18">
        <v>10537</v>
      </c>
      <c r="B241" s="19" t="s">
        <v>34</v>
      </c>
      <c r="C241" s="19" t="s">
        <v>9</v>
      </c>
      <c r="D241" s="20">
        <v>41771</v>
      </c>
      <c r="E241" s="21">
        <v>2014</v>
      </c>
      <c r="F241" s="22">
        <v>5</v>
      </c>
      <c r="G241" s="19" t="s">
        <v>175</v>
      </c>
      <c r="H241" s="23">
        <v>79000</v>
      </c>
      <c r="I241" s="24" t="s">
        <v>35</v>
      </c>
    </row>
    <row r="242" spans="1:9" x14ac:dyDescent="0.3">
      <c r="A242" s="18">
        <v>10541</v>
      </c>
      <c r="B242" s="19" t="s">
        <v>135</v>
      </c>
      <c r="C242" s="19" t="s">
        <v>8</v>
      </c>
      <c r="D242" s="20">
        <v>41776</v>
      </c>
      <c r="E242" s="21">
        <v>2014</v>
      </c>
      <c r="F242" s="22">
        <v>5</v>
      </c>
      <c r="G242" s="19" t="s">
        <v>175</v>
      </c>
      <c r="H242" s="23">
        <v>69000</v>
      </c>
      <c r="I242" s="24" t="s">
        <v>136</v>
      </c>
    </row>
    <row r="243" spans="1:9" x14ac:dyDescent="0.3">
      <c r="A243" s="18">
        <v>10544</v>
      </c>
      <c r="B243" s="19" t="s">
        <v>151</v>
      </c>
      <c r="C243" s="19" t="s">
        <v>16</v>
      </c>
      <c r="D243" s="20">
        <v>41778</v>
      </c>
      <c r="E243" s="21">
        <v>2014</v>
      </c>
      <c r="F243" s="22">
        <v>5</v>
      </c>
      <c r="G243" s="19" t="s">
        <v>175</v>
      </c>
      <c r="H243" s="23">
        <v>25000</v>
      </c>
      <c r="I243" s="24" t="s">
        <v>152</v>
      </c>
    </row>
    <row r="244" spans="1:9" x14ac:dyDescent="0.3">
      <c r="A244" s="18">
        <v>10549</v>
      </c>
      <c r="B244" s="19" t="s">
        <v>53</v>
      </c>
      <c r="C244" s="19" t="s">
        <v>12</v>
      </c>
      <c r="D244" s="20">
        <v>41784</v>
      </c>
      <c r="E244" s="21">
        <v>2014</v>
      </c>
      <c r="F244" s="22">
        <v>5</v>
      </c>
      <c r="G244" s="19" t="s">
        <v>175</v>
      </c>
      <c r="H244" s="23">
        <v>171000</v>
      </c>
      <c r="I244" s="24" t="s">
        <v>54</v>
      </c>
    </row>
    <row r="245" spans="1:9" x14ac:dyDescent="0.3">
      <c r="A245" s="18">
        <v>10552</v>
      </c>
      <c r="B245" s="19" t="s">
        <v>67</v>
      </c>
      <c r="C245" s="19" t="s">
        <v>8</v>
      </c>
      <c r="D245" s="20">
        <v>41786</v>
      </c>
      <c r="E245" s="21">
        <v>2014</v>
      </c>
      <c r="F245" s="22">
        <v>5</v>
      </c>
      <c r="G245" s="19" t="s">
        <v>175</v>
      </c>
      <c r="H245" s="23">
        <v>83000</v>
      </c>
      <c r="I245" s="24" t="s">
        <v>68</v>
      </c>
    </row>
    <row r="246" spans="1:9" x14ac:dyDescent="0.3">
      <c r="A246" s="18">
        <v>10556</v>
      </c>
      <c r="B246" s="19" t="s">
        <v>45</v>
      </c>
      <c r="C246" s="19" t="s">
        <v>8</v>
      </c>
      <c r="D246" s="20">
        <v>41791</v>
      </c>
      <c r="E246" s="21">
        <v>2014</v>
      </c>
      <c r="F246" s="22">
        <v>6</v>
      </c>
      <c r="G246" s="19" t="s">
        <v>175</v>
      </c>
      <c r="H246" s="23">
        <v>10000</v>
      </c>
      <c r="I246" s="24" t="s">
        <v>46</v>
      </c>
    </row>
    <row r="247" spans="1:9" x14ac:dyDescent="0.3">
      <c r="A247" s="18">
        <v>10559</v>
      </c>
      <c r="B247" s="19" t="s">
        <v>111</v>
      </c>
      <c r="C247" s="19" t="s">
        <v>10</v>
      </c>
      <c r="D247" s="20">
        <v>41793</v>
      </c>
      <c r="E247" s="21">
        <v>2014</v>
      </c>
      <c r="F247" s="22">
        <v>6</v>
      </c>
      <c r="G247" s="19" t="s">
        <v>175</v>
      </c>
      <c r="H247" s="23">
        <v>8000</v>
      </c>
      <c r="I247" s="24" t="s">
        <v>112</v>
      </c>
    </row>
    <row r="248" spans="1:9" x14ac:dyDescent="0.3">
      <c r="A248" s="18">
        <v>10560</v>
      </c>
      <c r="B248" s="19" t="s">
        <v>169</v>
      </c>
      <c r="C248" s="19" t="s">
        <v>11</v>
      </c>
      <c r="D248" s="20">
        <v>41794</v>
      </c>
      <c r="E248" s="21">
        <v>2014</v>
      </c>
      <c r="F248" s="22">
        <v>6</v>
      </c>
      <c r="G248" s="19" t="s">
        <v>175</v>
      </c>
      <c r="H248" s="23">
        <v>37000</v>
      </c>
      <c r="I248" s="24" t="s">
        <v>170</v>
      </c>
    </row>
    <row r="249" spans="1:9" x14ac:dyDescent="0.3">
      <c r="A249" s="18">
        <v>10562</v>
      </c>
      <c r="B249" s="19" t="s">
        <v>159</v>
      </c>
      <c r="C249" s="19" t="s">
        <v>9</v>
      </c>
      <c r="D249" s="20">
        <v>41797</v>
      </c>
      <c r="E249" s="21">
        <v>2014</v>
      </c>
      <c r="F249" s="22">
        <v>6</v>
      </c>
      <c r="G249" s="19" t="s">
        <v>175</v>
      </c>
      <c r="H249" s="23">
        <v>23000</v>
      </c>
      <c r="I249" s="24" t="s">
        <v>160</v>
      </c>
    </row>
    <row r="250" spans="1:9" x14ac:dyDescent="0.3">
      <c r="A250" s="18">
        <v>10566</v>
      </c>
      <c r="B250" s="19" t="s">
        <v>111</v>
      </c>
      <c r="C250" s="19" t="s">
        <v>14</v>
      </c>
      <c r="D250" s="20">
        <v>41800</v>
      </c>
      <c r="E250" s="21">
        <v>2014</v>
      </c>
      <c r="F250" s="22">
        <v>6</v>
      </c>
      <c r="G250" s="19" t="s">
        <v>175</v>
      </c>
      <c r="H250" s="23">
        <v>88000</v>
      </c>
      <c r="I250" s="24" t="s">
        <v>112</v>
      </c>
    </row>
    <row r="251" spans="1:9" x14ac:dyDescent="0.3">
      <c r="A251" s="18">
        <v>10567</v>
      </c>
      <c r="B251" s="19" t="s">
        <v>87</v>
      </c>
      <c r="C251" s="19" t="s">
        <v>9</v>
      </c>
      <c r="D251" s="20">
        <v>41800</v>
      </c>
      <c r="E251" s="21">
        <v>2014</v>
      </c>
      <c r="F251" s="22">
        <v>6</v>
      </c>
      <c r="G251" s="19" t="s">
        <v>175</v>
      </c>
      <c r="H251" s="23">
        <v>34000</v>
      </c>
      <c r="I251" s="24" t="s">
        <v>88</v>
      </c>
    </row>
    <row r="252" spans="1:9" x14ac:dyDescent="0.3">
      <c r="A252" s="18">
        <v>10569</v>
      </c>
      <c r="B252" s="19" t="s">
        <v>71</v>
      </c>
      <c r="C252" s="19" t="s">
        <v>12</v>
      </c>
      <c r="D252" s="20">
        <v>41804</v>
      </c>
      <c r="E252" s="21">
        <v>2014</v>
      </c>
      <c r="F252" s="22">
        <v>6</v>
      </c>
      <c r="G252" s="19" t="s">
        <v>175</v>
      </c>
      <c r="H252" s="23">
        <v>59000</v>
      </c>
      <c r="I252" s="24" t="s">
        <v>72</v>
      </c>
    </row>
    <row r="253" spans="1:9" x14ac:dyDescent="0.3">
      <c r="A253" s="18">
        <v>10575</v>
      </c>
      <c r="B253" s="19" t="s">
        <v>123</v>
      </c>
      <c r="C253" s="19" t="s">
        <v>12</v>
      </c>
      <c r="D253" s="20">
        <v>41808</v>
      </c>
      <c r="E253" s="21">
        <v>2014</v>
      </c>
      <c r="F253" s="22">
        <v>6</v>
      </c>
      <c r="G253" s="19" t="s">
        <v>175</v>
      </c>
      <c r="H253" s="23">
        <v>127000</v>
      </c>
      <c r="I253" s="24" t="s">
        <v>124</v>
      </c>
    </row>
    <row r="254" spans="1:9" x14ac:dyDescent="0.3">
      <c r="A254" s="18">
        <v>10581</v>
      </c>
      <c r="B254" s="19" t="s">
        <v>43</v>
      </c>
      <c r="C254" s="19" t="s">
        <v>15</v>
      </c>
      <c r="D254" s="20">
        <v>41814</v>
      </c>
      <c r="E254" s="21">
        <v>2014</v>
      </c>
      <c r="F254" s="22">
        <v>6</v>
      </c>
      <c r="G254" s="19" t="s">
        <v>175</v>
      </c>
      <c r="H254" s="23">
        <v>3000</v>
      </c>
      <c r="I254" s="24" t="s">
        <v>44</v>
      </c>
    </row>
    <row r="255" spans="1:9" x14ac:dyDescent="0.3">
      <c r="A255" s="18">
        <v>10584</v>
      </c>
      <c r="B255" s="19" t="s">
        <v>111</v>
      </c>
      <c r="C255" s="19" t="s">
        <v>16</v>
      </c>
      <c r="D255" s="20">
        <v>41818</v>
      </c>
      <c r="E255" s="21">
        <v>2014</v>
      </c>
      <c r="F255" s="22">
        <v>6</v>
      </c>
      <c r="G255" s="19" t="s">
        <v>175</v>
      </c>
      <c r="H255" s="23">
        <v>59000</v>
      </c>
      <c r="I255" s="24" t="s">
        <v>112</v>
      </c>
    </row>
    <row r="256" spans="1:9" x14ac:dyDescent="0.3">
      <c r="A256" s="18">
        <v>10585</v>
      </c>
      <c r="B256" s="19" t="s">
        <v>155</v>
      </c>
      <c r="C256" s="19" t="s">
        <v>13</v>
      </c>
      <c r="D256" s="20">
        <v>41819</v>
      </c>
      <c r="E256" s="21">
        <v>2014</v>
      </c>
      <c r="F256" s="22">
        <v>6</v>
      </c>
      <c r="G256" s="19" t="s">
        <v>175</v>
      </c>
      <c r="H256" s="23">
        <v>13000</v>
      </c>
      <c r="I256" s="24" t="s">
        <v>156</v>
      </c>
    </row>
    <row r="257" spans="1:9" x14ac:dyDescent="0.3">
      <c r="A257" s="18">
        <v>10587</v>
      </c>
      <c r="B257" s="19" t="s">
        <v>180</v>
      </c>
      <c r="C257" s="19" t="s">
        <v>9</v>
      </c>
      <c r="D257" s="20">
        <v>41820</v>
      </c>
      <c r="E257" s="21">
        <v>2014</v>
      </c>
      <c r="F257" s="22">
        <v>6</v>
      </c>
      <c r="G257" s="19" t="s">
        <v>175</v>
      </c>
      <c r="H257" s="23">
        <v>63000</v>
      </c>
      <c r="I257" s="24" t="s">
        <v>181</v>
      </c>
    </row>
    <row r="258" spans="1:9" x14ac:dyDescent="0.3">
      <c r="A258" s="18">
        <v>10591</v>
      </c>
      <c r="B258" s="19" t="s">
        <v>59</v>
      </c>
      <c r="C258" s="19" t="s">
        <v>9</v>
      </c>
      <c r="D258" s="20">
        <v>41825</v>
      </c>
      <c r="E258" s="21">
        <v>2014</v>
      </c>
      <c r="F258" s="22">
        <v>7</v>
      </c>
      <c r="G258" s="19" t="s">
        <v>175</v>
      </c>
      <c r="H258" s="23">
        <v>56000</v>
      </c>
      <c r="I258" s="24" t="s">
        <v>60</v>
      </c>
    </row>
    <row r="259" spans="1:9" x14ac:dyDescent="0.3">
      <c r="A259" s="18">
        <v>10592</v>
      </c>
      <c r="B259" s="19" t="s">
        <v>157</v>
      </c>
      <c r="C259" s="19" t="s">
        <v>15</v>
      </c>
      <c r="D259" s="20">
        <v>41826</v>
      </c>
      <c r="E259" s="21">
        <v>2014</v>
      </c>
      <c r="F259" s="22">
        <v>7</v>
      </c>
      <c r="G259" s="19" t="s">
        <v>175</v>
      </c>
      <c r="H259" s="23">
        <v>32000</v>
      </c>
      <c r="I259" s="24" t="s">
        <v>158</v>
      </c>
    </row>
    <row r="260" spans="1:9" x14ac:dyDescent="0.3">
      <c r="A260" s="18">
        <v>10595</v>
      </c>
      <c r="B260" s="19" t="s">
        <v>38</v>
      </c>
      <c r="C260" s="19" t="s">
        <v>8</v>
      </c>
      <c r="D260" s="20">
        <v>41828</v>
      </c>
      <c r="E260" s="21">
        <v>2014</v>
      </c>
      <c r="F260" s="22">
        <v>7</v>
      </c>
      <c r="G260" s="19" t="s">
        <v>175</v>
      </c>
      <c r="H260" s="23">
        <v>97000</v>
      </c>
      <c r="I260" s="24" t="s">
        <v>40</v>
      </c>
    </row>
    <row r="261" spans="1:9" x14ac:dyDescent="0.3">
      <c r="A261" s="18">
        <v>10596</v>
      </c>
      <c r="B261" s="19" t="s">
        <v>81</v>
      </c>
      <c r="C261" s="19" t="s">
        <v>11</v>
      </c>
      <c r="D261" s="20">
        <v>41829</v>
      </c>
      <c r="E261" s="21">
        <v>2014</v>
      </c>
      <c r="F261" s="22">
        <v>7</v>
      </c>
      <c r="G261" s="19" t="s">
        <v>175</v>
      </c>
      <c r="H261" s="23">
        <v>16000</v>
      </c>
      <c r="I261" s="24" t="s">
        <v>82</v>
      </c>
    </row>
    <row r="262" spans="1:9" x14ac:dyDescent="0.3">
      <c r="A262" s="18">
        <v>10601</v>
      </c>
      <c r="B262" s="19" t="s">
        <v>67</v>
      </c>
      <c r="C262" s="19" t="s">
        <v>13</v>
      </c>
      <c r="D262" s="20">
        <v>41834</v>
      </c>
      <c r="E262" s="21">
        <v>2014</v>
      </c>
      <c r="F262" s="22">
        <v>7</v>
      </c>
      <c r="G262" s="19" t="s">
        <v>175</v>
      </c>
      <c r="H262" s="23">
        <v>58000</v>
      </c>
      <c r="I262" s="24" t="s">
        <v>68</v>
      </c>
    </row>
    <row r="263" spans="1:9" x14ac:dyDescent="0.3">
      <c r="A263" s="18">
        <v>10600</v>
      </c>
      <c r="B263" s="19" t="s">
        <v>192</v>
      </c>
      <c r="C263" s="19" t="s">
        <v>16</v>
      </c>
      <c r="D263" s="20">
        <v>41834</v>
      </c>
      <c r="E263" s="21">
        <v>2014</v>
      </c>
      <c r="F263" s="22">
        <v>7</v>
      </c>
      <c r="G263" s="19" t="s">
        <v>175</v>
      </c>
      <c r="H263" s="23">
        <v>45000</v>
      </c>
      <c r="I263" s="24" t="s">
        <v>193</v>
      </c>
    </row>
    <row r="264" spans="1:9" x14ac:dyDescent="0.3">
      <c r="A264" s="18">
        <v>10604</v>
      </c>
      <c r="B264" s="19" t="s">
        <v>75</v>
      </c>
      <c r="C264" s="19" t="s">
        <v>9</v>
      </c>
      <c r="D264" s="20">
        <v>41836</v>
      </c>
      <c r="E264" s="21">
        <v>2014</v>
      </c>
      <c r="F264" s="22">
        <v>7</v>
      </c>
      <c r="G264" s="19" t="s">
        <v>175</v>
      </c>
      <c r="H264" s="23">
        <v>7000</v>
      </c>
      <c r="I264" s="24" t="s">
        <v>76</v>
      </c>
    </row>
    <row r="265" spans="1:9" x14ac:dyDescent="0.3">
      <c r="A265" s="18">
        <v>10607</v>
      </c>
      <c r="B265" s="19" t="s">
        <v>83</v>
      </c>
      <c r="C265" s="19" t="s">
        <v>12</v>
      </c>
      <c r="D265" s="20">
        <v>41840</v>
      </c>
      <c r="E265" s="21">
        <v>2014</v>
      </c>
      <c r="F265" s="22">
        <v>7</v>
      </c>
      <c r="G265" s="19" t="s">
        <v>175</v>
      </c>
      <c r="H265" s="23">
        <v>200000</v>
      </c>
      <c r="I265" s="24" t="s">
        <v>84</v>
      </c>
    </row>
    <row r="266" spans="1:9" x14ac:dyDescent="0.3">
      <c r="A266" s="18">
        <v>10610</v>
      </c>
      <c r="B266" s="19" t="s">
        <v>32</v>
      </c>
      <c r="C266" s="19" t="s">
        <v>11</v>
      </c>
      <c r="D266" s="20">
        <v>41843</v>
      </c>
      <c r="E266" s="21">
        <v>2014</v>
      </c>
      <c r="F266" s="22">
        <v>7</v>
      </c>
      <c r="G266" s="19" t="s">
        <v>175</v>
      </c>
      <c r="H266" s="23">
        <v>27000</v>
      </c>
      <c r="I266" s="24" t="s">
        <v>33</v>
      </c>
    </row>
    <row r="267" spans="1:9" x14ac:dyDescent="0.3">
      <c r="A267" s="18">
        <v>10618</v>
      </c>
      <c r="B267" s="19" t="s">
        <v>36</v>
      </c>
      <c r="C267" s="19" t="s">
        <v>9</v>
      </c>
      <c r="D267" s="20">
        <v>41850</v>
      </c>
      <c r="E267" s="21">
        <v>2014</v>
      </c>
      <c r="F267" s="22">
        <v>7</v>
      </c>
      <c r="G267" s="19" t="s">
        <v>175</v>
      </c>
      <c r="H267" s="23">
        <v>155000</v>
      </c>
      <c r="I267" s="24" t="s">
        <v>37</v>
      </c>
    </row>
    <row r="268" spans="1:9" x14ac:dyDescent="0.3">
      <c r="A268" s="18">
        <v>10625</v>
      </c>
      <c r="B268" s="19" t="s">
        <v>133</v>
      </c>
      <c r="C268" s="19" t="s">
        <v>15</v>
      </c>
      <c r="D268" s="20">
        <v>41857</v>
      </c>
      <c r="E268" s="21">
        <v>2014</v>
      </c>
      <c r="F268" s="22">
        <v>8</v>
      </c>
      <c r="G268" s="19" t="s">
        <v>175</v>
      </c>
      <c r="H268" s="23">
        <v>44000</v>
      </c>
      <c r="I268" s="24" t="s">
        <v>134</v>
      </c>
    </row>
    <row r="269" spans="1:9" x14ac:dyDescent="0.3">
      <c r="A269" s="18">
        <v>10632</v>
      </c>
      <c r="B269" s="19" t="s">
        <v>190</v>
      </c>
      <c r="C269" s="19" t="s">
        <v>11</v>
      </c>
      <c r="D269" s="20">
        <v>41863</v>
      </c>
      <c r="E269" s="21">
        <v>2014</v>
      </c>
      <c r="F269" s="22">
        <v>8</v>
      </c>
      <c r="G269" s="19" t="s">
        <v>175</v>
      </c>
      <c r="H269" s="23">
        <v>41000</v>
      </c>
      <c r="I269" s="24" t="s">
        <v>191</v>
      </c>
    </row>
    <row r="270" spans="1:9" x14ac:dyDescent="0.3">
      <c r="A270" s="18">
        <v>10631</v>
      </c>
      <c r="B270" s="19" t="s">
        <v>32</v>
      </c>
      <c r="C270" s="19" t="s">
        <v>11</v>
      </c>
      <c r="D270" s="20">
        <v>41863</v>
      </c>
      <c r="E270" s="21">
        <v>2014</v>
      </c>
      <c r="F270" s="22">
        <v>8</v>
      </c>
      <c r="G270" s="19" t="s">
        <v>175</v>
      </c>
      <c r="H270" s="23">
        <v>1000</v>
      </c>
      <c r="I270" s="24" t="s">
        <v>33</v>
      </c>
    </row>
    <row r="271" spans="1:9" x14ac:dyDescent="0.3">
      <c r="A271" s="18">
        <v>10637</v>
      </c>
      <c r="B271" s="19" t="s">
        <v>176</v>
      </c>
      <c r="C271" s="19" t="s">
        <v>10</v>
      </c>
      <c r="D271" s="20">
        <v>41868</v>
      </c>
      <c r="E271" s="21">
        <v>2014</v>
      </c>
      <c r="F271" s="22">
        <v>8</v>
      </c>
      <c r="G271" s="19" t="s">
        <v>175</v>
      </c>
      <c r="H271" s="23">
        <v>201000</v>
      </c>
      <c r="I271" s="24" t="s">
        <v>177</v>
      </c>
    </row>
    <row r="272" spans="1:9" x14ac:dyDescent="0.3">
      <c r="A272" s="18">
        <v>10636</v>
      </c>
      <c r="B272" s="19" t="s">
        <v>30</v>
      </c>
      <c r="C272" s="19" t="s">
        <v>16</v>
      </c>
      <c r="D272" s="20">
        <v>41868</v>
      </c>
      <c r="E272" s="21">
        <v>2014</v>
      </c>
      <c r="F272" s="22">
        <v>8</v>
      </c>
      <c r="G272" s="19" t="s">
        <v>175</v>
      </c>
      <c r="H272" s="23">
        <v>1000</v>
      </c>
      <c r="I272" s="24" t="s">
        <v>31</v>
      </c>
    </row>
    <row r="273" spans="1:9" x14ac:dyDescent="0.3">
      <c r="A273" s="18">
        <v>10638</v>
      </c>
      <c r="B273" s="19" t="s">
        <v>129</v>
      </c>
      <c r="C273" s="19" t="s">
        <v>15</v>
      </c>
      <c r="D273" s="20">
        <v>41869</v>
      </c>
      <c r="E273" s="21">
        <v>2014</v>
      </c>
      <c r="F273" s="22">
        <v>8</v>
      </c>
      <c r="G273" s="19" t="s">
        <v>175</v>
      </c>
      <c r="H273" s="23">
        <v>158000</v>
      </c>
      <c r="I273" s="24" t="s">
        <v>130</v>
      </c>
    </row>
    <row r="274" spans="1:9" x14ac:dyDescent="0.3">
      <c r="A274" s="18">
        <v>10640</v>
      </c>
      <c r="B274" s="19" t="s">
        <v>190</v>
      </c>
      <c r="C274" s="19" t="s">
        <v>16</v>
      </c>
      <c r="D274" s="20">
        <v>41870</v>
      </c>
      <c r="E274" s="21">
        <v>2014</v>
      </c>
      <c r="F274" s="22">
        <v>8</v>
      </c>
      <c r="G274" s="19" t="s">
        <v>175</v>
      </c>
      <c r="H274" s="23">
        <v>24000</v>
      </c>
      <c r="I274" s="24" t="s">
        <v>191</v>
      </c>
    </row>
    <row r="275" spans="1:9" x14ac:dyDescent="0.3">
      <c r="A275" s="18">
        <v>10643</v>
      </c>
      <c r="B275" s="19" t="s">
        <v>190</v>
      </c>
      <c r="C275" s="19" t="s">
        <v>10</v>
      </c>
      <c r="D275" s="20">
        <v>41874</v>
      </c>
      <c r="E275" s="21">
        <v>2014</v>
      </c>
      <c r="F275" s="22">
        <v>8</v>
      </c>
      <c r="G275" s="19" t="s">
        <v>175</v>
      </c>
      <c r="H275" s="23">
        <v>29000</v>
      </c>
      <c r="I275" s="24" t="s">
        <v>191</v>
      </c>
    </row>
    <row r="276" spans="1:9" x14ac:dyDescent="0.3">
      <c r="A276" s="18">
        <v>10645</v>
      </c>
      <c r="B276" s="19" t="s">
        <v>135</v>
      </c>
      <c r="C276" s="19" t="s">
        <v>16</v>
      </c>
      <c r="D276" s="20">
        <v>41875</v>
      </c>
      <c r="E276" s="21">
        <v>2014</v>
      </c>
      <c r="F276" s="22">
        <v>8</v>
      </c>
      <c r="G276" s="19" t="s">
        <v>175</v>
      </c>
      <c r="H276" s="23">
        <v>12000</v>
      </c>
      <c r="I276" s="24" t="s">
        <v>136</v>
      </c>
    </row>
    <row r="277" spans="1:9" x14ac:dyDescent="0.3">
      <c r="A277" s="18">
        <v>10653</v>
      </c>
      <c r="B277" s="19" t="s">
        <v>169</v>
      </c>
      <c r="C277" s="19" t="s">
        <v>9</v>
      </c>
      <c r="D277" s="20">
        <v>41882</v>
      </c>
      <c r="E277" s="21">
        <v>2014</v>
      </c>
      <c r="F277" s="22">
        <v>8</v>
      </c>
      <c r="G277" s="19" t="s">
        <v>175</v>
      </c>
      <c r="H277" s="23">
        <v>93000</v>
      </c>
      <c r="I277" s="24" t="s">
        <v>170</v>
      </c>
    </row>
    <row r="278" spans="1:9" x14ac:dyDescent="0.3">
      <c r="A278" s="18">
        <v>10654</v>
      </c>
      <c r="B278" s="19" t="s">
        <v>51</v>
      </c>
      <c r="C278" s="19" t="s">
        <v>12</v>
      </c>
      <c r="D278" s="20">
        <v>41882</v>
      </c>
      <c r="E278" s="21">
        <v>2014</v>
      </c>
      <c r="F278" s="22">
        <v>8</v>
      </c>
      <c r="G278" s="19" t="s">
        <v>175</v>
      </c>
      <c r="H278" s="23">
        <v>55000</v>
      </c>
      <c r="I278" s="24" t="s">
        <v>52</v>
      </c>
    </row>
    <row r="279" spans="1:9" x14ac:dyDescent="0.3">
      <c r="A279" s="18">
        <v>10656</v>
      </c>
      <c r="B279" s="19" t="s">
        <v>121</v>
      </c>
      <c r="C279" s="19" t="s">
        <v>10</v>
      </c>
      <c r="D279" s="20">
        <v>41884</v>
      </c>
      <c r="E279" s="21">
        <v>2014</v>
      </c>
      <c r="F279" s="22">
        <v>9</v>
      </c>
      <c r="G279" s="19" t="s">
        <v>175</v>
      </c>
      <c r="H279" s="23">
        <v>57000</v>
      </c>
      <c r="I279" s="24" t="s">
        <v>122</v>
      </c>
    </row>
    <row r="280" spans="1:9" x14ac:dyDescent="0.3">
      <c r="A280" s="18">
        <v>10658</v>
      </c>
      <c r="B280" s="19" t="s">
        <v>53</v>
      </c>
      <c r="C280" s="19" t="s">
        <v>16</v>
      </c>
      <c r="D280" s="20">
        <v>41885</v>
      </c>
      <c r="E280" s="21">
        <v>2014</v>
      </c>
      <c r="F280" s="22">
        <v>9</v>
      </c>
      <c r="G280" s="19" t="s">
        <v>175</v>
      </c>
      <c r="H280" s="23">
        <v>364000</v>
      </c>
      <c r="I280" s="24" t="s">
        <v>54</v>
      </c>
    </row>
    <row r="281" spans="1:9" x14ac:dyDescent="0.3">
      <c r="A281" s="18">
        <v>10660</v>
      </c>
      <c r="B281" s="19" t="s">
        <v>192</v>
      </c>
      <c r="C281" s="19" t="s">
        <v>11</v>
      </c>
      <c r="D281" s="20">
        <v>41888</v>
      </c>
      <c r="E281" s="21">
        <v>2014</v>
      </c>
      <c r="F281" s="22">
        <v>9</v>
      </c>
      <c r="G281" s="19" t="s">
        <v>175</v>
      </c>
      <c r="H281" s="23">
        <v>111000</v>
      </c>
      <c r="I281" s="24" t="s">
        <v>193</v>
      </c>
    </row>
    <row r="282" spans="1:9" x14ac:dyDescent="0.3">
      <c r="A282" s="18">
        <v>10667</v>
      </c>
      <c r="B282" s="19" t="s">
        <v>38</v>
      </c>
      <c r="C282" s="19" t="s">
        <v>13</v>
      </c>
      <c r="D282" s="20">
        <v>41892</v>
      </c>
      <c r="E282" s="21">
        <v>2014</v>
      </c>
      <c r="F282" s="22">
        <v>9</v>
      </c>
      <c r="G282" s="19" t="s">
        <v>175</v>
      </c>
      <c r="H282" s="23">
        <v>78000</v>
      </c>
      <c r="I282" s="24" t="s">
        <v>40</v>
      </c>
    </row>
    <row r="283" spans="1:9" x14ac:dyDescent="0.3">
      <c r="A283" s="18">
        <v>10669</v>
      </c>
      <c r="B283" s="19" t="s">
        <v>45</v>
      </c>
      <c r="C283" s="19" t="s">
        <v>8</v>
      </c>
      <c r="D283" s="20">
        <v>41895</v>
      </c>
      <c r="E283" s="21">
        <v>2014</v>
      </c>
      <c r="F283" s="22">
        <v>9</v>
      </c>
      <c r="G283" s="19" t="s">
        <v>175</v>
      </c>
      <c r="H283" s="23">
        <v>24000</v>
      </c>
      <c r="I283" s="24" t="s">
        <v>46</v>
      </c>
    </row>
    <row r="284" spans="1:9" x14ac:dyDescent="0.3">
      <c r="A284" s="18">
        <v>10670</v>
      </c>
      <c r="B284" s="19" t="s">
        <v>169</v>
      </c>
      <c r="C284" s="19" t="s">
        <v>16</v>
      </c>
      <c r="D284" s="20">
        <v>41896</v>
      </c>
      <c r="E284" s="21">
        <v>2014</v>
      </c>
      <c r="F284" s="22">
        <v>9</v>
      </c>
      <c r="G284" s="19" t="s">
        <v>175</v>
      </c>
      <c r="H284" s="23">
        <v>203000</v>
      </c>
      <c r="I284" s="24" t="s">
        <v>170</v>
      </c>
    </row>
    <row r="285" spans="1:9" x14ac:dyDescent="0.3">
      <c r="A285" s="18">
        <v>10671</v>
      </c>
      <c r="B285" s="19" t="s">
        <v>149</v>
      </c>
      <c r="C285" s="19" t="s">
        <v>9</v>
      </c>
      <c r="D285" s="20">
        <v>41897</v>
      </c>
      <c r="E285" s="21">
        <v>2014</v>
      </c>
      <c r="F285" s="22">
        <v>9</v>
      </c>
      <c r="G285" s="19" t="s">
        <v>175</v>
      </c>
      <c r="H285" s="23">
        <v>30000</v>
      </c>
      <c r="I285" s="24" t="s">
        <v>150</v>
      </c>
    </row>
    <row r="286" spans="1:9" x14ac:dyDescent="0.3">
      <c r="A286" s="18">
        <v>10673</v>
      </c>
      <c r="B286" s="19" t="s">
        <v>107</v>
      </c>
      <c r="C286" s="19" t="s">
        <v>8</v>
      </c>
      <c r="D286" s="20">
        <v>41898</v>
      </c>
      <c r="E286" s="21">
        <v>2014</v>
      </c>
      <c r="F286" s="22">
        <v>9</v>
      </c>
      <c r="G286" s="19" t="s">
        <v>175</v>
      </c>
      <c r="H286" s="23">
        <v>23000</v>
      </c>
      <c r="I286" s="24" t="s">
        <v>108</v>
      </c>
    </row>
    <row r="287" spans="1:9" x14ac:dyDescent="0.3">
      <c r="A287" s="18">
        <v>10680</v>
      </c>
      <c r="B287" s="19" t="s">
        <v>125</v>
      </c>
      <c r="C287" s="19" t="s">
        <v>9</v>
      </c>
      <c r="D287" s="20">
        <v>41904</v>
      </c>
      <c r="E287" s="21">
        <v>2014</v>
      </c>
      <c r="F287" s="22">
        <v>9</v>
      </c>
      <c r="G287" s="19" t="s">
        <v>175</v>
      </c>
      <c r="H287" s="23">
        <v>27000</v>
      </c>
      <c r="I287" s="24" t="s">
        <v>126</v>
      </c>
    </row>
    <row r="288" spans="1:9" x14ac:dyDescent="0.3">
      <c r="A288" s="18">
        <v>10684</v>
      </c>
      <c r="B288" s="19" t="s">
        <v>27</v>
      </c>
      <c r="C288" s="19" t="s">
        <v>15</v>
      </c>
      <c r="D288" s="20">
        <v>41906</v>
      </c>
      <c r="E288" s="21">
        <v>2014</v>
      </c>
      <c r="F288" s="22">
        <v>9</v>
      </c>
      <c r="G288" s="19" t="s">
        <v>175</v>
      </c>
      <c r="H288" s="23">
        <v>146000</v>
      </c>
      <c r="I288" s="24" t="s">
        <v>29</v>
      </c>
    </row>
    <row r="289" spans="1:9" x14ac:dyDescent="0.3">
      <c r="A289" s="18">
        <v>10683</v>
      </c>
      <c r="B289" s="19" t="s">
        <v>194</v>
      </c>
      <c r="C289" s="19" t="s">
        <v>8</v>
      </c>
      <c r="D289" s="20">
        <v>41906</v>
      </c>
      <c r="E289" s="21">
        <v>2014</v>
      </c>
      <c r="F289" s="22">
        <v>9</v>
      </c>
      <c r="G289" s="19" t="s">
        <v>175</v>
      </c>
      <c r="H289" s="23">
        <v>4000</v>
      </c>
      <c r="I289" s="24" t="s">
        <v>195</v>
      </c>
    </row>
    <row r="290" spans="1:9" x14ac:dyDescent="0.3">
      <c r="A290" s="18">
        <v>10686</v>
      </c>
      <c r="B290" s="19" t="s">
        <v>103</v>
      </c>
      <c r="C290" s="19" t="s">
        <v>8</v>
      </c>
      <c r="D290" s="20">
        <v>41910</v>
      </c>
      <c r="E290" s="21">
        <v>2014</v>
      </c>
      <c r="F290" s="22">
        <v>9</v>
      </c>
      <c r="G290" s="19" t="s">
        <v>175</v>
      </c>
      <c r="H290" s="23">
        <v>97000</v>
      </c>
      <c r="I290" s="24" t="s">
        <v>104</v>
      </c>
    </row>
    <row r="291" spans="1:9" x14ac:dyDescent="0.3">
      <c r="A291" s="18">
        <v>10690</v>
      </c>
      <c r="B291" s="19" t="s">
        <v>135</v>
      </c>
      <c r="C291" s="19" t="s">
        <v>9</v>
      </c>
      <c r="D291" s="20">
        <v>41912</v>
      </c>
      <c r="E291" s="21">
        <v>2014</v>
      </c>
      <c r="F291" s="22">
        <v>9</v>
      </c>
      <c r="G291" s="19" t="s">
        <v>175</v>
      </c>
      <c r="H291" s="23">
        <v>16000</v>
      </c>
      <c r="I291" s="24" t="s">
        <v>136</v>
      </c>
    </row>
    <row r="292" spans="1:9" x14ac:dyDescent="0.3">
      <c r="A292" s="18">
        <v>10695</v>
      </c>
      <c r="B292" s="19" t="s">
        <v>107</v>
      </c>
      <c r="C292" s="19" t="s">
        <v>13</v>
      </c>
      <c r="D292" s="20">
        <v>41917</v>
      </c>
      <c r="E292" s="21">
        <v>2014</v>
      </c>
      <c r="F292" s="22">
        <v>10</v>
      </c>
      <c r="G292" s="19" t="s">
        <v>175</v>
      </c>
      <c r="H292" s="23">
        <v>17000</v>
      </c>
      <c r="I292" s="24" t="s">
        <v>108</v>
      </c>
    </row>
    <row r="293" spans="1:9" x14ac:dyDescent="0.3">
      <c r="A293" s="18">
        <v>10697</v>
      </c>
      <c r="B293" s="19" t="s">
        <v>129</v>
      </c>
      <c r="C293" s="19" t="s">
        <v>15</v>
      </c>
      <c r="D293" s="20">
        <v>41918</v>
      </c>
      <c r="E293" s="21">
        <v>2014</v>
      </c>
      <c r="F293" s="22">
        <v>10</v>
      </c>
      <c r="G293" s="19" t="s">
        <v>175</v>
      </c>
      <c r="H293" s="23">
        <v>46000</v>
      </c>
      <c r="I293" s="24" t="s">
        <v>130</v>
      </c>
    </row>
    <row r="294" spans="1:9" x14ac:dyDescent="0.3">
      <c r="A294" s="18">
        <v>10698</v>
      </c>
      <c r="B294" s="19" t="s">
        <v>38</v>
      </c>
      <c r="C294" s="19" t="s">
        <v>16</v>
      </c>
      <c r="D294" s="20">
        <v>41919</v>
      </c>
      <c r="E294" s="21">
        <v>2014</v>
      </c>
      <c r="F294" s="22">
        <v>10</v>
      </c>
      <c r="G294" s="19" t="s">
        <v>175</v>
      </c>
      <c r="H294" s="23">
        <v>272000</v>
      </c>
      <c r="I294" s="24" t="s">
        <v>40</v>
      </c>
    </row>
    <row r="295" spans="1:9" x14ac:dyDescent="0.3">
      <c r="A295" s="18">
        <v>10700</v>
      </c>
      <c r="B295" s="19" t="s">
        <v>83</v>
      </c>
      <c r="C295" s="19" t="s">
        <v>15</v>
      </c>
      <c r="D295" s="20">
        <v>41920</v>
      </c>
      <c r="E295" s="21">
        <v>2014</v>
      </c>
      <c r="F295" s="22">
        <v>10</v>
      </c>
      <c r="G295" s="19" t="s">
        <v>175</v>
      </c>
      <c r="H295" s="23">
        <v>65000</v>
      </c>
      <c r="I295" s="24" t="s">
        <v>84</v>
      </c>
    </row>
    <row r="296" spans="1:9" x14ac:dyDescent="0.3">
      <c r="A296" s="18">
        <v>10702</v>
      </c>
      <c r="B296" s="19" t="s">
        <v>131</v>
      </c>
      <c r="C296" s="19" t="s">
        <v>16</v>
      </c>
      <c r="D296" s="20">
        <v>41923</v>
      </c>
      <c r="E296" s="21">
        <v>2014</v>
      </c>
      <c r="F296" s="22">
        <v>10</v>
      </c>
      <c r="G296" s="19" t="s">
        <v>175</v>
      </c>
      <c r="H296" s="23">
        <v>24000</v>
      </c>
      <c r="I296" s="24" t="s">
        <v>132</v>
      </c>
    </row>
    <row r="297" spans="1:9" x14ac:dyDescent="0.3">
      <c r="A297" s="18">
        <v>10704</v>
      </c>
      <c r="B297" s="19" t="s">
        <v>176</v>
      </c>
      <c r="C297" s="19" t="s">
        <v>10</v>
      </c>
      <c r="D297" s="20">
        <v>41924</v>
      </c>
      <c r="E297" s="21">
        <v>2014</v>
      </c>
      <c r="F297" s="22">
        <v>10</v>
      </c>
      <c r="G297" s="19" t="s">
        <v>175</v>
      </c>
      <c r="H297" s="23">
        <v>5000</v>
      </c>
      <c r="I297" s="24" t="s">
        <v>177</v>
      </c>
    </row>
    <row r="298" spans="1:9" x14ac:dyDescent="0.3">
      <c r="A298" s="18">
        <v>10710</v>
      </c>
      <c r="B298" s="19" t="s">
        <v>182</v>
      </c>
      <c r="C298" s="19" t="s">
        <v>9</v>
      </c>
      <c r="D298" s="20">
        <v>41930</v>
      </c>
      <c r="E298" s="21">
        <v>2014</v>
      </c>
      <c r="F298" s="22">
        <v>10</v>
      </c>
      <c r="G298" s="19" t="s">
        <v>175</v>
      </c>
      <c r="H298" s="23">
        <v>5000</v>
      </c>
      <c r="I298" s="24" t="s">
        <v>183</v>
      </c>
    </row>
    <row r="299" spans="1:9" x14ac:dyDescent="0.3">
      <c r="A299" s="18">
        <v>10712</v>
      </c>
      <c r="B299" s="19" t="s">
        <v>87</v>
      </c>
      <c r="C299" s="19" t="s">
        <v>15</v>
      </c>
      <c r="D299" s="20">
        <v>41931</v>
      </c>
      <c r="E299" s="21">
        <v>2014</v>
      </c>
      <c r="F299" s="22">
        <v>10</v>
      </c>
      <c r="G299" s="19" t="s">
        <v>175</v>
      </c>
      <c r="H299" s="23">
        <v>90000</v>
      </c>
      <c r="I299" s="24" t="s">
        <v>88</v>
      </c>
    </row>
    <row r="300" spans="1:9" x14ac:dyDescent="0.3">
      <c r="A300" s="18">
        <v>10713</v>
      </c>
      <c r="B300" s="19" t="s">
        <v>83</v>
      </c>
      <c r="C300" s="19" t="s">
        <v>9</v>
      </c>
      <c r="D300" s="20">
        <v>41932</v>
      </c>
      <c r="E300" s="21">
        <v>2014</v>
      </c>
      <c r="F300" s="22">
        <v>10</v>
      </c>
      <c r="G300" s="19" t="s">
        <v>175</v>
      </c>
      <c r="H300" s="23">
        <v>167000</v>
      </c>
      <c r="I300" s="24" t="s">
        <v>84</v>
      </c>
    </row>
    <row r="301" spans="1:9" x14ac:dyDescent="0.3">
      <c r="A301" s="18">
        <v>10715</v>
      </c>
      <c r="B301" s="19" t="s">
        <v>85</v>
      </c>
      <c r="C301" s="19" t="s">
        <v>15</v>
      </c>
      <c r="D301" s="20">
        <v>41933</v>
      </c>
      <c r="E301" s="21">
        <v>2014</v>
      </c>
      <c r="F301" s="22">
        <v>10</v>
      </c>
      <c r="G301" s="19" t="s">
        <v>175</v>
      </c>
      <c r="H301" s="23">
        <v>63000</v>
      </c>
      <c r="I301" s="24" t="s">
        <v>86</v>
      </c>
    </row>
    <row r="302" spans="1:9" x14ac:dyDescent="0.3">
      <c r="A302" s="18">
        <v>10722</v>
      </c>
      <c r="B302" s="19" t="s">
        <v>83</v>
      </c>
      <c r="C302" s="19" t="s">
        <v>11</v>
      </c>
      <c r="D302" s="20">
        <v>41939</v>
      </c>
      <c r="E302" s="21">
        <v>2014</v>
      </c>
      <c r="F302" s="22">
        <v>10</v>
      </c>
      <c r="G302" s="19" t="s">
        <v>175</v>
      </c>
      <c r="H302" s="23">
        <v>75000</v>
      </c>
      <c r="I302" s="24" t="s">
        <v>84</v>
      </c>
    </row>
    <row r="303" spans="1:9" x14ac:dyDescent="0.3">
      <c r="A303" s="18">
        <v>10723</v>
      </c>
      <c r="B303" s="19" t="s">
        <v>81</v>
      </c>
      <c r="C303" s="19" t="s">
        <v>15</v>
      </c>
      <c r="D303" s="20">
        <v>41940</v>
      </c>
      <c r="E303" s="21">
        <v>2014</v>
      </c>
      <c r="F303" s="22">
        <v>10</v>
      </c>
      <c r="G303" s="19" t="s">
        <v>175</v>
      </c>
      <c r="H303" s="23">
        <v>22000</v>
      </c>
      <c r="I303" s="24" t="s">
        <v>82</v>
      </c>
    </row>
    <row r="304" spans="1:9" x14ac:dyDescent="0.3">
      <c r="A304" s="18">
        <v>10727</v>
      </c>
      <c r="B304" s="19" t="s">
        <v>159</v>
      </c>
      <c r="C304" s="19" t="s">
        <v>8</v>
      </c>
      <c r="D304" s="20">
        <v>41944</v>
      </c>
      <c r="E304" s="21">
        <v>2014</v>
      </c>
      <c r="F304" s="22">
        <v>11</v>
      </c>
      <c r="G304" s="19" t="s">
        <v>175</v>
      </c>
      <c r="H304" s="23">
        <v>90000</v>
      </c>
      <c r="I304" s="24" t="s">
        <v>160</v>
      </c>
    </row>
    <row r="305" spans="1:9" x14ac:dyDescent="0.3">
      <c r="A305" s="18">
        <v>10726</v>
      </c>
      <c r="B305" s="19" t="s">
        <v>93</v>
      </c>
      <c r="C305" s="19" t="s">
        <v>16</v>
      </c>
      <c r="D305" s="20">
        <v>41944</v>
      </c>
      <c r="E305" s="21">
        <v>2014</v>
      </c>
      <c r="F305" s="22">
        <v>11</v>
      </c>
      <c r="G305" s="19" t="s">
        <v>175</v>
      </c>
      <c r="H305" s="23">
        <v>17000</v>
      </c>
      <c r="I305" s="24" t="s">
        <v>94</v>
      </c>
    </row>
    <row r="306" spans="1:9" x14ac:dyDescent="0.3">
      <c r="A306" s="18">
        <v>10730</v>
      </c>
      <c r="B306" s="19" t="s">
        <v>85</v>
      </c>
      <c r="C306" s="19" t="s">
        <v>12</v>
      </c>
      <c r="D306" s="20">
        <v>41946</v>
      </c>
      <c r="E306" s="21">
        <v>2014</v>
      </c>
      <c r="F306" s="22">
        <v>11</v>
      </c>
      <c r="G306" s="19" t="s">
        <v>175</v>
      </c>
      <c r="H306" s="23">
        <v>20000</v>
      </c>
      <c r="I306" s="24" t="s">
        <v>86</v>
      </c>
    </row>
    <row r="307" spans="1:9" x14ac:dyDescent="0.3">
      <c r="A307" s="18">
        <v>10731</v>
      </c>
      <c r="B307" s="19" t="s">
        <v>91</v>
      </c>
      <c r="C307" s="19" t="s">
        <v>13</v>
      </c>
      <c r="D307" s="20">
        <v>41947</v>
      </c>
      <c r="E307" s="21">
        <v>2014</v>
      </c>
      <c r="F307" s="22">
        <v>11</v>
      </c>
      <c r="G307" s="19" t="s">
        <v>175</v>
      </c>
      <c r="H307" s="23">
        <v>97000</v>
      </c>
      <c r="I307" s="24" t="s">
        <v>92</v>
      </c>
    </row>
    <row r="308" spans="1:9" x14ac:dyDescent="0.3">
      <c r="A308" s="18">
        <v>10732</v>
      </c>
      <c r="B308" s="19" t="s">
        <v>85</v>
      </c>
      <c r="C308" s="19" t="s">
        <v>15</v>
      </c>
      <c r="D308" s="20">
        <v>41947</v>
      </c>
      <c r="E308" s="21">
        <v>2014</v>
      </c>
      <c r="F308" s="22">
        <v>11</v>
      </c>
      <c r="G308" s="19" t="s">
        <v>175</v>
      </c>
      <c r="H308" s="23">
        <v>17000</v>
      </c>
      <c r="I308" s="24" t="s">
        <v>86</v>
      </c>
    </row>
    <row r="309" spans="1:9" x14ac:dyDescent="0.3">
      <c r="A309" s="18">
        <v>10738</v>
      </c>
      <c r="B309" s="19" t="s">
        <v>153</v>
      </c>
      <c r="C309" s="19" t="s">
        <v>8</v>
      </c>
      <c r="D309" s="20">
        <v>41953</v>
      </c>
      <c r="E309" s="21">
        <v>2014</v>
      </c>
      <c r="F309" s="22">
        <v>11</v>
      </c>
      <c r="G309" s="19" t="s">
        <v>175</v>
      </c>
      <c r="H309" s="23">
        <v>3000</v>
      </c>
      <c r="I309" s="24" t="s">
        <v>154</v>
      </c>
    </row>
    <row r="310" spans="1:9" x14ac:dyDescent="0.3">
      <c r="A310" s="18">
        <v>10744</v>
      </c>
      <c r="B310" s="19" t="s">
        <v>59</v>
      </c>
      <c r="C310" s="19" t="s">
        <v>10</v>
      </c>
      <c r="D310" s="20">
        <v>41958</v>
      </c>
      <c r="E310" s="21">
        <v>2014</v>
      </c>
      <c r="F310" s="22">
        <v>11</v>
      </c>
      <c r="G310" s="19" t="s">
        <v>175</v>
      </c>
      <c r="H310" s="23">
        <v>69000</v>
      </c>
      <c r="I310" s="24" t="s">
        <v>60</v>
      </c>
    </row>
    <row r="311" spans="1:9" x14ac:dyDescent="0.3">
      <c r="A311" s="18">
        <v>10745</v>
      </c>
      <c r="B311" s="19" t="s">
        <v>53</v>
      </c>
      <c r="C311" s="19" t="s">
        <v>14</v>
      </c>
      <c r="D311" s="20">
        <v>41959</v>
      </c>
      <c r="E311" s="21">
        <v>2014</v>
      </c>
      <c r="F311" s="22">
        <v>11</v>
      </c>
      <c r="G311" s="19" t="s">
        <v>175</v>
      </c>
      <c r="H311" s="23">
        <v>4000</v>
      </c>
      <c r="I311" s="24" t="s">
        <v>54</v>
      </c>
    </row>
    <row r="312" spans="1:9" x14ac:dyDescent="0.3">
      <c r="A312" s="18">
        <v>10747</v>
      </c>
      <c r="B312" s="19" t="s">
        <v>103</v>
      </c>
      <c r="C312" s="19" t="s">
        <v>10</v>
      </c>
      <c r="D312" s="20">
        <v>41960</v>
      </c>
      <c r="E312" s="21">
        <v>2014</v>
      </c>
      <c r="F312" s="22">
        <v>11</v>
      </c>
      <c r="G312" s="19" t="s">
        <v>175</v>
      </c>
      <c r="H312" s="23">
        <v>117000</v>
      </c>
      <c r="I312" s="24" t="s">
        <v>104</v>
      </c>
    </row>
    <row r="313" spans="1:9" x14ac:dyDescent="0.3">
      <c r="A313" s="18">
        <v>10748</v>
      </c>
      <c r="B313" s="19" t="s">
        <v>83</v>
      </c>
      <c r="C313" s="19" t="s">
        <v>15</v>
      </c>
      <c r="D313" s="20">
        <v>41961</v>
      </c>
      <c r="E313" s="21">
        <v>2014</v>
      </c>
      <c r="F313" s="22">
        <v>11</v>
      </c>
      <c r="G313" s="19" t="s">
        <v>175</v>
      </c>
      <c r="H313" s="23">
        <v>233000</v>
      </c>
      <c r="I313" s="24" t="s">
        <v>84</v>
      </c>
    </row>
    <row r="314" spans="1:9" x14ac:dyDescent="0.3">
      <c r="A314" s="18">
        <v>10750</v>
      </c>
      <c r="B314" s="19" t="s">
        <v>30</v>
      </c>
      <c r="C314" s="19" t="s">
        <v>14</v>
      </c>
      <c r="D314" s="20">
        <v>41962</v>
      </c>
      <c r="E314" s="21">
        <v>2014</v>
      </c>
      <c r="F314" s="22">
        <v>11</v>
      </c>
      <c r="G314" s="19" t="s">
        <v>175</v>
      </c>
      <c r="H314" s="23">
        <v>79000</v>
      </c>
      <c r="I314" s="24" t="s">
        <v>31</v>
      </c>
    </row>
    <row r="315" spans="1:9" x14ac:dyDescent="0.3">
      <c r="A315" s="18">
        <v>10753</v>
      </c>
      <c r="B315" s="19" t="s">
        <v>182</v>
      </c>
      <c r="C315" s="19" t="s">
        <v>15</v>
      </c>
      <c r="D315" s="20">
        <v>41966</v>
      </c>
      <c r="E315" s="21">
        <v>2014</v>
      </c>
      <c r="F315" s="22">
        <v>11</v>
      </c>
      <c r="G315" s="19" t="s">
        <v>175</v>
      </c>
      <c r="H315" s="23">
        <v>8000</v>
      </c>
      <c r="I315" s="24" t="s">
        <v>183</v>
      </c>
    </row>
    <row r="316" spans="1:9" x14ac:dyDescent="0.3">
      <c r="A316" s="18">
        <v>10757</v>
      </c>
      <c r="B316" s="19" t="s">
        <v>83</v>
      </c>
      <c r="C316" s="19" t="s">
        <v>10</v>
      </c>
      <c r="D316" s="20">
        <v>41968</v>
      </c>
      <c r="E316" s="21">
        <v>2014</v>
      </c>
      <c r="F316" s="22">
        <v>11</v>
      </c>
      <c r="G316" s="19" t="s">
        <v>175</v>
      </c>
      <c r="H316" s="23">
        <v>8000</v>
      </c>
      <c r="I316" s="24" t="s">
        <v>84</v>
      </c>
    </row>
    <row r="317" spans="1:9" x14ac:dyDescent="0.3">
      <c r="A317" s="18">
        <v>10760</v>
      </c>
      <c r="B317" s="19" t="s">
        <v>119</v>
      </c>
      <c r="C317" s="19" t="s">
        <v>16</v>
      </c>
      <c r="D317" s="20">
        <v>41972</v>
      </c>
      <c r="E317" s="21">
        <v>2014</v>
      </c>
      <c r="F317" s="22">
        <v>11</v>
      </c>
      <c r="G317" s="19" t="s">
        <v>175</v>
      </c>
      <c r="H317" s="23">
        <v>156000</v>
      </c>
      <c r="I317" s="24" t="s">
        <v>120</v>
      </c>
    </row>
    <row r="318" spans="1:9" x14ac:dyDescent="0.3">
      <c r="A318" s="18">
        <v>10762</v>
      </c>
      <c r="B318" s="19" t="s">
        <v>163</v>
      </c>
      <c r="C318" s="19" t="s">
        <v>15</v>
      </c>
      <c r="D318" s="20">
        <v>41973</v>
      </c>
      <c r="E318" s="21">
        <v>2014</v>
      </c>
      <c r="F318" s="22">
        <v>11</v>
      </c>
      <c r="G318" s="19" t="s">
        <v>175</v>
      </c>
      <c r="H318" s="23">
        <v>329000</v>
      </c>
      <c r="I318" s="24" t="s">
        <v>154</v>
      </c>
    </row>
    <row r="319" spans="1:9" x14ac:dyDescent="0.3">
      <c r="A319" s="18">
        <v>10766</v>
      </c>
      <c r="B319" s="19" t="s">
        <v>27</v>
      </c>
      <c r="C319" s="19" t="s">
        <v>16</v>
      </c>
      <c r="D319" s="20">
        <v>41976</v>
      </c>
      <c r="E319" s="21">
        <v>2014</v>
      </c>
      <c r="F319" s="22">
        <v>12</v>
      </c>
      <c r="G319" s="19" t="s">
        <v>175</v>
      </c>
      <c r="H319" s="23">
        <v>158000</v>
      </c>
      <c r="I319" s="24" t="s">
        <v>29</v>
      </c>
    </row>
    <row r="320" spans="1:9" x14ac:dyDescent="0.3">
      <c r="A320" s="18">
        <v>10769</v>
      </c>
      <c r="B320" s="19" t="s">
        <v>59</v>
      </c>
      <c r="C320" s="19" t="s">
        <v>15</v>
      </c>
      <c r="D320" s="20">
        <v>41979</v>
      </c>
      <c r="E320" s="21">
        <v>2014</v>
      </c>
      <c r="F320" s="22">
        <v>12</v>
      </c>
      <c r="G320" s="19" t="s">
        <v>175</v>
      </c>
      <c r="H320" s="23">
        <v>65000</v>
      </c>
      <c r="I320" s="24" t="s">
        <v>60</v>
      </c>
    </row>
    <row r="321" spans="1:9" x14ac:dyDescent="0.3">
      <c r="A321" s="18">
        <v>10774</v>
      </c>
      <c r="B321" s="19" t="s">
        <v>163</v>
      </c>
      <c r="C321" s="19" t="s">
        <v>16</v>
      </c>
      <c r="D321" s="20">
        <v>41982</v>
      </c>
      <c r="E321" s="21">
        <v>2014</v>
      </c>
      <c r="F321" s="22">
        <v>12</v>
      </c>
      <c r="G321" s="19" t="s">
        <v>175</v>
      </c>
      <c r="H321" s="23">
        <v>48000</v>
      </c>
      <c r="I321" s="24" t="s">
        <v>164</v>
      </c>
    </row>
    <row r="322" spans="1:9" x14ac:dyDescent="0.3">
      <c r="A322" s="18">
        <v>10775</v>
      </c>
      <c r="B322" s="19" t="s">
        <v>167</v>
      </c>
      <c r="C322" s="19" t="s">
        <v>13</v>
      </c>
      <c r="D322" s="20">
        <v>41983</v>
      </c>
      <c r="E322" s="21">
        <v>2014</v>
      </c>
      <c r="F322" s="22">
        <v>12</v>
      </c>
      <c r="G322" s="19" t="s">
        <v>175</v>
      </c>
      <c r="H322" s="23">
        <v>20000</v>
      </c>
      <c r="I322" s="24" t="s">
        <v>168</v>
      </c>
    </row>
    <row r="323" spans="1:9" x14ac:dyDescent="0.3">
      <c r="A323" s="18">
        <v>10780</v>
      </c>
      <c r="B323" s="19" t="s">
        <v>57</v>
      </c>
      <c r="C323" s="19" t="s">
        <v>8</v>
      </c>
      <c r="D323" s="20">
        <v>41987</v>
      </c>
      <c r="E323" s="21">
        <v>2014</v>
      </c>
      <c r="F323" s="22">
        <v>12</v>
      </c>
      <c r="G323" s="19" t="s">
        <v>175</v>
      </c>
      <c r="H323" s="23">
        <v>42000</v>
      </c>
      <c r="I323" s="24" t="s">
        <v>58</v>
      </c>
    </row>
    <row r="324" spans="1:9" x14ac:dyDescent="0.3">
      <c r="A324" s="18">
        <v>10778</v>
      </c>
      <c r="B324" s="19" t="s">
        <v>51</v>
      </c>
      <c r="C324" s="19" t="s">
        <v>15</v>
      </c>
      <c r="D324" s="20">
        <v>41987</v>
      </c>
      <c r="E324" s="21">
        <v>2014</v>
      </c>
      <c r="F324" s="22">
        <v>12</v>
      </c>
      <c r="G324" s="19" t="s">
        <v>175</v>
      </c>
      <c r="H324" s="23">
        <v>7000</v>
      </c>
      <c r="I324" s="24" t="s">
        <v>52</v>
      </c>
    </row>
    <row r="325" spans="1:9" x14ac:dyDescent="0.3">
      <c r="A325" s="18">
        <v>10787</v>
      </c>
      <c r="B325" s="19" t="s">
        <v>32</v>
      </c>
      <c r="C325" s="19" t="s">
        <v>8</v>
      </c>
      <c r="D325" s="20">
        <v>41990</v>
      </c>
      <c r="E325" s="21">
        <v>2014</v>
      </c>
      <c r="F325" s="22">
        <v>12</v>
      </c>
      <c r="G325" s="19" t="s">
        <v>175</v>
      </c>
      <c r="H325" s="23">
        <v>250000</v>
      </c>
      <c r="I325" s="24" t="s">
        <v>33</v>
      </c>
    </row>
    <row r="326" spans="1:9" x14ac:dyDescent="0.3">
      <c r="A326" s="18">
        <v>10786</v>
      </c>
      <c r="B326" s="19" t="s">
        <v>176</v>
      </c>
      <c r="C326" s="19" t="s">
        <v>11</v>
      </c>
      <c r="D326" s="20">
        <v>41990</v>
      </c>
      <c r="E326" s="21">
        <v>2014</v>
      </c>
      <c r="F326" s="22">
        <v>12</v>
      </c>
      <c r="G326" s="19" t="s">
        <v>175</v>
      </c>
      <c r="H326" s="23">
        <v>111000</v>
      </c>
      <c r="I326" s="24" t="s">
        <v>177</v>
      </c>
    </row>
    <row r="327" spans="1:9" x14ac:dyDescent="0.3">
      <c r="A327" s="18">
        <v>10790</v>
      </c>
      <c r="B327" s="19" t="s">
        <v>47</v>
      </c>
      <c r="C327" s="19" t="s">
        <v>10</v>
      </c>
      <c r="D327" s="20">
        <v>41993</v>
      </c>
      <c r="E327" s="21">
        <v>2014</v>
      </c>
      <c r="F327" s="22">
        <v>12</v>
      </c>
      <c r="G327" s="19" t="s">
        <v>175</v>
      </c>
      <c r="H327" s="23">
        <v>28000</v>
      </c>
      <c r="I327" s="24" t="s">
        <v>48</v>
      </c>
    </row>
    <row r="328" spans="1:9" x14ac:dyDescent="0.3">
      <c r="A328" s="18">
        <v>10794</v>
      </c>
      <c r="B328" s="19" t="s">
        <v>180</v>
      </c>
      <c r="C328" s="19" t="s">
        <v>10</v>
      </c>
      <c r="D328" s="20">
        <v>41995</v>
      </c>
      <c r="E328" s="21">
        <v>2014</v>
      </c>
      <c r="F328" s="22">
        <v>12</v>
      </c>
      <c r="G328" s="19" t="s">
        <v>175</v>
      </c>
      <c r="H328" s="23">
        <v>21000</v>
      </c>
      <c r="I328" s="24" t="s">
        <v>181</v>
      </c>
    </row>
    <row r="329" spans="1:9" x14ac:dyDescent="0.3">
      <c r="A329" s="18">
        <v>10796</v>
      </c>
      <c r="B329" s="19" t="s">
        <v>67</v>
      </c>
      <c r="C329" s="19" t="s">
        <v>15</v>
      </c>
      <c r="D329" s="20">
        <v>41996</v>
      </c>
      <c r="E329" s="21">
        <v>2014</v>
      </c>
      <c r="F329" s="22">
        <v>12</v>
      </c>
      <c r="G329" s="19" t="s">
        <v>175</v>
      </c>
      <c r="H329" s="23">
        <v>27000</v>
      </c>
      <c r="I329" s="24" t="s">
        <v>68</v>
      </c>
    </row>
    <row r="330" spans="1:9" x14ac:dyDescent="0.3">
      <c r="A330" s="18">
        <v>10798</v>
      </c>
      <c r="B330" s="19" t="s">
        <v>65</v>
      </c>
      <c r="C330" s="19" t="s">
        <v>8</v>
      </c>
      <c r="D330" s="20">
        <v>41997</v>
      </c>
      <c r="E330" s="21">
        <v>2014</v>
      </c>
      <c r="F330" s="22">
        <v>12</v>
      </c>
      <c r="G330" s="19" t="s">
        <v>175</v>
      </c>
      <c r="H330" s="23">
        <v>2000</v>
      </c>
      <c r="I330" s="24" t="s">
        <v>66</v>
      </c>
    </row>
    <row r="331" spans="1:9" x14ac:dyDescent="0.3">
      <c r="A331" s="18">
        <v>10803</v>
      </c>
      <c r="B331" s="19" t="s">
        <v>155</v>
      </c>
      <c r="C331" s="19" t="s">
        <v>16</v>
      </c>
      <c r="D331" s="20">
        <v>42001</v>
      </c>
      <c r="E331" s="21">
        <v>2014</v>
      </c>
      <c r="F331" s="22">
        <v>12</v>
      </c>
      <c r="G331" s="19" t="s">
        <v>175</v>
      </c>
      <c r="H331" s="23">
        <v>55000</v>
      </c>
      <c r="I331" s="24" t="s">
        <v>156</v>
      </c>
    </row>
    <row r="332" spans="1:9" x14ac:dyDescent="0.3">
      <c r="A332" s="18">
        <v>10807</v>
      </c>
      <c r="B332" s="19" t="s">
        <v>182</v>
      </c>
      <c r="C332" s="19" t="s">
        <v>16</v>
      </c>
      <c r="D332" s="20">
        <v>42002</v>
      </c>
      <c r="E332" s="21">
        <v>2014</v>
      </c>
      <c r="F332" s="22">
        <v>12</v>
      </c>
      <c r="G332" s="19" t="s">
        <v>175</v>
      </c>
      <c r="H332" s="23">
        <v>1000</v>
      </c>
      <c r="I332" s="24" t="s">
        <v>183</v>
      </c>
    </row>
    <row r="333" spans="1:9" x14ac:dyDescent="0.3">
      <c r="A333" s="18">
        <v>10809</v>
      </c>
      <c r="B333" s="19" t="s">
        <v>155</v>
      </c>
      <c r="C333" s="19" t="s">
        <v>13</v>
      </c>
      <c r="D333" s="20">
        <v>42003</v>
      </c>
      <c r="E333" s="21">
        <v>2014</v>
      </c>
      <c r="F333" s="22">
        <v>12</v>
      </c>
      <c r="G333" s="19" t="s">
        <v>175</v>
      </c>
      <c r="H333" s="23">
        <v>5000</v>
      </c>
      <c r="I333" s="24" t="s">
        <v>156</v>
      </c>
    </row>
    <row r="334" spans="1:9" x14ac:dyDescent="0.3">
      <c r="A334" s="18">
        <v>10812</v>
      </c>
      <c r="B334" s="19" t="s">
        <v>159</v>
      </c>
      <c r="C334" s="19" t="s">
        <v>12</v>
      </c>
      <c r="D334" s="20">
        <v>42004</v>
      </c>
      <c r="E334" s="21">
        <v>2014</v>
      </c>
      <c r="F334" s="22">
        <v>12</v>
      </c>
      <c r="G334" s="19" t="s">
        <v>175</v>
      </c>
      <c r="H334" s="23">
        <v>60000</v>
      </c>
      <c r="I334" s="24" t="s">
        <v>160</v>
      </c>
    </row>
    <row r="335" spans="1:9" x14ac:dyDescent="0.3">
      <c r="A335" s="18">
        <v>10811</v>
      </c>
      <c r="B335" s="19" t="s">
        <v>129</v>
      </c>
      <c r="C335" s="19" t="s">
        <v>11</v>
      </c>
      <c r="D335" s="20">
        <v>42004</v>
      </c>
      <c r="E335" s="21">
        <v>2014</v>
      </c>
      <c r="F335" s="22">
        <v>12</v>
      </c>
      <c r="G335" s="19" t="s">
        <v>175</v>
      </c>
      <c r="H335" s="23">
        <v>31000</v>
      </c>
      <c r="I335" s="24" t="s">
        <v>130</v>
      </c>
    </row>
    <row r="336" spans="1:9" x14ac:dyDescent="0.3">
      <c r="A336" s="18">
        <v>10813</v>
      </c>
      <c r="B336" s="19" t="s">
        <v>109</v>
      </c>
      <c r="C336" s="19" t="s">
        <v>9</v>
      </c>
      <c r="D336" s="20">
        <v>39450</v>
      </c>
      <c r="E336" s="21">
        <v>2008</v>
      </c>
      <c r="F336" s="22">
        <v>1</v>
      </c>
      <c r="G336" s="19" t="s">
        <v>175</v>
      </c>
      <c r="H336" s="23">
        <v>47000</v>
      </c>
      <c r="I336" s="24" t="s">
        <v>110</v>
      </c>
    </row>
    <row r="337" spans="1:9" x14ac:dyDescent="0.3">
      <c r="A337" s="18">
        <v>10821</v>
      </c>
      <c r="B337" s="19" t="s">
        <v>161</v>
      </c>
      <c r="C337" s="19" t="s">
        <v>9</v>
      </c>
      <c r="D337" s="20">
        <v>39453</v>
      </c>
      <c r="E337" s="21">
        <v>2008</v>
      </c>
      <c r="F337" s="22">
        <v>1</v>
      </c>
      <c r="G337" s="19" t="s">
        <v>175</v>
      </c>
      <c r="H337" s="23">
        <v>37000</v>
      </c>
      <c r="I337" s="24" t="s">
        <v>162</v>
      </c>
    </row>
    <row r="338" spans="1:9" x14ac:dyDescent="0.3">
      <c r="A338" s="18">
        <v>10825</v>
      </c>
      <c r="B338" s="19" t="s">
        <v>173</v>
      </c>
      <c r="C338" s="19" t="s">
        <v>9</v>
      </c>
      <c r="D338" s="20">
        <v>39454</v>
      </c>
      <c r="E338" s="21">
        <v>2008</v>
      </c>
      <c r="F338" s="22">
        <v>1</v>
      </c>
      <c r="G338" s="19" t="s">
        <v>175</v>
      </c>
      <c r="H338" s="23">
        <v>79000</v>
      </c>
      <c r="I338" s="24" t="s">
        <v>174</v>
      </c>
    </row>
    <row r="339" spans="1:9" x14ac:dyDescent="0.3">
      <c r="A339" s="18">
        <v>10824</v>
      </c>
      <c r="B339" s="19" t="s">
        <v>163</v>
      </c>
      <c r="C339" s="19" t="s">
        <v>11</v>
      </c>
      <c r="D339" s="20">
        <v>39454</v>
      </c>
      <c r="E339" s="21">
        <v>2008</v>
      </c>
      <c r="F339" s="22">
        <v>1</v>
      </c>
      <c r="G339" s="19" t="s">
        <v>175</v>
      </c>
      <c r="H339" s="23">
        <v>1000</v>
      </c>
      <c r="I339" s="24" t="s">
        <v>154</v>
      </c>
    </row>
    <row r="340" spans="1:9" x14ac:dyDescent="0.3">
      <c r="A340" s="18">
        <v>10826</v>
      </c>
      <c r="B340" s="19" t="s">
        <v>111</v>
      </c>
      <c r="C340" s="19" t="s">
        <v>10</v>
      </c>
      <c r="D340" s="20">
        <v>39457</v>
      </c>
      <c r="E340" s="21">
        <v>2008</v>
      </c>
      <c r="F340" s="22">
        <v>1</v>
      </c>
      <c r="G340" s="19" t="s">
        <v>175</v>
      </c>
      <c r="H340" s="23">
        <v>7000</v>
      </c>
      <c r="I340" s="24" t="s">
        <v>112</v>
      </c>
    </row>
    <row r="341" spans="1:9" x14ac:dyDescent="0.3">
      <c r="A341" s="18">
        <v>10829</v>
      </c>
      <c r="B341" s="19" t="s">
        <v>65</v>
      </c>
      <c r="C341" s="19" t="s">
        <v>14</v>
      </c>
      <c r="D341" s="20">
        <v>39458</v>
      </c>
      <c r="E341" s="21">
        <v>2008</v>
      </c>
      <c r="F341" s="22">
        <v>1</v>
      </c>
      <c r="G341" s="19" t="s">
        <v>175</v>
      </c>
      <c r="H341" s="23">
        <v>155000</v>
      </c>
      <c r="I341" s="24" t="s">
        <v>66</v>
      </c>
    </row>
    <row r="342" spans="1:9" x14ac:dyDescent="0.3">
      <c r="A342" s="18">
        <v>10828</v>
      </c>
      <c r="B342" s="19" t="s">
        <v>171</v>
      </c>
      <c r="C342" s="19" t="s">
        <v>14</v>
      </c>
      <c r="D342" s="20">
        <v>39458</v>
      </c>
      <c r="E342" s="21">
        <v>2008</v>
      </c>
      <c r="F342" s="22">
        <v>1</v>
      </c>
      <c r="G342" s="19" t="s">
        <v>175</v>
      </c>
      <c r="H342" s="23">
        <v>91000</v>
      </c>
      <c r="I342" s="24" t="s">
        <v>172</v>
      </c>
    </row>
    <row r="343" spans="1:9" x14ac:dyDescent="0.3">
      <c r="A343" s="18">
        <v>10835</v>
      </c>
      <c r="B343" s="19" t="s">
        <v>131</v>
      </c>
      <c r="C343" s="19" t="s">
        <v>9</v>
      </c>
      <c r="D343" s="20">
        <v>39460</v>
      </c>
      <c r="E343" s="21">
        <v>2008</v>
      </c>
      <c r="F343" s="22">
        <v>1</v>
      </c>
      <c r="G343" s="19" t="s">
        <v>175</v>
      </c>
      <c r="H343" s="23">
        <v>70000</v>
      </c>
      <c r="I343" s="24" t="s">
        <v>132</v>
      </c>
    </row>
    <row r="344" spans="1:9" x14ac:dyDescent="0.3">
      <c r="A344" s="18">
        <v>10836</v>
      </c>
      <c r="B344" s="19" t="s">
        <v>38</v>
      </c>
      <c r="C344" s="19" t="s">
        <v>13</v>
      </c>
      <c r="D344" s="20">
        <v>39461</v>
      </c>
      <c r="E344" s="21">
        <v>2008</v>
      </c>
      <c r="F344" s="22">
        <v>1</v>
      </c>
      <c r="G344" s="19" t="s">
        <v>175</v>
      </c>
      <c r="H344" s="23">
        <v>412000</v>
      </c>
      <c r="I344" s="24" t="s">
        <v>40</v>
      </c>
    </row>
    <row r="345" spans="1:9" x14ac:dyDescent="0.3">
      <c r="A345" s="18">
        <v>10845</v>
      </c>
      <c r="B345" s="19" t="s">
        <v>53</v>
      </c>
      <c r="C345" s="19" t="s">
        <v>11</v>
      </c>
      <c r="D345" s="20">
        <v>39466</v>
      </c>
      <c r="E345" s="21">
        <v>2008</v>
      </c>
      <c r="F345" s="22">
        <v>1</v>
      </c>
      <c r="G345" s="19" t="s">
        <v>175</v>
      </c>
      <c r="H345" s="23">
        <v>213000</v>
      </c>
      <c r="I345" s="24" t="s">
        <v>54</v>
      </c>
    </row>
    <row r="346" spans="1:9" x14ac:dyDescent="0.3">
      <c r="A346" s="18">
        <v>10850</v>
      </c>
      <c r="B346" s="19" t="s">
        <v>69</v>
      </c>
      <c r="C346" s="19" t="s">
        <v>9</v>
      </c>
      <c r="D346" s="20">
        <v>39468</v>
      </c>
      <c r="E346" s="21">
        <v>2008</v>
      </c>
      <c r="F346" s="22">
        <v>1</v>
      </c>
      <c r="G346" s="19" t="s">
        <v>175</v>
      </c>
      <c r="H346" s="23">
        <v>49000</v>
      </c>
      <c r="I346" s="24" t="s">
        <v>70</v>
      </c>
    </row>
    <row r="347" spans="1:9" x14ac:dyDescent="0.3">
      <c r="A347" s="18">
        <v>10852</v>
      </c>
      <c r="B347" s="19" t="s">
        <v>71</v>
      </c>
      <c r="C347" s="19" t="s">
        <v>11</v>
      </c>
      <c r="D347" s="20">
        <v>39471</v>
      </c>
      <c r="E347" s="21">
        <v>2008</v>
      </c>
      <c r="F347" s="22">
        <v>1</v>
      </c>
      <c r="G347" s="19" t="s">
        <v>175</v>
      </c>
      <c r="H347" s="23">
        <v>174000</v>
      </c>
      <c r="I347" s="24" t="s">
        <v>72</v>
      </c>
    </row>
    <row r="348" spans="1:9" x14ac:dyDescent="0.3">
      <c r="A348" s="18">
        <v>10851</v>
      </c>
      <c r="B348" s="19" t="s">
        <v>109</v>
      </c>
      <c r="C348" s="19" t="s">
        <v>12</v>
      </c>
      <c r="D348" s="20">
        <v>39471</v>
      </c>
      <c r="E348" s="21">
        <v>2008</v>
      </c>
      <c r="F348" s="22">
        <v>1</v>
      </c>
      <c r="G348" s="19" t="s">
        <v>175</v>
      </c>
      <c r="H348" s="23">
        <v>161000</v>
      </c>
      <c r="I348" s="24" t="s">
        <v>110</v>
      </c>
    </row>
    <row r="349" spans="1:9" x14ac:dyDescent="0.3">
      <c r="A349" s="18">
        <v>10855</v>
      </c>
      <c r="B349" s="19" t="s">
        <v>125</v>
      </c>
      <c r="C349" s="19" t="s">
        <v>15</v>
      </c>
      <c r="D349" s="20">
        <v>39472</v>
      </c>
      <c r="E349" s="21">
        <v>2008</v>
      </c>
      <c r="F349" s="22">
        <v>1</v>
      </c>
      <c r="G349" s="19" t="s">
        <v>175</v>
      </c>
      <c r="H349" s="23">
        <v>171000</v>
      </c>
      <c r="I349" s="24" t="s">
        <v>126</v>
      </c>
    </row>
    <row r="350" spans="1:9" x14ac:dyDescent="0.3">
      <c r="A350" s="18">
        <v>10858</v>
      </c>
      <c r="B350" s="19" t="s">
        <v>196</v>
      </c>
      <c r="C350" s="19" t="s">
        <v>8</v>
      </c>
      <c r="D350" s="20">
        <v>39474</v>
      </c>
      <c r="E350" s="21">
        <v>2008</v>
      </c>
      <c r="F350" s="22">
        <v>1</v>
      </c>
      <c r="G350" s="19" t="s">
        <v>175</v>
      </c>
      <c r="H350" s="23">
        <v>53000</v>
      </c>
      <c r="I350" s="24" t="s">
        <v>197</v>
      </c>
    </row>
    <row r="351" spans="1:9" x14ac:dyDescent="0.3">
      <c r="A351" s="18">
        <v>10865</v>
      </c>
      <c r="B351" s="19" t="s">
        <v>53</v>
      </c>
      <c r="C351" s="19" t="s">
        <v>8</v>
      </c>
      <c r="D351" s="20">
        <v>39478</v>
      </c>
      <c r="E351" s="21">
        <v>2008</v>
      </c>
      <c r="F351" s="22">
        <v>1</v>
      </c>
      <c r="G351" s="19" t="s">
        <v>175</v>
      </c>
      <c r="H351" s="23">
        <v>348000</v>
      </c>
      <c r="I351" s="24" t="s">
        <v>54</v>
      </c>
    </row>
    <row r="352" spans="1:9" x14ac:dyDescent="0.3">
      <c r="A352" s="18">
        <v>10866</v>
      </c>
      <c r="B352" s="19" t="s">
        <v>51</v>
      </c>
      <c r="C352" s="19" t="s">
        <v>12</v>
      </c>
      <c r="D352" s="20">
        <v>39479</v>
      </c>
      <c r="E352" s="21">
        <v>2008</v>
      </c>
      <c r="F352" s="22">
        <v>2</v>
      </c>
      <c r="G352" s="19" t="s">
        <v>175</v>
      </c>
      <c r="H352" s="23">
        <v>109000</v>
      </c>
      <c r="I352" s="24" t="s">
        <v>52</v>
      </c>
    </row>
    <row r="353" spans="1:9" x14ac:dyDescent="0.3">
      <c r="A353" s="18">
        <v>10867</v>
      </c>
      <c r="B353" s="19" t="s">
        <v>151</v>
      </c>
      <c r="C353" s="19" t="s">
        <v>10</v>
      </c>
      <c r="D353" s="20">
        <v>39479</v>
      </c>
      <c r="E353" s="21">
        <v>2008</v>
      </c>
      <c r="F353" s="22">
        <v>2</v>
      </c>
      <c r="G353" s="19" t="s">
        <v>175</v>
      </c>
      <c r="H353" s="23">
        <v>2000</v>
      </c>
      <c r="I353" s="24" t="s">
        <v>152</v>
      </c>
    </row>
    <row r="354" spans="1:9" x14ac:dyDescent="0.3">
      <c r="A354" s="18">
        <v>10869</v>
      </c>
      <c r="B354" s="19" t="s">
        <v>143</v>
      </c>
      <c r="C354" s="19" t="s">
        <v>12</v>
      </c>
      <c r="D354" s="20">
        <v>39480</v>
      </c>
      <c r="E354" s="21">
        <v>2008</v>
      </c>
      <c r="F354" s="22">
        <v>2</v>
      </c>
      <c r="G354" s="19" t="s">
        <v>175</v>
      </c>
      <c r="H354" s="23">
        <v>143000</v>
      </c>
      <c r="I354" s="24" t="s">
        <v>144</v>
      </c>
    </row>
    <row r="355" spans="1:9" x14ac:dyDescent="0.3">
      <c r="A355" s="18">
        <v>10873</v>
      </c>
      <c r="B355" s="19" t="s">
        <v>107</v>
      </c>
      <c r="C355" s="19" t="s">
        <v>16</v>
      </c>
      <c r="D355" s="20">
        <v>39482</v>
      </c>
      <c r="E355" s="21">
        <v>2008</v>
      </c>
      <c r="F355" s="22">
        <v>2</v>
      </c>
      <c r="G355" s="19" t="s">
        <v>175</v>
      </c>
      <c r="H355" s="23">
        <v>1000</v>
      </c>
      <c r="I355" s="24" t="s">
        <v>108</v>
      </c>
    </row>
    <row r="356" spans="1:9" x14ac:dyDescent="0.3">
      <c r="A356" s="18">
        <v>10877</v>
      </c>
      <c r="B356" s="19" t="s">
        <v>109</v>
      </c>
      <c r="C356" s="19" t="s">
        <v>9</v>
      </c>
      <c r="D356" s="20">
        <v>39485</v>
      </c>
      <c r="E356" s="21">
        <v>2008</v>
      </c>
      <c r="F356" s="22">
        <v>2</v>
      </c>
      <c r="G356" s="19" t="s">
        <v>175</v>
      </c>
      <c r="H356" s="23">
        <v>38000</v>
      </c>
      <c r="I356" s="24" t="s">
        <v>110</v>
      </c>
    </row>
    <row r="357" spans="1:9" x14ac:dyDescent="0.3">
      <c r="A357" s="18">
        <v>10880</v>
      </c>
      <c r="B357" s="19" t="s">
        <v>163</v>
      </c>
      <c r="C357" s="19" t="s">
        <v>13</v>
      </c>
      <c r="D357" s="20">
        <v>39486</v>
      </c>
      <c r="E357" s="21">
        <v>2008</v>
      </c>
      <c r="F357" s="22">
        <v>2</v>
      </c>
      <c r="G357" s="19" t="s">
        <v>175</v>
      </c>
      <c r="H357" s="23">
        <v>88000</v>
      </c>
      <c r="I357" s="24" t="s">
        <v>154</v>
      </c>
    </row>
    <row r="358" spans="1:9" x14ac:dyDescent="0.3">
      <c r="A358" s="18">
        <v>10878</v>
      </c>
      <c r="B358" s="19" t="s">
        <v>53</v>
      </c>
      <c r="C358" s="19" t="s">
        <v>16</v>
      </c>
      <c r="D358" s="20">
        <v>39486</v>
      </c>
      <c r="E358" s="21">
        <v>2008</v>
      </c>
      <c r="F358" s="22">
        <v>2</v>
      </c>
      <c r="G358" s="19" t="s">
        <v>175</v>
      </c>
      <c r="H358" s="23">
        <v>47000</v>
      </c>
      <c r="I358" s="24" t="s">
        <v>54</v>
      </c>
    </row>
    <row r="359" spans="1:9" x14ac:dyDescent="0.3">
      <c r="A359" s="18">
        <v>10881</v>
      </c>
      <c r="B359" s="19" t="s">
        <v>137</v>
      </c>
      <c r="C359" s="19" t="s">
        <v>16</v>
      </c>
      <c r="D359" s="20">
        <v>39487</v>
      </c>
      <c r="E359" s="21">
        <v>2008</v>
      </c>
      <c r="F359" s="22">
        <v>2</v>
      </c>
      <c r="G359" s="19" t="s">
        <v>175</v>
      </c>
      <c r="H359" s="23">
        <v>3000</v>
      </c>
      <c r="I359" s="24" t="s">
        <v>138</v>
      </c>
    </row>
    <row r="360" spans="1:9" x14ac:dyDescent="0.3">
      <c r="A360" s="18">
        <v>10886</v>
      </c>
      <c r="B360" s="19" t="s">
        <v>135</v>
      </c>
      <c r="C360" s="19" t="s">
        <v>9</v>
      </c>
      <c r="D360" s="20">
        <v>39489</v>
      </c>
      <c r="E360" s="21">
        <v>2008</v>
      </c>
      <c r="F360" s="22">
        <v>2</v>
      </c>
      <c r="G360" s="19" t="s">
        <v>175</v>
      </c>
      <c r="H360" s="23">
        <v>5000</v>
      </c>
      <c r="I360" s="24" t="s">
        <v>136</v>
      </c>
    </row>
    <row r="361" spans="1:9" x14ac:dyDescent="0.3">
      <c r="A361" s="18">
        <v>10890</v>
      </c>
      <c r="B361" s="19" t="s">
        <v>194</v>
      </c>
      <c r="C361" s="19" t="s">
        <v>13</v>
      </c>
      <c r="D361" s="20">
        <v>39492</v>
      </c>
      <c r="E361" s="21">
        <v>2008</v>
      </c>
      <c r="F361" s="22">
        <v>2</v>
      </c>
      <c r="G361" s="19" t="s">
        <v>175</v>
      </c>
      <c r="H361" s="23">
        <v>33000</v>
      </c>
      <c r="I361" s="24" t="s">
        <v>195</v>
      </c>
    </row>
    <row r="362" spans="1:9" x14ac:dyDescent="0.3">
      <c r="A362" s="18">
        <v>10895</v>
      </c>
      <c r="B362" s="19" t="s">
        <v>38</v>
      </c>
      <c r="C362" s="19" t="s">
        <v>15</v>
      </c>
      <c r="D362" s="20">
        <v>39494</v>
      </c>
      <c r="E362" s="21">
        <v>2008</v>
      </c>
      <c r="F362" s="22">
        <v>2</v>
      </c>
      <c r="G362" s="19" t="s">
        <v>175</v>
      </c>
      <c r="H362" s="23">
        <v>163000</v>
      </c>
      <c r="I362" s="24" t="s">
        <v>40</v>
      </c>
    </row>
    <row r="363" spans="1:9" x14ac:dyDescent="0.3">
      <c r="A363" s="18">
        <v>10894</v>
      </c>
      <c r="B363" s="19" t="s">
        <v>83</v>
      </c>
      <c r="C363" s="19" t="s">
        <v>9</v>
      </c>
      <c r="D363" s="20">
        <v>39494</v>
      </c>
      <c r="E363" s="21">
        <v>2008</v>
      </c>
      <c r="F363" s="22">
        <v>2</v>
      </c>
      <c r="G363" s="19" t="s">
        <v>175</v>
      </c>
      <c r="H363" s="23">
        <v>116000</v>
      </c>
      <c r="I363" s="24" t="s">
        <v>84</v>
      </c>
    </row>
    <row r="364" spans="1:9" x14ac:dyDescent="0.3">
      <c r="A364" s="18">
        <v>10901</v>
      </c>
      <c r="B364" s="19" t="s">
        <v>67</v>
      </c>
      <c r="C364" s="19" t="s">
        <v>16</v>
      </c>
      <c r="D364" s="20">
        <v>39499</v>
      </c>
      <c r="E364" s="21">
        <v>2008</v>
      </c>
      <c r="F364" s="22">
        <v>2</v>
      </c>
      <c r="G364" s="19" t="s">
        <v>175</v>
      </c>
      <c r="H364" s="23">
        <v>62000</v>
      </c>
      <c r="I364" s="24" t="s">
        <v>68</v>
      </c>
    </row>
    <row r="365" spans="1:9" x14ac:dyDescent="0.3">
      <c r="A365" s="18">
        <v>10902</v>
      </c>
      <c r="B365" s="19" t="s">
        <v>163</v>
      </c>
      <c r="C365" s="19" t="s">
        <v>9</v>
      </c>
      <c r="D365" s="20">
        <v>39499</v>
      </c>
      <c r="E365" s="21">
        <v>2008</v>
      </c>
      <c r="F365" s="22">
        <v>2</v>
      </c>
      <c r="G365" s="19" t="s">
        <v>175</v>
      </c>
      <c r="H365" s="23">
        <v>44000</v>
      </c>
      <c r="I365" s="24" t="s">
        <v>154</v>
      </c>
    </row>
    <row r="366" spans="1:9" x14ac:dyDescent="0.3">
      <c r="A366" s="18">
        <v>10911</v>
      </c>
      <c r="B366" s="19" t="s">
        <v>95</v>
      </c>
      <c r="C366" s="19" t="s">
        <v>15</v>
      </c>
      <c r="D366" s="20">
        <v>39502</v>
      </c>
      <c r="E366" s="21">
        <v>2008</v>
      </c>
      <c r="F366" s="22">
        <v>2</v>
      </c>
      <c r="G366" s="19" t="s">
        <v>175</v>
      </c>
      <c r="H366" s="23">
        <v>38000</v>
      </c>
      <c r="I366" s="24" t="s">
        <v>96</v>
      </c>
    </row>
    <row r="367" spans="1:9" x14ac:dyDescent="0.3">
      <c r="A367" s="18">
        <v>10913</v>
      </c>
      <c r="B367" s="19" t="s">
        <v>176</v>
      </c>
      <c r="C367" s="19" t="s">
        <v>16</v>
      </c>
      <c r="D367" s="20">
        <v>39502</v>
      </c>
      <c r="E367" s="21">
        <v>2008</v>
      </c>
      <c r="F367" s="22">
        <v>2</v>
      </c>
      <c r="G367" s="19" t="s">
        <v>175</v>
      </c>
      <c r="H367" s="23">
        <v>33000</v>
      </c>
      <c r="I367" s="24" t="s">
        <v>177</v>
      </c>
    </row>
    <row r="368" spans="1:9" x14ac:dyDescent="0.3">
      <c r="A368" s="18">
        <v>10914</v>
      </c>
      <c r="B368" s="19" t="s">
        <v>176</v>
      </c>
      <c r="C368" s="19" t="s">
        <v>10</v>
      </c>
      <c r="D368" s="20">
        <v>39503</v>
      </c>
      <c r="E368" s="21">
        <v>2008</v>
      </c>
      <c r="F368" s="22">
        <v>2</v>
      </c>
      <c r="G368" s="19" t="s">
        <v>175</v>
      </c>
      <c r="H368" s="23">
        <v>21000</v>
      </c>
      <c r="I368" s="24" t="s">
        <v>177</v>
      </c>
    </row>
    <row r="369" spans="1:9" x14ac:dyDescent="0.3">
      <c r="A369" s="18">
        <v>10921</v>
      </c>
      <c r="B369" s="19" t="s">
        <v>59</v>
      </c>
      <c r="C369" s="19" t="s">
        <v>9</v>
      </c>
      <c r="D369" s="20">
        <v>39507</v>
      </c>
      <c r="E369" s="21">
        <v>2008</v>
      </c>
      <c r="F369" s="22">
        <v>2</v>
      </c>
      <c r="G369" s="19" t="s">
        <v>175</v>
      </c>
      <c r="H369" s="23">
        <v>176000</v>
      </c>
      <c r="I369" s="24" t="s">
        <v>60</v>
      </c>
    </row>
    <row r="370" spans="1:9" x14ac:dyDescent="0.3">
      <c r="A370" s="18">
        <v>10925</v>
      </c>
      <c r="B370" s="19" t="s">
        <v>135</v>
      </c>
      <c r="C370" s="19" t="s">
        <v>15</v>
      </c>
      <c r="D370" s="20">
        <v>39508</v>
      </c>
      <c r="E370" s="21">
        <v>2008</v>
      </c>
      <c r="F370" s="22">
        <v>3</v>
      </c>
      <c r="G370" s="19" t="s">
        <v>175</v>
      </c>
      <c r="H370" s="23">
        <v>2000</v>
      </c>
      <c r="I370" s="24" t="s">
        <v>136</v>
      </c>
    </row>
    <row r="371" spans="1:9" x14ac:dyDescent="0.3">
      <c r="A371" s="18">
        <v>10929</v>
      </c>
      <c r="B371" s="19" t="s">
        <v>169</v>
      </c>
      <c r="C371" s="19" t="s">
        <v>10</v>
      </c>
      <c r="D371" s="20">
        <v>39509</v>
      </c>
      <c r="E371" s="21">
        <v>2008</v>
      </c>
      <c r="F371" s="22">
        <v>3</v>
      </c>
      <c r="G371" s="19" t="s">
        <v>175</v>
      </c>
      <c r="H371" s="23">
        <v>34000</v>
      </c>
      <c r="I371" s="24" t="s">
        <v>170</v>
      </c>
    </row>
    <row r="372" spans="1:9" x14ac:dyDescent="0.3">
      <c r="A372" s="18">
        <v>10927</v>
      </c>
      <c r="B372" s="19" t="s">
        <v>196</v>
      </c>
      <c r="C372" s="19" t="s">
        <v>16</v>
      </c>
      <c r="D372" s="20">
        <v>39509</v>
      </c>
      <c r="E372" s="21">
        <v>2008</v>
      </c>
      <c r="F372" s="22">
        <v>3</v>
      </c>
      <c r="G372" s="19" t="s">
        <v>175</v>
      </c>
      <c r="H372" s="23">
        <v>20000</v>
      </c>
      <c r="I372" s="24" t="s">
        <v>197</v>
      </c>
    </row>
    <row r="373" spans="1:9" x14ac:dyDescent="0.3">
      <c r="A373" s="18">
        <v>10928</v>
      </c>
      <c r="B373" s="19" t="s">
        <v>97</v>
      </c>
      <c r="C373" s="19" t="s">
        <v>9</v>
      </c>
      <c r="D373" s="20">
        <v>39509</v>
      </c>
      <c r="E373" s="21">
        <v>2008</v>
      </c>
      <c r="F373" s="22">
        <v>3</v>
      </c>
      <c r="G373" s="19" t="s">
        <v>175</v>
      </c>
      <c r="H373" s="23">
        <v>1000</v>
      </c>
      <c r="I373" s="24" t="s">
        <v>98</v>
      </c>
    </row>
    <row r="374" spans="1:9" x14ac:dyDescent="0.3">
      <c r="A374" s="18">
        <v>10932</v>
      </c>
      <c r="B374" s="19" t="s">
        <v>85</v>
      </c>
      <c r="C374" s="19" t="s">
        <v>11</v>
      </c>
      <c r="D374" s="20">
        <v>39510</v>
      </c>
      <c r="E374" s="21">
        <v>2008</v>
      </c>
      <c r="F374" s="22">
        <v>3</v>
      </c>
      <c r="G374" s="19" t="s">
        <v>175</v>
      </c>
      <c r="H374" s="23">
        <v>135000</v>
      </c>
      <c r="I374" s="24" t="s">
        <v>86</v>
      </c>
    </row>
    <row r="375" spans="1:9" x14ac:dyDescent="0.3">
      <c r="A375" s="18">
        <v>10945</v>
      </c>
      <c r="B375" s="19" t="s">
        <v>123</v>
      </c>
      <c r="C375" s="19" t="s">
        <v>16</v>
      </c>
      <c r="D375" s="20">
        <v>39516</v>
      </c>
      <c r="E375" s="21">
        <v>2008</v>
      </c>
      <c r="F375" s="22">
        <v>3</v>
      </c>
      <c r="G375" s="19" t="s">
        <v>175</v>
      </c>
      <c r="H375" s="23">
        <v>10000</v>
      </c>
      <c r="I375" s="24" t="s">
        <v>124</v>
      </c>
    </row>
    <row r="376" spans="1:9" x14ac:dyDescent="0.3">
      <c r="A376" s="18">
        <v>10952</v>
      </c>
      <c r="B376" s="19" t="s">
        <v>198</v>
      </c>
      <c r="C376" s="19" t="s">
        <v>9</v>
      </c>
      <c r="D376" s="20">
        <v>39520</v>
      </c>
      <c r="E376" s="21">
        <v>2008</v>
      </c>
      <c r="F376" s="22">
        <v>3</v>
      </c>
      <c r="G376" s="19" t="s">
        <v>175</v>
      </c>
      <c r="H376" s="23">
        <v>40000</v>
      </c>
      <c r="I376" s="24" t="s">
        <v>199</v>
      </c>
    </row>
    <row r="377" spans="1:9" x14ac:dyDescent="0.3">
      <c r="A377" s="18">
        <v>10954</v>
      </c>
      <c r="B377" s="19" t="s">
        <v>129</v>
      </c>
      <c r="C377" s="19" t="s">
        <v>12</v>
      </c>
      <c r="D377" s="20">
        <v>39521</v>
      </c>
      <c r="E377" s="21">
        <v>2008</v>
      </c>
      <c r="F377" s="22">
        <v>3</v>
      </c>
      <c r="G377" s="19" t="s">
        <v>175</v>
      </c>
      <c r="H377" s="23">
        <v>28000</v>
      </c>
      <c r="I377" s="24" t="s">
        <v>130</v>
      </c>
    </row>
    <row r="378" spans="1:9" x14ac:dyDescent="0.3">
      <c r="A378" s="18">
        <v>10961</v>
      </c>
      <c r="B378" s="19" t="s">
        <v>176</v>
      </c>
      <c r="C378" s="19" t="s">
        <v>11</v>
      </c>
      <c r="D378" s="20">
        <v>39523</v>
      </c>
      <c r="E378" s="21">
        <v>2008</v>
      </c>
      <c r="F378" s="22">
        <v>3</v>
      </c>
      <c r="G378" s="19" t="s">
        <v>175</v>
      </c>
      <c r="H378" s="23">
        <v>104000</v>
      </c>
      <c r="I378" s="24" t="s">
        <v>177</v>
      </c>
    </row>
    <row r="379" spans="1:9" x14ac:dyDescent="0.3">
      <c r="A379" s="18">
        <v>10960</v>
      </c>
      <c r="B379" s="19" t="s">
        <v>67</v>
      </c>
      <c r="C379" s="19" t="s">
        <v>15</v>
      </c>
      <c r="D379" s="20">
        <v>39523</v>
      </c>
      <c r="E379" s="21">
        <v>2008</v>
      </c>
      <c r="F379" s="22">
        <v>3</v>
      </c>
      <c r="G379" s="19" t="s">
        <v>175</v>
      </c>
      <c r="H379" s="23">
        <v>2000</v>
      </c>
      <c r="I379" s="24" t="s">
        <v>68</v>
      </c>
    </row>
    <row r="380" spans="1:9" x14ac:dyDescent="0.3">
      <c r="A380" s="18">
        <v>10966</v>
      </c>
      <c r="B380" s="19" t="s">
        <v>91</v>
      </c>
      <c r="C380" s="19" t="s">
        <v>16</v>
      </c>
      <c r="D380" s="20">
        <v>39524</v>
      </c>
      <c r="E380" s="21">
        <v>2008</v>
      </c>
      <c r="F380" s="22">
        <v>3</v>
      </c>
      <c r="G380" s="19" t="s">
        <v>175</v>
      </c>
      <c r="H380" s="23">
        <v>27000</v>
      </c>
      <c r="I380" s="24" t="s">
        <v>92</v>
      </c>
    </row>
    <row r="381" spans="1:9" x14ac:dyDescent="0.3">
      <c r="A381" s="18">
        <v>10970</v>
      </c>
      <c r="B381" s="19" t="s">
        <v>200</v>
      </c>
      <c r="C381" s="19" t="s">
        <v>14</v>
      </c>
      <c r="D381" s="20">
        <v>39528</v>
      </c>
      <c r="E381" s="21">
        <v>2008</v>
      </c>
      <c r="F381" s="22">
        <v>3</v>
      </c>
      <c r="G381" s="19" t="s">
        <v>175</v>
      </c>
      <c r="H381" s="23">
        <v>16000</v>
      </c>
      <c r="I381" s="24" t="s">
        <v>201</v>
      </c>
    </row>
    <row r="382" spans="1:9" x14ac:dyDescent="0.3">
      <c r="A382" s="18">
        <v>10976</v>
      </c>
      <c r="B382" s="19" t="s">
        <v>67</v>
      </c>
      <c r="C382" s="19" t="s">
        <v>9</v>
      </c>
      <c r="D382" s="20">
        <v>39529</v>
      </c>
      <c r="E382" s="21">
        <v>2008</v>
      </c>
      <c r="F382" s="22">
        <v>3</v>
      </c>
      <c r="G382" s="19" t="s">
        <v>175</v>
      </c>
      <c r="H382" s="23">
        <v>38000</v>
      </c>
      <c r="I382" s="24" t="s">
        <v>68</v>
      </c>
    </row>
    <row r="383" spans="1:9" x14ac:dyDescent="0.3">
      <c r="A383" s="18">
        <v>10982</v>
      </c>
      <c r="B383" s="19" t="s">
        <v>41</v>
      </c>
      <c r="C383" s="19" t="s">
        <v>8</v>
      </c>
      <c r="D383" s="20">
        <v>39531</v>
      </c>
      <c r="E383" s="21">
        <v>2008</v>
      </c>
      <c r="F383" s="22">
        <v>3</v>
      </c>
      <c r="G383" s="19" t="s">
        <v>175</v>
      </c>
      <c r="H383" s="23">
        <v>14000</v>
      </c>
      <c r="I383" s="24" t="s">
        <v>42</v>
      </c>
    </row>
    <row r="384" spans="1:9" x14ac:dyDescent="0.3">
      <c r="A384" s="18">
        <v>10980</v>
      </c>
      <c r="B384" s="19" t="s">
        <v>163</v>
      </c>
      <c r="C384" s="19" t="s">
        <v>16</v>
      </c>
      <c r="D384" s="20">
        <v>39531</v>
      </c>
      <c r="E384" s="21">
        <v>2008</v>
      </c>
      <c r="F384" s="22">
        <v>3</v>
      </c>
      <c r="G384" s="19" t="s">
        <v>175</v>
      </c>
      <c r="H384" s="23">
        <v>1000</v>
      </c>
      <c r="I384" s="24" t="s">
        <v>164</v>
      </c>
    </row>
    <row r="385" spans="1:9" x14ac:dyDescent="0.3">
      <c r="A385" s="18">
        <v>10985</v>
      </c>
      <c r="B385" s="19" t="s">
        <v>87</v>
      </c>
      <c r="C385" s="19" t="s">
        <v>8</v>
      </c>
      <c r="D385" s="20">
        <v>39534</v>
      </c>
      <c r="E385" s="21">
        <v>2008</v>
      </c>
      <c r="F385" s="22">
        <v>3</v>
      </c>
      <c r="G385" s="19" t="s">
        <v>175</v>
      </c>
      <c r="H385" s="23">
        <v>92000</v>
      </c>
      <c r="I385" s="24" t="s">
        <v>88</v>
      </c>
    </row>
    <row r="386" spans="1:9" x14ac:dyDescent="0.3">
      <c r="A386" s="18">
        <v>10987</v>
      </c>
      <c r="B386" s="19" t="s">
        <v>93</v>
      </c>
      <c r="C386" s="19" t="s">
        <v>11</v>
      </c>
      <c r="D386" s="20">
        <v>39535</v>
      </c>
      <c r="E386" s="21">
        <v>2008</v>
      </c>
      <c r="F386" s="22">
        <v>3</v>
      </c>
      <c r="G386" s="19" t="s">
        <v>175</v>
      </c>
      <c r="H386" s="23">
        <v>185000</v>
      </c>
      <c r="I386" s="24" t="s">
        <v>94</v>
      </c>
    </row>
    <row r="387" spans="1:9" x14ac:dyDescent="0.3">
      <c r="A387" s="18">
        <v>10989</v>
      </c>
      <c r="B387" s="19" t="s">
        <v>180</v>
      </c>
      <c r="C387" s="19" t="s">
        <v>8</v>
      </c>
      <c r="D387" s="20">
        <v>39535</v>
      </c>
      <c r="E387" s="21">
        <v>2008</v>
      </c>
      <c r="F387" s="22">
        <v>3</v>
      </c>
      <c r="G387" s="19" t="s">
        <v>175</v>
      </c>
      <c r="H387" s="23">
        <v>35000</v>
      </c>
      <c r="I387" s="24" t="s">
        <v>181</v>
      </c>
    </row>
    <row r="388" spans="1:9" x14ac:dyDescent="0.3">
      <c r="A388" s="18">
        <v>10991</v>
      </c>
      <c r="B388" s="19" t="s">
        <v>53</v>
      </c>
      <c r="C388" s="19" t="s">
        <v>9</v>
      </c>
      <c r="D388" s="20">
        <v>39536</v>
      </c>
      <c r="E388" s="21">
        <v>2008</v>
      </c>
      <c r="F388" s="22">
        <v>3</v>
      </c>
      <c r="G388" s="19" t="s">
        <v>175</v>
      </c>
      <c r="H388" s="23">
        <v>39000</v>
      </c>
      <c r="I388" s="24" t="s">
        <v>54</v>
      </c>
    </row>
    <row r="389" spans="1:9" x14ac:dyDescent="0.3">
      <c r="A389" s="18">
        <v>11002</v>
      </c>
      <c r="B389" s="19" t="s">
        <v>83</v>
      </c>
      <c r="C389" s="19" t="s">
        <v>16</v>
      </c>
      <c r="D389" s="20">
        <v>39541</v>
      </c>
      <c r="E389" s="21">
        <v>2008</v>
      </c>
      <c r="F389" s="22">
        <v>4</v>
      </c>
      <c r="G389" s="19" t="s">
        <v>175</v>
      </c>
      <c r="H389" s="23">
        <v>141000</v>
      </c>
      <c r="I389" s="24" t="s">
        <v>84</v>
      </c>
    </row>
    <row r="390" spans="1:9" x14ac:dyDescent="0.3">
      <c r="A390" s="18">
        <v>11004</v>
      </c>
      <c r="B390" s="19" t="s">
        <v>119</v>
      </c>
      <c r="C390" s="19" t="s">
        <v>15</v>
      </c>
      <c r="D390" s="20">
        <v>39542</v>
      </c>
      <c r="E390" s="21">
        <v>2008</v>
      </c>
      <c r="F390" s="22">
        <v>4</v>
      </c>
      <c r="G390" s="19" t="s">
        <v>175</v>
      </c>
      <c r="H390" s="23">
        <v>45000</v>
      </c>
      <c r="I390" s="24" t="s">
        <v>120</v>
      </c>
    </row>
    <row r="391" spans="1:9" x14ac:dyDescent="0.3">
      <c r="A391" s="18">
        <v>11005</v>
      </c>
      <c r="B391" s="19" t="s">
        <v>107</v>
      </c>
      <c r="C391" s="19" t="s">
        <v>8</v>
      </c>
      <c r="D391" s="20">
        <v>39542</v>
      </c>
      <c r="E391" s="21">
        <v>2008</v>
      </c>
      <c r="F391" s="22">
        <v>4</v>
      </c>
      <c r="G391" s="19" t="s">
        <v>175</v>
      </c>
      <c r="H391" s="23">
        <v>1000</v>
      </c>
      <c r="I391" s="24" t="s">
        <v>108</v>
      </c>
    </row>
    <row r="392" spans="1:9" x14ac:dyDescent="0.3">
      <c r="A392" s="18">
        <v>11009</v>
      </c>
      <c r="B392" s="19" t="s">
        <v>95</v>
      </c>
      <c r="C392" s="19" t="s">
        <v>8</v>
      </c>
      <c r="D392" s="20">
        <v>39543</v>
      </c>
      <c r="E392" s="21">
        <v>2008</v>
      </c>
      <c r="F392" s="22">
        <v>4</v>
      </c>
      <c r="G392" s="19" t="s">
        <v>175</v>
      </c>
      <c r="H392" s="23">
        <v>59000</v>
      </c>
      <c r="I392" s="24" t="s">
        <v>96</v>
      </c>
    </row>
    <row r="393" spans="1:9" x14ac:dyDescent="0.3">
      <c r="A393" s="18">
        <v>11013</v>
      </c>
      <c r="B393" s="19" t="s">
        <v>202</v>
      </c>
      <c r="C393" s="19" t="s">
        <v>8</v>
      </c>
      <c r="D393" s="20">
        <v>39544</v>
      </c>
      <c r="E393" s="21">
        <v>2008</v>
      </c>
      <c r="F393" s="22">
        <v>4</v>
      </c>
      <c r="G393" s="19" t="s">
        <v>175</v>
      </c>
      <c r="H393" s="23">
        <v>33000</v>
      </c>
      <c r="I393" s="24" t="s">
        <v>203</v>
      </c>
    </row>
    <row r="394" spans="1:9" x14ac:dyDescent="0.3">
      <c r="A394" s="18">
        <v>11011</v>
      </c>
      <c r="B394" s="19" t="s">
        <v>198</v>
      </c>
      <c r="C394" s="19" t="s">
        <v>15</v>
      </c>
      <c r="D394" s="20">
        <v>39544</v>
      </c>
      <c r="E394" s="21">
        <v>2008</v>
      </c>
      <c r="F394" s="22">
        <v>4</v>
      </c>
      <c r="G394" s="19" t="s">
        <v>175</v>
      </c>
      <c r="H394" s="23">
        <v>1000</v>
      </c>
      <c r="I394" s="24" t="s">
        <v>199</v>
      </c>
    </row>
    <row r="395" spans="1:9" x14ac:dyDescent="0.3">
      <c r="A395" s="18">
        <v>11021</v>
      </c>
      <c r="B395" s="19" t="s">
        <v>53</v>
      </c>
      <c r="C395" s="19" t="s">
        <v>15</v>
      </c>
      <c r="D395" s="20">
        <v>39549</v>
      </c>
      <c r="E395" s="21">
        <v>2008</v>
      </c>
      <c r="F395" s="22">
        <v>4</v>
      </c>
      <c r="G395" s="19" t="s">
        <v>175</v>
      </c>
      <c r="H395" s="23">
        <v>297000</v>
      </c>
      <c r="I395" s="24" t="s">
        <v>54</v>
      </c>
    </row>
    <row r="396" spans="1:9" x14ac:dyDescent="0.3">
      <c r="A396" s="18">
        <v>11024</v>
      </c>
      <c r="B396" s="19" t="s">
        <v>93</v>
      </c>
      <c r="C396" s="19" t="s">
        <v>16</v>
      </c>
      <c r="D396" s="20">
        <v>39550</v>
      </c>
      <c r="E396" s="21">
        <v>2008</v>
      </c>
      <c r="F396" s="22">
        <v>4</v>
      </c>
      <c r="G396" s="19" t="s">
        <v>175</v>
      </c>
      <c r="H396" s="23">
        <v>74000</v>
      </c>
      <c r="I396" s="24" t="s">
        <v>94</v>
      </c>
    </row>
    <row r="397" spans="1:9" x14ac:dyDescent="0.3">
      <c r="A397" s="18">
        <v>11026</v>
      </c>
      <c r="B397" s="19" t="s">
        <v>182</v>
      </c>
      <c r="C397" s="19" t="s">
        <v>16</v>
      </c>
      <c r="D397" s="20">
        <v>39550</v>
      </c>
      <c r="E397" s="21">
        <v>2008</v>
      </c>
      <c r="F397" s="22">
        <v>4</v>
      </c>
      <c r="G397" s="19" t="s">
        <v>175</v>
      </c>
      <c r="H397" s="23">
        <v>47000</v>
      </c>
      <c r="I397" s="24" t="s">
        <v>183</v>
      </c>
    </row>
    <row r="398" spans="1:9" x14ac:dyDescent="0.3">
      <c r="A398" s="18">
        <v>11027</v>
      </c>
      <c r="B398" s="19" t="s">
        <v>41</v>
      </c>
      <c r="C398" s="19" t="s">
        <v>9</v>
      </c>
      <c r="D398" s="20">
        <v>39551</v>
      </c>
      <c r="E398" s="21">
        <v>2008</v>
      </c>
      <c r="F398" s="22">
        <v>4</v>
      </c>
      <c r="G398" s="19" t="s">
        <v>175</v>
      </c>
      <c r="H398" s="23">
        <v>53000</v>
      </c>
      <c r="I398" s="24" t="s">
        <v>42</v>
      </c>
    </row>
    <row r="399" spans="1:9" x14ac:dyDescent="0.3">
      <c r="A399" s="18">
        <v>11029</v>
      </c>
      <c r="B399" s="19" t="s">
        <v>91</v>
      </c>
      <c r="C399" s="19" t="s">
        <v>16</v>
      </c>
      <c r="D399" s="20">
        <v>39551</v>
      </c>
      <c r="E399" s="21">
        <v>2008</v>
      </c>
      <c r="F399" s="22">
        <v>4</v>
      </c>
      <c r="G399" s="19" t="s">
        <v>175</v>
      </c>
      <c r="H399" s="23">
        <v>48000</v>
      </c>
      <c r="I399" s="24" t="s">
        <v>92</v>
      </c>
    </row>
    <row r="400" spans="1:9" x14ac:dyDescent="0.3">
      <c r="A400" s="18">
        <v>11028</v>
      </c>
      <c r="B400" s="19" t="s">
        <v>61</v>
      </c>
      <c r="C400" s="19" t="s">
        <v>8</v>
      </c>
      <c r="D400" s="20">
        <v>39551</v>
      </c>
      <c r="E400" s="21">
        <v>2008</v>
      </c>
      <c r="F400" s="22">
        <v>4</v>
      </c>
      <c r="G400" s="19" t="s">
        <v>175</v>
      </c>
      <c r="H400" s="23">
        <v>30000</v>
      </c>
      <c r="I400" s="24" t="s">
        <v>62</v>
      </c>
    </row>
    <row r="401" spans="1:9" x14ac:dyDescent="0.3">
      <c r="A401" s="18">
        <v>11034</v>
      </c>
      <c r="B401" s="19" t="s">
        <v>125</v>
      </c>
      <c r="C401" s="19" t="s">
        <v>11</v>
      </c>
      <c r="D401" s="20">
        <v>39555</v>
      </c>
      <c r="E401" s="21">
        <v>2008</v>
      </c>
      <c r="F401" s="22">
        <v>4</v>
      </c>
      <c r="G401" s="19" t="s">
        <v>175</v>
      </c>
      <c r="H401" s="23">
        <v>40000</v>
      </c>
      <c r="I401" s="24" t="s">
        <v>126</v>
      </c>
    </row>
    <row r="402" spans="1:9" x14ac:dyDescent="0.3">
      <c r="A402" s="18">
        <v>11037</v>
      </c>
      <c r="B402" s="19" t="s">
        <v>95</v>
      </c>
      <c r="C402" s="19" t="s">
        <v>13</v>
      </c>
      <c r="D402" s="20">
        <v>39556</v>
      </c>
      <c r="E402" s="21">
        <v>2008</v>
      </c>
      <c r="F402" s="22">
        <v>4</v>
      </c>
      <c r="G402" s="19" t="s">
        <v>175</v>
      </c>
      <c r="H402" s="23">
        <v>3000</v>
      </c>
      <c r="I402" s="24" t="s">
        <v>96</v>
      </c>
    </row>
    <row r="403" spans="1:9" x14ac:dyDescent="0.3">
      <c r="A403" s="18">
        <v>11042</v>
      </c>
      <c r="B403" s="19" t="s">
        <v>188</v>
      </c>
      <c r="C403" s="19" t="s">
        <v>8</v>
      </c>
      <c r="D403" s="20">
        <v>39557</v>
      </c>
      <c r="E403" s="21">
        <v>2008</v>
      </c>
      <c r="F403" s="22">
        <v>4</v>
      </c>
      <c r="G403" s="19" t="s">
        <v>175</v>
      </c>
      <c r="H403" s="23">
        <v>30000</v>
      </c>
      <c r="I403" s="24" t="s">
        <v>189</v>
      </c>
    </row>
    <row r="404" spans="1:9" x14ac:dyDescent="0.3">
      <c r="A404" s="18">
        <v>11044</v>
      </c>
      <c r="B404" s="19" t="s">
        <v>141</v>
      </c>
      <c r="C404" s="19" t="s">
        <v>16</v>
      </c>
      <c r="D404" s="20">
        <v>39558</v>
      </c>
      <c r="E404" s="21">
        <v>2008</v>
      </c>
      <c r="F404" s="22">
        <v>4</v>
      </c>
      <c r="G404" s="19" t="s">
        <v>175</v>
      </c>
      <c r="H404" s="23">
        <v>9000</v>
      </c>
      <c r="I404" s="24" t="s">
        <v>142</v>
      </c>
    </row>
    <row r="405" spans="1:9" x14ac:dyDescent="0.3">
      <c r="A405" s="18">
        <v>11049</v>
      </c>
      <c r="B405" s="19" t="s">
        <v>47</v>
      </c>
      <c r="C405" s="19" t="s">
        <v>15</v>
      </c>
      <c r="D405" s="20">
        <v>39559</v>
      </c>
      <c r="E405" s="21">
        <v>2008</v>
      </c>
      <c r="F405" s="22">
        <v>4</v>
      </c>
      <c r="G405" s="19" t="s">
        <v>175</v>
      </c>
      <c r="H405" s="23">
        <v>8000</v>
      </c>
      <c r="I405" s="24" t="s">
        <v>48</v>
      </c>
    </row>
    <row r="406" spans="1:9" x14ac:dyDescent="0.3">
      <c r="A406" s="18">
        <v>11052</v>
      </c>
      <c r="B406" s="19" t="s">
        <v>135</v>
      </c>
      <c r="C406" s="19" t="s">
        <v>15</v>
      </c>
      <c r="D406" s="20">
        <v>39562</v>
      </c>
      <c r="E406" s="21">
        <v>2008</v>
      </c>
      <c r="F406" s="22">
        <v>4</v>
      </c>
      <c r="G406" s="19" t="s">
        <v>175</v>
      </c>
      <c r="H406" s="23">
        <v>67000</v>
      </c>
      <c r="I406" s="24" t="s">
        <v>136</v>
      </c>
    </row>
    <row r="407" spans="1:9" x14ac:dyDescent="0.3">
      <c r="A407" s="18">
        <v>11064</v>
      </c>
      <c r="B407" s="19" t="s">
        <v>83</v>
      </c>
      <c r="C407" s="19" t="s">
        <v>9</v>
      </c>
      <c r="D407" s="20">
        <v>39566</v>
      </c>
      <c r="E407" s="21">
        <v>2008</v>
      </c>
      <c r="F407" s="22">
        <v>4</v>
      </c>
      <c r="G407" s="19" t="s">
        <v>175</v>
      </c>
      <c r="H407" s="23">
        <v>30000</v>
      </c>
      <c r="I407" s="24" t="s">
        <v>84</v>
      </c>
    </row>
    <row r="408" spans="1:9" x14ac:dyDescent="0.3">
      <c r="A408" s="18">
        <v>11065</v>
      </c>
      <c r="B408" s="19" t="s">
        <v>57</v>
      </c>
      <c r="C408" s="19" t="s">
        <v>11</v>
      </c>
      <c r="D408" s="20">
        <v>39566</v>
      </c>
      <c r="E408" s="21">
        <v>2008</v>
      </c>
      <c r="F408" s="22">
        <v>4</v>
      </c>
      <c r="G408" s="19" t="s">
        <v>175</v>
      </c>
      <c r="H408" s="23">
        <v>13000</v>
      </c>
      <c r="I408" s="24" t="s">
        <v>58</v>
      </c>
    </row>
    <row r="409" spans="1:9" x14ac:dyDescent="0.3">
      <c r="A409">
        <v>11070</v>
      </c>
      <c r="B409" t="s">
        <v>157</v>
      </c>
      <c r="C409" t="s">
        <v>8</v>
      </c>
      <c r="D409">
        <v>39570</v>
      </c>
      <c r="E409">
        <v>2008</v>
      </c>
      <c r="F409">
        <v>5</v>
      </c>
      <c r="G409" t="s">
        <v>175</v>
      </c>
      <c r="H409">
        <v>136000</v>
      </c>
      <c r="I409" t="s">
        <v>158</v>
      </c>
    </row>
    <row r="410" spans="1:9" x14ac:dyDescent="0.3">
      <c r="A410">
        <v>11071</v>
      </c>
      <c r="B410" t="s">
        <v>57</v>
      </c>
      <c r="C410" t="s">
        <v>9</v>
      </c>
      <c r="D410">
        <v>39570</v>
      </c>
      <c r="E410">
        <v>2008</v>
      </c>
      <c r="F410">
        <v>5</v>
      </c>
      <c r="G410" t="s">
        <v>175</v>
      </c>
      <c r="H410">
        <v>1000</v>
      </c>
      <c r="I410" t="s">
        <v>58</v>
      </c>
    </row>
    <row r="411" spans="1:9" x14ac:dyDescent="0.3">
      <c r="A411" s="18">
        <v>10425</v>
      </c>
      <c r="B411" s="19" t="s">
        <v>32</v>
      </c>
      <c r="C411" s="19" t="s">
        <v>10</v>
      </c>
      <c r="D411" s="20">
        <v>41661</v>
      </c>
      <c r="E411" s="21">
        <v>2014</v>
      </c>
      <c r="F411" s="22">
        <v>1</v>
      </c>
      <c r="G411" s="19" t="s">
        <v>28</v>
      </c>
      <c r="H411" s="23">
        <v>8000</v>
      </c>
      <c r="I411" s="24" t="s">
        <v>33</v>
      </c>
    </row>
    <row r="412" spans="1:9" x14ac:dyDescent="0.3">
      <c r="A412" s="18">
        <v>10427</v>
      </c>
      <c r="B412" s="19" t="s">
        <v>103</v>
      </c>
      <c r="C412" s="19" t="s">
        <v>16</v>
      </c>
      <c r="D412" s="20">
        <v>41664</v>
      </c>
      <c r="E412" s="21">
        <v>2014</v>
      </c>
      <c r="F412" s="22">
        <v>1</v>
      </c>
      <c r="G412" s="19" t="s">
        <v>28</v>
      </c>
      <c r="H412" s="23">
        <v>31000</v>
      </c>
      <c r="I412" s="24" t="s">
        <v>104</v>
      </c>
    </row>
    <row r="413" spans="1:9" x14ac:dyDescent="0.3">
      <c r="A413" s="18">
        <v>10429</v>
      </c>
      <c r="B413" s="19" t="s">
        <v>87</v>
      </c>
      <c r="C413" s="19" t="s">
        <v>15</v>
      </c>
      <c r="D413" s="20">
        <v>41666</v>
      </c>
      <c r="E413" s="21">
        <v>2014</v>
      </c>
      <c r="F413" s="22">
        <v>1</v>
      </c>
      <c r="G413" s="19" t="s">
        <v>28</v>
      </c>
      <c r="H413" s="23">
        <v>57000</v>
      </c>
      <c r="I413" s="24" t="s">
        <v>88</v>
      </c>
    </row>
    <row r="414" spans="1:9" x14ac:dyDescent="0.3">
      <c r="A414" s="18">
        <v>10431</v>
      </c>
      <c r="B414" s="19" t="s">
        <v>41</v>
      </c>
      <c r="C414" s="19" t="s">
        <v>16</v>
      </c>
      <c r="D414" s="20">
        <v>41667</v>
      </c>
      <c r="E414" s="21">
        <v>2014</v>
      </c>
      <c r="F414" s="22">
        <v>1</v>
      </c>
      <c r="G414" s="19" t="s">
        <v>28</v>
      </c>
      <c r="H414" s="23">
        <v>44000</v>
      </c>
      <c r="I414" s="24" t="s">
        <v>42</v>
      </c>
    </row>
    <row r="415" spans="1:9" x14ac:dyDescent="0.3">
      <c r="A415" s="18">
        <v>10432</v>
      </c>
      <c r="B415" s="19" t="s">
        <v>161</v>
      </c>
      <c r="C415" s="19" t="s">
        <v>15</v>
      </c>
      <c r="D415" s="20">
        <v>41668</v>
      </c>
      <c r="E415" s="21">
        <v>2014</v>
      </c>
      <c r="F415" s="22">
        <v>1</v>
      </c>
      <c r="G415" s="19" t="s">
        <v>28</v>
      </c>
      <c r="H415" s="23">
        <v>4000</v>
      </c>
      <c r="I415" s="24" t="s">
        <v>162</v>
      </c>
    </row>
    <row r="416" spans="1:9" x14ac:dyDescent="0.3">
      <c r="A416" s="18">
        <v>10434</v>
      </c>
      <c r="B416" s="19" t="s">
        <v>163</v>
      </c>
      <c r="C416" s="19" t="s">
        <v>15</v>
      </c>
      <c r="D416" s="20">
        <v>41671</v>
      </c>
      <c r="E416" s="21">
        <v>2014</v>
      </c>
      <c r="F416" s="22">
        <v>2</v>
      </c>
      <c r="G416" s="19" t="s">
        <v>28</v>
      </c>
      <c r="H416" s="23">
        <v>18000</v>
      </c>
      <c r="I416" s="24" t="s">
        <v>164</v>
      </c>
    </row>
    <row r="417" spans="1:9" x14ac:dyDescent="0.3">
      <c r="A417" s="18">
        <v>10435</v>
      </c>
      <c r="B417" s="19" t="s">
        <v>186</v>
      </c>
      <c r="C417" s="19" t="s">
        <v>11</v>
      </c>
      <c r="D417" s="20">
        <v>41672</v>
      </c>
      <c r="E417" s="21">
        <v>2014</v>
      </c>
      <c r="F417" s="22">
        <v>2</v>
      </c>
      <c r="G417" s="19" t="s">
        <v>28</v>
      </c>
      <c r="H417" s="23">
        <v>9000</v>
      </c>
      <c r="I417" s="24" t="s">
        <v>187</v>
      </c>
    </row>
    <row r="418" spans="1:9" x14ac:dyDescent="0.3">
      <c r="A418" s="18">
        <v>10436</v>
      </c>
      <c r="B418" s="19" t="s">
        <v>111</v>
      </c>
      <c r="C418" s="19" t="s">
        <v>15</v>
      </c>
      <c r="D418" s="20">
        <v>41673</v>
      </c>
      <c r="E418" s="21">
        <v>2014</v>
      </c>
      <c r="F418" s="22">
        <v>2</v>
      </c>
      <c r="G418" s="19" t="s">
        <v>28</v>
      </c>
      <c r="H418" s="23">
        <v>157000</v>
      </c>
      <c r="I418" s="24" t="s">
        <v>112</v>
      </c>
    </row>
    <row r="419" spans="1:9" x14ac:dyDescent="0.3">
      <c r="A419" s="18">
        <v>10438</v>
      </c>
      <c r="B419" s="19" t="s">
        <v>184</v>
      </c>
      <c r="C419" s="19" t="s">
        <v>15</v>
      </c>
      <c r="D419" s="20">
        <v>41674</v>
      </c>
      <c r="E419" s="21">
        <v>2014</v>
      </c>
      <c r="F419" s="22">
        <v>2</v>
      </c>
      <c r="G419" s="19" t="s">
        <v>28</v>
      </c>
      <c r="H419" s="23">
        <v>8000</v>
      </c>
      <c r="I419" s="24" t="s">
        <v>185</v>
      </c>
    </row>
    <row r="420" spans="1:9" x14ac:dyDescent="0.3">
      <c r="A420" s="18">
        <v>10440</v>
      </c>
      <c r="B420" s="19" t="s">
        <v>83</v>
      </c>
      <c r="C420" s="19" t="s">
        <v>16</v>
      </c>
      <c r="D420" s="20">
        <v>41678</v>
      </c>
      <c r="E420" s="21">
        <v>2014</v>
      </c>
      <c r="F420" s="22">
        <v>2</v>
      </c>
      <c r="G420" s="19" t="s">
        <v>28</v>
      </c>
      <c r="H420" s="23">
        <v>87000</v>
      </c>
      <c r="I420" s="24" t="s">
        <v>84</v>
      </c>
    </row>
    <row r="421" spans="1:9" x14ac:dyDescent="0.3">
      <c r="A421" s="18">
        <v>10441</v>
      </c>
      <c r="B421" s="19" t="s">
        <v>125</v>
      </c>
      <c r="C421" s="19" t="s">
        <v>15</v>
      </c>
      <c r="D421" s="20">
        <v>41678</v>
      </c>
      <c r="E421" s="21">
        <v>2014</v>
      </c>
      <c r="F421" s="22">
        <v>2</v>
      </c>
      <c r="G421" s="19" t="s">
        <v>28</v>
      </c>
      <c r="H421" s="23">
        <v>73000</v>
      </c>
      <c r="I421" s="24" t="s">
        <v>126</v>
      </c>
    </row>
    <row r="422" spans="1:9" x14ac:dyDescent="0.3">
      <c r="A422" s="18">
        <v>10442</v>
      </c>
      <c r="B422" s="19" t="s">
        <v>38</v>
      </c>
      <c r="C422" s="19" t="s">
        <v>15</v>
      </c>
      <c r="D422" s="20">
        <v>41679</v>
      </c>
      <c r="E422" s="21">
        <v>2014</v>
      </c>
      <c r="F422" s="22">
        <v>2</v>
      </c>
      <c r="G422" s="19" t="s">
        <v>28</v>
      </c>
      <c r="H422" s="23">
        <v>48000</v>
      </c>
      <c r="I422" s="24" t="s">
        <v>40</v>
      </c>
    </row>
    <row r="423" spans="1:9" x14ac:dyDescent="0.3">
      <c r="A423" s="18">
        <v>10447</v>
      </c>
      <c r="B423" s="19" t="s">
        <v>109</v>
      </c>
      <c r="C423" s="19" t="s">
        <v>16</v>
      </c>
      <c r="D423" s="20">
        <v>41682</v>
      </c>
      <c r="E423" s="21">
        <v>2014</v>
      </c>
      <c r="F423" s="22">
        <v>2</v>
      </c>
      <c r="G423" s="19" t="s">
        <v>28</v>
      </c>
      <c r="H423" s="23">
        <v>69000</v>
      </c>
      <c r="I423" s="24" t="s">
        <v>110</v>
      </c>
    </row>
    <row r="424" spans="1:9" x14ac:dyDescent="0.3">
      <c r="A424" s="18">
        <v>10448</v>
      </c>
      <c r="B424" s="19" t="s">
        <v>171</v>
      </c>
      <c r="C424" s="19" t="s">
        <v>16</v>
      </c>
      <c r="D424" s="20">
        <v>41685</v>
      </c>
      <c r="E424" s="21">
        <v>2014</v>
      </c>
      <c r="F424" s="22">
        <v>2</v>
      </c>
      <c r="G424" s="19" t="s">
        <v>28</v>
      </c>
      <c r="H424" s="23">
        <v>38000</v>
      </c>
      <c r="I424" s="24" t="s">
        <v>172</v>
      </c>
    </row>
    <row r="425" spans="1:9" x14ac:dyDescent="0.3">
      <c r="A425" s="18">
        <v>10449</v>
      </c>
      <c r="B425" s="19" t="s">
        <v>111</v>
      </c>
      <c r="C425" s="19" t="s">
        <v>15</v>
      </c>
      <c r="D425" s="20">
        <v>41686</v>
      </c>
      <c r="E425" s="21">
        <v>2014</v>
      </c>
      <c r="F425" s="22">
        <v>2</v>
      </c>
      <c r="G425" s="19" t="s">
        <v>28</v>
      </c>
      <c r="H425" s="23">
        <v>53000</v>
      </c>
      <c r="I425" s="24" t="s">
        <v>112</v>
      </c>
    </row>
    <row r="426" spans="1:9" x14ac:dyDescent="0.3">
      <c r="A426" s="18">
        <v>10450</v>
      </c>
      <c r="B426" s="19" t="s">
        <v>69</v>
      </c>
      <c r="C426" s="19" t="s">
        <v>11</v>
      </c>
      <c r="D426" s="20">
        <v>41687</v>
      </c>
      <c r="E426" s="21">
        <v>2014</v>
      </c>
      <c r="F426" s="22">
        <v>2</v>
      </c>
      <c r="G426" s="19" t="s">
        <v>28</v>
      </c>
      <c r="H426" s="23">
        <v>7000</v>
      </c>
      <c r="I426" s="24" t="s">
        <v>70</v>
      </c>
    </row>
    <row r="427" spans="1:9" x14ac:dyDescent="0.3">
      <c r="A427" s="18">
        <v>10453</v>
      </c>
      <c r="B427" s="19" t="s">
        <v>127</v>
      </c>
      <c r="C427" s="19" t="s">
        <v>9</v>
      </c>
      <c r="D427" s="20">
        <v>41689</v>
      </c>
      <c r="E427" s="21">
        <v>2014</v>
      </c>
      <c r="F427" s="22">
        <v>2</v>
      </c>
      <c r="G427" s="19" t="s">
        <v>28</v>
      </c>
      <c r="H427" s="23">
        <v>25000</v>
      </c>
      <c r="I427" s="24" t="s">
        <v>128</v>
      </c>
    </row>
    <row r="428" spans="1:9" x14ac:dyDescent="0.3">
      <c r="A428" s="18">
        <v>10455</v>
      </c>
      <c r="B428" s="19" t="s">
        <v>30</v>
      </c>
      <c r="C428" s="19" t="s">
        <v>11</v>
      </c>
      <c r="D428" s="20">
        <v>41692</v>
      </c>
      <c r="E428" s="21">
        <v>2014</v>
      </c>
      <c r="F428" s="22">
        <v>2</v>
      </c>
      <c r="G428" s="19" t="s">
        <v>28</v>
      </c>
      <c r="H428" s="23">
        <v>180000</v>
      </c>
      <c r="I428" s="24" t="s">
        <v>31</v>
      </c>
    </row>
    <row r="429" spans="1:9" x14ac:dyDescent="0.3">
      <c r="A429" s="18">
        <v>10456</v>
      </c>
      <c r="B429" s="19" t="s">
        <v>61</v>
      </c>
      <c r="C429" s="19" t="s">
        <v>11</v>
      </c>
      <c r="D429" s="20">
        <v>41693</v>
      </c>
      <c r="E429" s="21">
        <v>2014</v>
      </c>
      <c r="F429" s="22">
        <v>2</v>
      </c>
      <c r="G429" s="19" t="s">
        <v>28</v>
      </c>
      <c r="H429" s="23">
        <v>8000</v>
      </c>
      <c r="I429" s="24" t="s">
        <v>62</v>
      </c>
    </row>
    <row r="430" spans="1:9" x14ac:dyDescent="0.3">
      <c r="A430" s="18">
        <v>10459</v>
      </c>
      <c r="B430" s="19" t="s">
        <v>69</v>
      </c>
      <c r="C430" s="19" t="s">
        <v>16</v>
      </c>
      <c r="D430" s="20">
        <v>41695</v>
      </c>
      <c r="E430" s="21">
        <v>2014</v>
      </c>
      <c r="F430" s="22">
        <v>2</v>
      </c>
      <c r="G430" s="19" t="s">
        <v>28</v>
      </c>
      <c r="H430" s="23">
        <v>25000</v>
      </c>
      <c r="I430" s="24" t="s">
        <v>70</v>
      </c>
    </row>
    <row r="431" spans="1:9" x14ac:dyDescent="0.3">
      <c r="A431" s="18">
        <v>10464</v>
      </c>
      <c r="B431" s="19" t="s">
        <v>75</v>
      </c>
      <c r="C431" s="19" t="s">
        <v>16</v>
      </c>
      <c r="D431" s="20">
        <v>41700</v>
      </c>
      <c r="E431" s="21">
        <v>2014</v>
      </c>
      <c r="F431" s="22">
        <v>3</v>
      </c>
      <c r="G431" s="19" t="s">
        <v>28</v>
      </c>
      <c r="H431" s="23">
        <v>89000</v>
      </c>
      <c r="I431" s="24" t="s">
        <v>76</v>
      </c>
    </row>
    <row r="432" spans="1:9" x14ac:dyDescent="0.3">
      <c r="A432" s="18">
        <v>10467</v>
      </c>
      <c r="B432" s="19" t="s">
        <v>115</v>
      </c>
      <c r="C432" s="19" t="s">
        <v>11</v>
      </c>
      <c r="D432" s="20">
        <v>41702</v>
      </c>
      <c r="E432" s="21">
        <v>2014</v>
      </c>
      <c r="F432" s="22">
        <v>3</v>
      </c>
      <c r="G432" s="19" t="s">
        <v>28</v>
      </c>
      <c r="H432" s="23">
        <v>5000</v>
      </c>
      <c r="I432" s="24" t="s">
        <v>116</v>
      </c>
    </row>
    <row r="433" spans="1:9" x14ac:dyDescent="0.3">
      <c r="A433" s="18">
        <v>10470</v>
      </c>
      <c r="B433" s="19" t="s">
        <v>85</v>
      </c>
      <c r="C433" s="19" t="s">
        <v>16</v>
      </c>
      <c r="D433" s="20">
        <v>41707</v>
      </c>
      <c r="E433" s="21">
        <v>2014</v>
      </c>
      <c r="F433" s="22">
        <v>3</v>
      </c>
      <c r="G433" s="19" t="s">
        <v>28</v>
      </c>
      <c r="H433" s="23">
        <v>65000</v>
      </c>
      <c r="I433" s="24" t="s">
        <v>86</v>
      </c>
    </row>
    <row r="434" spans="1:9" x14ac:dyDescent="0.3">
      <c r="A434" s="18">
        <v>10474</v>
      </c>
      <c r="B434" s="19" t="s">
        <v>165</v>
      </c>
      <c r="C434" s="19" t="s">
        <v>12</v>
      </c>
      <c r="D434" s="20">
        <v>41709</v>
      </c>
      <c r="E434" s="21">
        <v>2014</v>
      </c>
      <c r="F434" s="22">
        <v>3</v>
      </c>
      <c r="G434" s="19" t="s">
        <v>28</v>
      </c>
      <c r="H434" s="23">
        <v>83000</v>
      </c>
      <c r="I434" s="24" t="s">
        <v>166</v>
      </c>
    </row>
    <row r="435" spans="1:9" x14ac:dyDescent="0.3">
      <c r="A435" s="18">
        <v>10477</v>
      </c>
      <c r="B435" s="19" t="s">
        <v>49</v>
      </c>
      <c r="C435" s="19" t="s">
        <v>12</v>
      </c>
      <c r="D435" s="20">
        <v>41713</v>
      </c>
      <c r="E435" s="21">
        <v>2014</v>
      </c>
      <c r="F435" s="22">
        <v>3</v>
      </c>
      <c r="G435" s="19" t="s">
        <v>28</v>
      </c>
      <c r="H435" s="23">
        <v>13000</v>
      </c>
      <c r="I435" s="24" t="s">
        <v>50</v>
      </c>
    </row>
    <row r="436" spans="1:9" x14ac:dyDescent="0.3">
      <c r="A436" s="18">
        <v>10481</v>
      </c>
      <c r="B436" s="19" t="s">
        <v>109</v>
      </c>
      <c r="C436" s="19" t="s">
        <v>11</v>
      </c>
      <c r="D436" s="20">
        <v>41716</v>
      </c>
      <c r="E436" s="21">
        <v>2014</v>
      </c>
      <c r="F436" s="22">
        <v>3</v>
      </c>
      <c r="G436" s="19" t="s">
        <v>28</v>
      </c>
      <c r="H436" s="23">
        <v>64000</v>
      </c>
      <c r="I436" s="24" t="s">
        <v>110</v>
      </c>
    </row>
    <row r="437" spans="1:9" x14ac:dyDescent="0.3">
      <c r="A437" s="18">
        <v>10480</v>
      </c>
      <c r="B437" s="19" t="s">
        <v>113</v>
      </c>
      <c r="C437" s="19" t="s">
        <v>10</v>
      </c>
      <c r="D437" s="20">
        <v>41716</v>
      </c>
      <c r="E437" s="21">
        <v>2014</v>
      </c>
      <c r="F437" s="22">
        <v>3</v>
      </c>
      <c r="G437" s="19" t="s">
        <v>28</v>
      </c>
      <c r="H437" s="23">
        <v>1000</v>
      </c>
      <c r="I437" s="24" t="s">
        <v>114</v>
      </c>
    </row>
    <row r="438" spans="1:9" x14ac:dyDescent="0.3">
      <c r="A438" s="18">
        <v>10483</v>
      </c>
      <c r="B438" s="19" t="s">
        <v>81</v>
      </c>
      <c r="C438" s="19" t="s">
        <v>13</v>
      </c>
      <c r="D438" s="20">
        <v>41720</v>
      </c>
      <c r="E438" s="21">
        <v>2014</v>
      </c>
      <c r="F438" s="22">
        <v>3</v>
      </c>
      <c r="G438" s="19" t="s">
        <v>28</v>
      </c>
      <c r="H438" s="23">
        <v>15000</v>
      </c>
      <c r="I438" s="24" t="s">
        <v>82</v>
      </c>
    </row>
    <row r="439" spans="1:9" x14ac:dyDescent="0.3">
      <c r="A439" s="18">
        <v>10485</v>
      </c>
      <c r="B439" s="19" t="s">
        <v>129</v>
      </c>
      <c r="C439" s="19" t="s">
        <v>16</v>
      </c>
      <c r="D439" s="20">
        <v>41721</v>
      </c>
      <c r="E439" s="21">
        <v>2014</v>
      </c>
      <c r="F439" s="22">
        <v>3</v>
      </c>
      <c r="G439" s="19" t="s">
        <v>28</v>
      </c>
      <c r="H439" s="23">
        <v>64000</v>
      </c>
      <c r="I439" s="24" t="s">
        <v>130</v>
      </c>
    </row>
    <row r="440" spans="1:9" x14ac:dyDescent="0.3">
      <c r="A440" s="18">
        <v>10487</v>
      </c>
      <c r="B440" s="19" t="s">
        <v>176</v>
      </c>
      <c r="C440" s="19" t="s">
        <v>8</v>
      </c>
      <c r="D440" s="20">
        <v>41722</v>
      </c>
      <c r="E440" s="21">
        <v>2014</v>
      </c>
      <c r="F440" s="22">
        <v>3</v>
      </c>
      <c r="G440" s="19" t="s">
        <v>28</v>
      </c>
      <c r="H440" s="23">
        <v>71000</v>
      </c>
      <c r="I440" s="24" t="s">
        <v>177</v>
      </c>
    </row>
    <row r="441" spans="1:9" x14ac:dyDescent="0.3">
      <c r="A441" s="18">
        <v>10486</v>
      </c>
      <c r="B441" s="19" t="s">
        <v>67</v>
      </c>
      <c r="C441" s="19" t="s">
        <v>9</v>
      </c>
      <c r="D441" s="20">
        <v>41722</v>
      </c>
      <c r="E441" s="21">
        <v>2014</v>
      </c>
      <c r="F441" s="22">
        <v>3</v>
      </c>
      <c r="G441" s="19" t="s">
        <v>28</v>
      </c>
      <c r="H441" s="23">
        <v>31000</v>
      </c>
      <c r="I441" s="24" t="s">
        <v>68</v>
      </c>
    </row>
    <row r="442" spans="1:9" x14ac:dyDescent="0.3">
      <c r="A442" s="18">
        <v>10488</v>
      </c>
      <c r="B442" s="19" t="s">
        <v>169</v>
      </c>
      <c r="C442" s="19" t="s">
        <v>11</v>
      </c>
      <c r="D442" s="20">
        <v>41723</v>
      </c>
      <c r="E442" s="21">
        <v>2014</v>
      </c>
      <c r="F442" s="22">
        <v>3</v>
      </c>
      <c r="G442" s="19" t="s">
        <v>28</v>
      </c>
      <c r="H442" s="23">
        <v>5000</v>
      </c>
      <c r="I442" s="24" t="s">
        <v>170</v>
      </c>
    </row>
    <row r="443" spans="1:9" x14ac:dyDescent="0.3">
      <c r="A443" s="18">
        <v>10489</v>
      </c>
      <c r="B443" s="19" t="s">
        <v>103</v>
      </c>
      <c r="C443" s="19" t="s">
        <v>10</v>
      </c>
      <c r="D443" s="20">
        <v>41724</v>
      </c>
      <c r="E443" s="21">
        <v>2014</v>
      </c>
      <c r="F443" s="22">
        <v>3</v>
      </c>
      <c r="G443" s="19" t="s">
        <v>28</v>
      </c>
      <c r="H443" s="23">
        <v>5000</v>
      </c>
      <c r="I443" s="24" t="s">
        <v>104</v>
      </c>
    </row>
    <row r="444" spans="1:9" x14ac:dyDescent="0.3">
      <c r="A444" s="18">
        <v>10490</v>
      </c>
      <c r="B444" s="19" t="s">
        <v>67</v>
      </c>
      <c r="C444" s="19" t="s">
        <v>13</v>
      </c>
      <c r="D444" s="20">
        <v>41727</v>
      </c>
      <c r="E444" s="21">
        <v>2014</v>
      </c>
      <c r="F444" s="22">
        <v>3</v>
      </c>
      <c r="G444" s="19" t="s">
        <v>28</v>
      </c>
      <c r="H444" s="23">
        <v>210000</v>
      </c>
      <c r="I444" s="24" t="s">
        <v>68</v>
      </c>
    </row>
    <row r="445" spans="1:9" x14ac:dyDescent="0.3">
      <c r="A445" s="18">
        <v>10494</v>
      </c>
      <c r="B445" s="19" t="s">
        <v>188</v>
      </c>
      <c r="C445" s="19" t="s">
        <v>16</v>
      </c>
      <c r="D445" s="20">
        <v>41729</v>
      </c>
      <c r="E445" s="21">
        <v>2014</v>
      </c>
      <c r="F445" s="22">
        <v>3</v>
      </c>
      <c r="G445" s="19" t="s">
        <v>28</v>
      </c>
      <c r="H445" s="23">
        <v>66000</v>
      </c>
      <c r="I445" s="24" t="s">
        <v>189</v>
      </c>
    </row>
    <row r="446" spans="1:9" x14ac:dyDescent="0.3">
      <c r="A446" s="18">
        <v>10496</v>
      </c>
      <c r="B446" s="19" t="s">
        <v>105</v>
      </c>
      <c r="C446" s="19" t="s">
        <v>13</v>
      </c>
      <c r="D446" s="20">
        <v>41731</v>
      </c>
      <c r="E446" s="21">
        <v>2014</v>
      </c>
      <c r="F446" s="22">
        <v>4</v>
      </c>
      <c r="G446" s="19" t="s">
        <v>28</v>
      </c>
      <c r="H446" s="23">
        <v>47000</v>
      </c>
      <c r="I446" s="24" t="s">
        <v>106</v>
      </c>
    </row>
    <row r="447" spans="1:9" x14ac:dyDescent="0.3">
      <c r="A447" s="18">
        <v>10498</v>
      </c>
      <c r="B447" s="19" t="s">
        <v>67</v>
      </c>
      <c r="C447" s="19" t="s">
        <v>11</v>
      </c>
      <c r="D447" s="20">
        <v>41734</v>
      </c>
      <c r="E447" s="21">
        <v>2014</v>
      </c>
      <c r="F447" s="22">
        <v>4</v>
      </c>
      <c r="G447" s="19" t="s">
        <v>28</v>
      </c>
      <c r="H447" s="23">
        <v>30000</v>
      </c>
      <c r="I447" s="24" t="s">
        <v>68</v>
      </c>
    </row>
    <row r="448" spans="1:9" x14ac:dyDescent="0.3">
      <c r="A448" s="18">
        <v>10499</v>
      </c>
      <c r="B448" s="19" t="s">
        <v>57</v>
      </c>
      <c r="C448" s="19" t="s">
        <v>16</v>
      </c>
      <c r="D448" s="20">
        <v>41735</v>
      </c>
      <c r="E448" s="21">
        <v>2014</v>
      </c>
      <c r="F448" s="22">
        <v>4</v>
      </c>
      <c r="G448" s="19" t="s">
        <v>28</v>
      </c>
      <c r="H448" s="23">
        <v>102000</v>
      </c>
      <c r="I448" s="24" t="s">
        <v>58</v>
      </c>
    </row>
    <row r="449" spans="1:9" x14ac:dyDescent="0.3">
      <c r="A449" s="18">
        <v>10503</v>
      </c>
      <c r="B449" s="19" t="s">
        <v>87</v>
      </c>
      <c r="C449" s="19" t="s">
        <v>10</v>
      </c>
      <c r="D449" s="20">
        <v>41738</v>
      </c>
      <c r="E449" s="21">
        <v>2014</v>
      </c>
      <c r="F449" s="22">
        <v>4</v>
      </c>
      <c r="G449" s="19" t="s">
        <v>28</v>
      </c>
      <c r="H449" s="23">
        <v>17000</v>
      </c>
      <c r="I449" s="24" t="s">
        <v>88</v>
      </c>
    </row>
    <row r="450" spans="1:9" x14ac:dyDescent="0.3">
      <c r="A450" s="18">
        <v>10506</v>
      </c>
      <c r="B450" s="19" t="s">
        <v>61</v>
      </c>
      <c r="C450" s="19" t="s">
        <v>14</v>
      </c>
      <c r="D450" s="20">
        <v>41742</v>
      </c>
      <c r="E450" s="21">
        <v>2014</v>
      </c>
      <c r="F450" s="22">
        <v>4</v>
      </c>
      <c r="G450" s="19" t="s">
        <v>28</v>
      </c>
      <c r="H450" s="23">
        <v>21000</v>
      </c>
      <c r="I450" s="24" t="s">
        <v>62</v>
      </c>
    </row>
    <row r="451" spans="1:9" x14ac:dyDescent="0.3">
      <c r="A451" s="18">
        <v>10508</v>
      </c>
      <c r="B451" s="19" t="s">
        <v>27</v>
      </c>
      <c r="C451" s="19" t="s">
        <v>9</v>
      </c>
      <c r="D451" s="20">
        <v>41743</v>
      </c>
      <c r="E451" s="21">
        <v>2014</v>
      </c>
      <c r="F451" s="22">
        <v>4</v>
      </c>
      <c r="G451" s="19" t="s">
        <v>28</v>
      </c>
      <c r="H451" s="23">
        <v>5000</v>
      </c>
      <c r="I451" s="24" t="s">
        <v>29</v>
      </c>
    </row>
    <row r="452" spans="1:9" x14ac:dyDescent="0.3">
      <c r="A452" s="18">
        <v>10512</v>
      </c>
      <c r="B452" s="19" t="s">
        <v>43</v>
      </c>
      <c r="C452" s="19" t="s">
        <v>13</v>
      </c>
      <c r="D452" s="20">
        <v>41748</v>
      </c>
      <c r="E452" s="21">
        <v>2014</v>
      </c>
      <c r="F452" s="22">
        <v>4</v>
      </c>
      <c r="G452" s="19" t="s">
        <v>28</v>
      </c>
      <c r="H452" s="23">
        <v>4000</v>
      </c>
      <c r="I452" s="24" t="s">
        <v>44</v>
      </c>
    </row>
    <row r="453" spans="1:9" x14ac:dyDescent="0.3">
      <c r="A453" s="18">
        <v>10514</v>
      </c>
      <c r="B453" s="19" t="s">
        <v>38</v>
      </c>
      <c r="C453" s="19" t="s">
        <v>15</v>
      </c>
      <c r="D453" s="20">
        <v>41749</v>
      </c>
      <c r="E453" s="21">
        <v>2014</v>
      </c>
      <c r="F453" s="22">
        <v>4</v>
      </c>
      <c r="G453" s="19" t="s">
        <v>28</v>
      </c>
      <c r="H453" s="23">
        <v>790000</v>
      </c>
      <c r="I453" s="24" t="s">
        <v>40</v>
      </c>
    </row>
    <row r="454" spans="1:9" x14ac:dyDescent="0.3">
      <c r="A454" s="18">
        <v>10518</v>
      </c>
      <c r="B454" s="19" t="s">
        <v>101</v>
      </c>
      <c r="C454" s="19" t="s">
        <v>16</v>
      </c>
      <c r="D454" s="20">
        <v>41752</v>
      </c>
      <c r="E454" s="21">
        <v>2014</v>
      </c>
      <c r="F454" s="22">
        <v>4</v>
      </c>
      <c r="G454" s="19" t="s">
        <v>28</v>
      </c>
      <c r="H454" s="23">
        <v>218000</v>
      </c>
      <c r="I454" s="24" t="s">
        <v>102</v>
      </c>
    </row>
    <row r="455" spans="1:9" x14ac:dyDescent="0.3">
      <c r="A455" s="18">
        <v>10521</v>
      </c>
      <c r="B455" s="19" t="s">
        <v>137</v>
      </c>
      <c r="C455" s="19" t="s">
        <v>11</v>
      </c>
      <c r="D455" s="20">
        <v>41756</v>
      </c>
      <c r="E455" s="21">
        <v>2014</v>
      </c>
      <c r="F455" s="22">
        <v>4</v>
      </c>
      <c r="G455" s="19" t="s">
        <v>28</v>
      </c>
      <c r="H455" s="23">
        <v>17000</v>
      </c>
      <c r="I455" s="24" t="s">
        <v>138</v>
      </c>
    </row>
    <row r="456" spans="1:9" x14ac:dyDescent="0.3">
      <c r="A456" s="18">
        <v>10524</v>
      </c>
      <c r="B456" s="19" t="s">
        <v>51</v>
      </c>
      <c r="C456" s="19" t="s">
        <v>9</v>
      </c>
      <c r="D456" s="20">
        <v>41758</v>
      </c>
      <c r="E456" s="21">
        <v>2014</v>
      </c>
      <c r="F456" s="22">
        <v>4</v>
      </c>
      <c r="G456" s="19" t="s">
        <v>28</v>
      </c>
      <c r="H456" s="23">
        <v>245000</v>
      </c>
      <c r="I456" s="24" t="s">
        <v>52</v>
      </c>
    </row>
    <row r="457" spans="1:9" x14ac:dyDescent="0.3">
      <c r="A457" s="18">
        <v>10523</v>
      </c>
      <c r="B457" s="19" t="s">
        <v>143</v>
      </c>
      <c r="C457" s="19" t="s">
        <v>13</v>
      </c>
      <c r="D457" s="20">
        <v>41758</v>
      </c>
      <c r="E457" s="21">
        <v>2014</v>
      </c>
      <c r="F457" s="22">
        <v>4</v>
      </c>
      <c r="G457" s="19" t="s">
        <v>28</v>
      </c>
      <c r="H457" s="23">
        <v>78000</v>
      </c>
      <c r="I457" s="24" t="s">
        <v>144</v>
      </c>
    </row>
    <row r="458" spans="1:9" x14ac:dyDescent="0.3">
      <c r="A458" s="18">
        <v>10525</v>
      </c>
      <c r="B458" s="19" t="s">
        <v>85</v>
      </c>
      <c r="C458" s="19" t="s">
        <v>9</v>
      </c>
      <c r="D458" s="20">
        <v>41759</v>
      </c>
      <c r="E458" s="21">
        <v>2014</v>
      </c>
      <c r="F458" s="22">
        <v>4</v>
      </c>
      <c r="G458" s="19" t="s">
        <v>28</v>
      </c>
      <c r="H458" s="23">
        <v>11000</v>
      </c>
      <c r="I458" s="24" t="s">
        <v>86</v>
      </c>
    </row>
    <row r="459" spans="1:9" x14ac:dyDescent="0.3">
      <c r="A459" s="18">
        <v>10526</v>
      </c>
      <c r="B459" s="19" t="s">
        <v>30</v>
      </c>
      <c r="C459" s="19" t="s">
        <v>16</v>
      </c>
      <c r="D459" s="20">
        <v>41762</v>
      </c>
      <c r="E459" s="21">
        <v>2014</v>
      </c>
      <c r="F459" s="22">
        <v>5</v>
      </c>
      <c r="G459" s="19" t="s">
        <v>28</v>
      </c>
      <c r="H459" s="23">
        <v>59000</v>
      </c>
      <c r="I459" s="24" t="s">
        <v>31</v>
      </c>
    </row>
    <row r="460" spans="1:9" x14ac:dyDescent="0.3">
      <c r="A460" s="18">
        <v>10528</v>
      </c>
      <c r="B460" s="19" t="s">
        <v>121</v>
      </c>
      <c r="C460" s="19" t="s">
        <v>10</v>
      </c>
      <c r="D460" s="20">
        <v>41763</v>
      </c>
      <c r="E460" s="21">
        <v>2014</v>
      </c>
      <c r="F460" s="22">
        <v>5</v>
      </c>
      <c r="G460" s="19" t="s">
        <v>28</v>
      </c>
      <c r="H460" s="23">
        <v>3000</v>
      </c>
      <c r="I460" s="24" t="s">
        <v>122</v>
      </c>
    </row>
    <row r="461" spans="1:9" x14ac:dyDescent="0.3">
      <c r="A461" s="18">
        <v>10529</v>
      </c>
      <c r="B461" s="19" t="s">
        <v>119</v>
      </c>
      <c r="C461" s="19" t="s">
        <v>12</v>
      </c>
      <c r="D461" s="20">
        <v>41764</v>
      </c>
      <c r="E461" s="21">
        <v>2014</v>
      </c>
      <c r="F461" s="22">
        <v>5</v>
      </c>
      <c r="G461" s="19" t="s">
        <v>28</v>
      </c>
      <c r="H461" s="23">
        <v>67000</v>
      </c>
      <c r="I461" s="24" t="s">
        <v>120</v>
      </c>
    </row>
    <row r="462" spans="1:9" x14ac:dyDescent="0.3">
      <c r="A462" s="18">
        <v>10530</v>
      </c>
      <c r="B462" s="19" t="s">
        <v>103</v>
      </c>
      <c r="C462" s="19" t="s">
        <v>15</v>
      </c>
      <c r="D462" s="20">
        <v>41765</v>
      </c>
      <c r="E462" s="21">
        <v>2014</v>
      </c>
      <c r="F462" s="22">
        <v>5</v>
      </c>
      <c r="G462" s="19" t="s">
        <v>28</v>
      </c>
      <c r="H462" s="23">
        <v>339000</v>
      </c>
      <c r="I462" s="24" t="s">
        <v>104</v>
      </c>
    </row>
    <row r="463" spans="1:9" x14ac:dyDescent="0.3">
      <c r="A463" s="18">
        <v>10534</v>
      </c>
      <c r="B463" s="19" t="s">
        <v>157</v>
      </c>
      <c r="C463" s="19" t="s">
        <v>11</v>
      </c>
      <c r="D463" s="20">
        <v>41769</v>
      </c>
      <c r="E463" s="21">
        <v>2014</v>
      </c>
      <c r="F463" s="22">
        <v>5</v>
      </c>
      <c r="G463" s="19" t="s">
        <v>28</v>
      </c>
      <c r="H463" s="23">
        <v>28000</v>
      </c>
      <c r="I463" s="24" t="s">
        <v>158</v>
      </c>
    </row>
    <row r="464" spans="1:9" x14ac:dyDescent="0.3">
      <c r="A464" s="18">
        <v>10536</v>
      </c>
      <c r="B464" s="19" t="s">
        <v>157</v>
      </c>
      <c r="C464" s="19" t="s">
        <v>15</v>
      </c>
      <c r="D464" s="20">
        <v>41771</v>
      </c>
      <c r="E464" s="21">
        <v>2014</v>
      </c>
      <c r="F464" s="22">
        <v>5</v>
      </c>
      <c r="G464" s="19" t="s">
        <v>28</v>
      </c>
      <c r="H464" s="23">
        <v>59000</v>
      </c>
      <c r="I464" s="24" t="s">
        <v>158</v>
      </c>
    </row>
    <row r="465" spans="1:9" x14ac:dyDescent="0.3">
      <c r="A465" s="18">
        <v>10543</v>
      </c>
      <c r="B465" s="19" t="s">
        <v>57</v>
      </c>
      <c r="C465" s="19" t="s">
        <v>11</v>
      </c>
      <c r="D465" s="20">
        <v>41778</v>
      </c>
      <c r="E465" s="21">
        <v>2014</v>
      </c>
      <c r="F465" s="22">
        <v>5</v>
      </c>
      <c r="G465" s="19" t="s">
        <v>28</v>
      </c>
      <c r="H465" s="23">
        <v>48000</v>
      </c>
      <c r="I465" s="24" t="s">
        <v>58</v>
      </c>
    </row>
    <row r="466" spans="1:9" x14ac:dyDescent="0.3">
      <c r="A466" s="18">
        <v>10545</v>
      </c>
      <c r="B466" s="19" t="s">
        <v>73</v>
      </c>
      <c r="C466" s="19" t="s">
        <v>11</v>
      </c>
      <c r="D466" s="20">
        <v>41779</v>
      </c>
      <c r="E466" s="21">
        <v>2014</v>
      </c>
      <c r="F466" s="22">
        <v>5</v>
      </c>
      <c r="G466" s="19" t="s">
        <v>28</v>
      </c>
      <c r="H466" s="23">
        <v>12000</v>
      </c>
      <c r="I466" s="24" t="s">
        <v>74</v>
      </c>
    </row>
    <row r="467" spans="1:9" x14ac:dyDescent="0.3">
      <c r="A467" s="18">
        <v>10547</v>
      </c>
      <c r="B467" s="19" t="s">
        <v>143</v>
      </c>
      <c r="C467" s="19" t="s">
        <v>15</v>
      </c>
      <c r="D467" s="20">
        <v>41780</v>
      </c>
      <c r="E467" s="21">
        <v>2014</v>
      </c>
      <c r="F467" s="22">
        <v>5</v>
      </c>
      <c r="G467" s="19" t="s">
        <v>28</v>
      </c>
      <c r="H467" s="23">
        <v>178000</v>
      </c>
      <c r="I467" s="24" t="s">
        <v>144</v>
      </c>
    </row>
    <row r="468" spans="1:9" x14ac:dyDescent="0.3">
      <c r="A468" s="18">
        <v>10548</v>
      </c>
      <c r="B468" s="19" t="s">
        <v>184</v>
      </c>
      <c r="C468" s="19" t="s">
        <v>15</v>
      </c>
      <c r="D468" s="20">
        <v>41783</v>
      </c>
      <c r="E468" s="21">
        <v>2014</v>
      </c>
      <c r="F468" s="22">
        <v>5</v>
      </c>
      <c r="G468" s="19" t="s">
        <v>28</v>
      </c>
      <c r="H468" s="23">
        <v>1000</v>
      </c>
      <c r="I468" s="24" t="s">
        <v>185</v>
      </c>
    </row>
    <row r="469" spans="1:9" x14ac:dyDescent="0.3">
      <c r="A469" s="18">
        <v>10553</v>
      </c>
      <c r="B469" s="19" t="s">
        <v>30</v>
      </c>
      <c r="C469" s="19" t="s">
        <v>8</v>
      </c>
      <c r="D469" s="20">
        <v>41787</v>
      </c>
      <c r="E469" s="21">
        <v>2014</v>
      </c>
      <c r="F469" s="22">
        <v>5</v>
      </c>
      <c r="G469" s="19" t="s">
        <v>28</v>
      </c>
      <c r="H469" s="23">
        <v>149000</v>
      </c>
      <c r="I469" s="24" t="s">
        <v>31</v>
      </c>
    </row>
    <row r="470" spans="1:9" x14ac:dyDescent="0.3">
      <c r="A470" s="18">
        <v>10557</v>
      </c>
      <c r="B470" s="19" t="s">
        <v>157</v>
      </c>
      <c r="C470" s="19" t="s">
        <v>14</v>
      </c>
      <c r="D470" s="20">
        <v>41791</v>
      </c>
      <c r="E470" s="21">
        <v>2014</v>
      </c>
      <c r="F470" s="22">
        <v>6</v>
      </c>
      <c r="G470" s="19" t="s">
        <v>28</v>
      </c>
      <c r="H470" s="23">
        <v>97000</v>
      </c>
      <c r="I470" s="24" t="s">
        <v>158</v>
      </c>
    </row>
    <row r="471" spans="1:9" x14ac:dyDescent="0.3">
      <c r="A471" s="18">
        <v>10558</v>
      </c>
      <c r="B471" s="19" t="s">
        <v>127</v>
      </c>
      <c r="C471" s="19" t="s">
        <v>9</v>
      </c>
      <c r="D471" s="20">
        <v>41792</v>
      </c>
      <c r="E471" s="21">
        <v>2014</v>
      </c>
      <c r="F471" s="22">
        <v>6</v>
      </c>
      <c r="G471" s="19" t="s">
        <v>28</v>
      </c>
      <c r="H471" s="23">
        <v>73000</v>
      </c>
      <c r="I471" s="24" t="s">
        <v>128</v>
      </c>
    </row>
    <row r="472" spans="1:9" x14ac:dyDescent="0.3">
      <c r="A472" s="18">
        <v>10561</v>
      </c>
      <c r="B472" s="19" t="s">
        <v>163</v>
      </c>
      <c r="C472" s="19" t="s">
        <v>8</v>
      </c>
      <c r="D472" s="20">
        <v>41794</v>
      </c>
      <c r="E472" s="21">
        <v>2014</v>
      </c>
      <c r="F472" s="22">
        <v>6</v>
      </c>
      <c r="G472" s="19" t="s">
        <v>28</v>
      </c>
      <c r="H472" s="23">
        <v>242000</v>
      </c>
      <c r="I472" s="24" t="s">
        <v>164</v>
      </c>
    </row>
    <row r="473" spans="1:9" x14ac:dyDescent="0.3">
      <c r="A473" s="18">
        <v>10563</v>
      </c>
      <c r="B473" s="19" t="s">
        <v>109</v>
      </c>
      <c r="C473" s="19" t="s">
        <v>8</v>
      </c>
      <c r="D473" s="20">
        <v>41798</v>
      </c>
      <c r="E473" s="21">
        <v>2014</v>
      </c>
      <c r="F473" s="22">
        <v>6</v>
      </c>
      <c r="G473" s="19" t="s">
        <v>28</v>
      </c>
      <c r="H473" s="23">
        <v>60000</v>
      </c>
      <c r="I473" s="24" t="s">
        <v>110</v>
      </c>
    </row>
    <row r="474" spans="1:9" x14ac:dyDescent="0.3">
      <c r="A474" s="18">
        <v>10565</v>
      </c>
      <c r="B474" s="19" t="s">
        <v>36</v>
      </c>
      <c r="C474" s="19" t="s">
        <v>11</v>
      </c>
      <c r="D474" s="20">
        <v>41799</v>
      </c>
      <c r="E474" s="21">
        <v>2014</v>
      </c>
      <c r="F474" s="22">
        <v>6</v>
      </c>
      <c r="G474" s="19" t="s">
        <v>28</v>
      </c>
      <c r="H474" s="23">
        <v>7000</v>
      </c>
      <c r="I474" s="24" t="s">
        <v>37</v>
      </c>
    </row>
    <row r="475" spans="1:9" x14ac:dyDescent="0.3">
      <c r="A475" s="18">
        <v>10572</v>
      </c>
      <c r="B475" s="19" t="s">
        <v>51</v>
      </c>
      <c r="C475" s="19" t="s">
        <v>15</v>
      </c>
      <c r="D475" s="20">
        <v>41806</v>
      </c>
      <c r="E475" s="21">
        <v>2014</v>
      </c>
      <c r="F475" s="22">
        <v>6</v>
      </c>
      <c r="G475" s="19" t="s">
        <v>28</v>
      </c>
      <c r="H475" s="23">
        <v>116000</v>
      </c>
      <c r="I475" s="24" t="s">
        <v>52</v>
      </c>
    </row>
    <row r="476" spans="1:9" x14ac:dyDescent="0.3">
      <c r="A476" s="18">
        <v>10574</v>
      </c>
      <c r="B476" s="19" t="s">
        <v>147</v>
      </c>
      <c r="C476" s="19" t="s">
        <v>16</v>
      </c>
      <c r="D476" s="20">
        <v>41807</v>
      </c>
      <c r="E476" s="21">
        <v>2014</v>
      </c>
      <c r="F476" s="22">
        <v>6</v>
      </c>
      <c r="G476" s="19" t="s">
        <v>28</v>
      </c>
      <c r="H476" s="23">
        <v>38000</v>
      </c>
      <c r="I476" s="24" t="s">
        <v>148</v>
      </c>
    </row>
    <row r="477" spans="1:9" x14ac:dyDescent="0.3">
      <c r="A477" s="18">
        <v>10577</v>
      </c>
      <c r="B477" s="19" t="s">
        <v>147</v>
      </c>
      <c r="C477" s="19" t="s">
        <v>14</v>
      </c>
      <c r="D477" s="20">
        <v>41811</v>
      </c>
      <c r="E477" s="21">
        <v>2014</v>
      </c>
      <c r="F477" s="22">
        <v>6</v>
      </c>
      <c r="G477" s="19" t="s">
        <v>28</v>
      </c>
      <c r="H477" s="23">
        <v>25000</v>
      </c>
      <c r="I477" s="24" t="s">
        <v>148</v>
      </c>
    </row>
    <row r="478" spans="1:9" x14ac:dyDescent="0.3">
      <c r="A478" s="18">
        <v>10579</v>
      </c>
      <c r="B478" s="19" t="s">
        <v>204</v>
      </c>
      <c r="C478" s="19" t="s">
        <v>9</v>
      </c>
      <c r="D478" s="20">
        <v>41813</v>
      </c>
      <c r="E478" s="21">
        <v>2014</v>
      </c>
      <c r="F478" s="22">
        <v>6</v>
      </c>
      <c r="G478" s="19" t="s">
        <v>28</v>
      </c>
      <c r="H478" s="23">
        <v>14000</v>
      </c>
      <c r="I478" s="24" t="s">
        <v>205</v>
      </c>
    </row>
    <row r="479" spans="1:9" x14ac:dyDescent="0.3">
      <c r="A479" s="18">
        <v>10582</v>
      </c>
      <c r="B479" s="19" t="s">
        <v>79</v>
      </c>
      <c r="C479" s="19" t="s">
        <v>15</v>
      </c>
      <c r="D479" s="20">
        <v>41815</v>
      </c>
      <c r="E479" s="21">
        <v>2014</v>
      </c>
      <c r="F479" s="22">
        <v>6</v>
      </c>
      <c r="G479" s="19" t="s">
        <v>28</v>
      </c>
      <c r="H479" s="23">
        <v>26000</v>
      </c>
      <c r="I479" s="24" t="s">
        <v>80</v>
      </c>
    </row>
    <row r="480" spans="1:9" x14ac:dyDescent="0.3">
      <c r="A480" s="18">
        <v>10583</v>
      </c>
      <c r="B480" s="19" t="s">
        <v>30</v>
      </c>
      <c r="C480" s="19" t="s">
        <v>8</v>
      </c>
      <c r="D480" s="20">
        <v>41818</v>
      </c>
      <c r="E480" s="21">
        <v>2014</v>
      </c>
      <c r="F480" s="22">
        <v>6</v>
      </c>
      <c r="G480" s="19" t="s">
        <v>28</v>
      </c>
      <c r="H480" s="23">
        <v>7000</v>
      </c>
      <c r="I480" s="24" t="s">
        <v>31</v>
      </c>
    </row>
    <row r="481" spans="1:9" x14ac:dyDescent="0.3">
      <c r="A481" s="18">
        <v>10589</v>
      </c>
      <c r="B481" s="19" t="s">
        <v>121</v>
      </c>
      <c r="C481" s="19" t="s">
        <v>11</v>
      </c>
      <c r="D481" s="20">
        <v>41822</v>
      </c>
      <c r="E481" s="21">
        <v>2014</v>
      </c>
      <c r="F481" s="22">
        <v>7</v>
      </c>
      <c r="G481" s="19" t="s">
        <v>28</v>
      </c>
      <c r="H481" s="23">
        <v>4000</v>
      </c>
      <c r="I481" s="24" t="s">
        <v>122</v>
      </c>
    </row>
    <row r="482" spans="1:9" x14ac:dyDescent="0.3">
      <c r="A482" s="18">
        <v>10593</v>
      </c>
      <c r="B482" s="19" t="s">
        <v>157</v>
      </c>
      <c r="C482" s="19" t="s">
        <v>13</v>
      </c>
      <c r="D482" s="20">
        <v>41827</v>
      </c>
      <c r="E482" s="21">
        <v>2014</v>
      </c>
      <c r="F482" s="22">
        <v>7</v>
      </c>
      <c r="G482" s="19" t="s">
        <v>28</v>
      </c>
      <c r="H482" s="23">
        <v>174000</v>
      </c>
      <c r="I482" s="24" t="s">
        <v>158</v>
      </c>
    </row>
    <row r="483" spans="1:9" x14ac:dyDescent="0.3">
      <c r="A483" s="18">
        <v>10594</v>
      </c>
      <c r="B483" s="19" t="s">
        <v>125</v>
      </c>
      <c r="C483" s="19" t="s">
        <v>15</v>
      </c>
      <c r="D483" s="20">
        <v>41827</v>
      </c>
      <c r="E483" s="21">
        <v>2014</v>
      </c>
      <c r="F483" s="22">
        <v>7</v>
      </c>
      <c r="G483" s="19" t="s">
        <v>28</v>
      </c>
      <c r="H483" s="23">
        <v>5000</v>
      </c>
      <c r="I483" s="24" t="s">
        <v>126</v>
      </c>
    </row>
    <row r="484" spans="1:9" x14ac:dyDescent="0.3">
      <c r="A484" s="18">
        <v>10602</v>
      </c>
      <c r="B484" s="19" t="s">
        <v>59</v>
      </c>
      <c r="C484" s="19" t="s">
        <v>11</v>
      </c>
      <c r="D484" s="20">
        <v>41835</v>
      </c>
      <c r="E484" s="21">
        <v>2014</v>
      </c>
      <c r="F484" s="22">
        <v>7</v>
      </c>
      <c r="G484" s="19" t="s">
        <v>28</v>
      </c>
      <c r="H484" s="23">
        <v>3000</v>
      </c>
      <c r="I484" s="24" t="s">
        <v>60</v>
      </c>
    </row>
    <row r="485" spans="1:9" x14ac:dyDescent="0.3">
      <c r="A485" s="18">
        <v>10603</v>
      </c>
      <c r="B485" s="19" t="s">
        <v>83</v>
      </c>
      <c r="C485" s="19" t="s">
        <v>11</v>
      </c>
      <c r="D485" s="20">
        <v>41836</v>
      </c>
      <c r="E485" s="21">
        <v>2014</v>
      </c>
      <c r="F485" s="22">
        <v>7</v>
      </c>
      <c r="G485" s="19" t="s">
        <v>28</v>
      </c>
      <c r="H485" s="23">
        <v>49000</v>
      </c>
      <c r="I485" s="24" t="s">
        <v>84</v>
      </c>
    </row>
    <row r="486" spans="1:9" x14ac:dyDescent="0.3">
      <c r="A486" s="18">
        <v>10605</v>
      </c>
      <c r="B486" s="19" t="s">
        <v>36</v>
      </c>
      <c r="C486" s="19" t="s">
        <v>9</v>
      </c>
      <c r="D486" s="20">
        <v>41839</v>
      </c>
      <c r="E486" s="21">
        <v>2014</v>
      </c>
      <c r="F486" s="22">
        <v>7</v>
      </c>
      <c r="G486" s="19" t="s">
        <v>28</v>
      </c>
      <c r="H486" s="23">
        <v>379000</v>
      </c>
      <c r="I486" s="24" t="s">
        <v>37</v>
      </c>
    </row>
    <row r="487" spans="1:9" x14ac:dyDescent="0.3">
      <c r="A487" s="18">
        <v>10608</v>
      </c>
      <c r="B487" s="19" t="s">
        <v>184</v>
      </c>
      <c r="C487" s="19" t="s">
        <v>16</v>
      </c>
      <c r="D487" s="20">
        <v>41841</v>
      </c>
      <c r="E487" s="21">
        <v>2014</v>
      </c>
      <c r="F487" s="22">
        <v>7</v>
      </c>
      <c r="G487" s="19" t="s">
        <v>28</v>
      </c>
      <c r="H487" s="23">
        <v>28000</v>
      </c>
      <c r="I487" s="24" t="s">
        <v>185</v>
      </c>
    </row>
    <row r="488" spans="1:9" x14ac:dyDescent="0.3">
      <c r="A488" s="18">
        <v>10609</v>
      </c>
      <c r="B488" s="19" t="s">
        <v>194</v>
      </c>
      <c r="C488" s="19" t="s">
        <v>13</v>
      </c>
      <c r="D488" s="20">
        <v>41842</v>
      </c>
      <c r="E488" s="21">
        <v>2014</v>
      </c>
      <c r="F488" s="22">
        <v>7</v>
      </c>
      <c r="G488" s="19" t="s">
        <v>28</v>
      </c>
      <c r="H488" s="23">
        <v>2000</v>
      </c>
      <c r="I488" s="24" t="s">
        <v>195</v>
      </c>
    </row>
    <row r="489" spans="1:9" x14ac:dyDescent="0.3">
      <c r="A489" s="18">
        <v>10611</v>
      </c>
      <c r="B489" s="19" t="s">
        <v>141</v>
      </c>
      <c r="C489" s="19" t="s">
        <v>10</v>
      </c>
      <c r="D489" s="20">
        <v>41843</v>
      </c>
      <c r="E489" s="21">
        <v>2014</v>
      </c>
      <c r="F489" s="22">
        <v>7</v>
      </c>
      <c r="G489" s="19" t="s">
        <v>28</v>
      </c>
      <c r="H489" s="23">
        <v>81000</v>
      </c>
      <c r="I489" s="24" t="s">
        <v>142</v>
      </c>
    </row>
    <row r="490" spans="1:9" x14ac:dyDescent="0.3">
      <c r="A490" s="18">
        <v>10612</v>
      </c>
      <c r="B490" s="19" t="s">
        <v>83</v>
      </c>
      <c r="C490" s="19" t="s">
        <v>9</v>
      </c>
      <c r="D490" s="20">
        <v>41846</v>
      </c>
      <c r="E490" s="21">
        <v>2014</v>
      </c>
      <c r="F490" s="22">
        <v>7</v>
      </c>
      <c r="G490" s="19" t="s">
        <v>28</v>
      </c>
      <c r="H490" s="23">
        <v>544000</v>
      </c>
      <c r="I490" s="24" t="s">
        <v>84</v>
      </c>
    </row>
    <row r="491" spans="1:9" x14ac:dyDescent="0.3">
      <c r="A491" s="18">
        <v>10613</v>
      </c>
      <c r="B491" s="19" t="s">
        <v>67</v>
      </c>
      <c r="C491" s="19" t="s">
        <v>16</v>
      </c>
      <c r="D491" s="20">
        <v>41847</v>
      </c>
      <c r="E491" s="21">
        <v>2014</v>
      </c>
      <c r="F491" s="22">
        <v>7</v>
      </c>
      <c r="G491" s="19" t="s">
        <v>28</v>
      </c>
      <c r="H491" s="23">
        <v>8000</v>
      </c>
      <c r="I491" s="24" t="s">
        <v>68</v>
      </c>
    </row>
    <row r="492" spans="1:9" x14ac:dyDescent="0.3">
      <c r="A492" s="18">
        <v>10616</v>
      </c>
      <c r="B492" s="19" t="s">
        <v>121</v>
      </c>
      <c r="C492" s="19" t="s">
        <v>9</v>
      </c>
      <c r="D492" s="20">
        <v>41849</v>
      </c>
      <c r="E492" s="21">
        <v>2014</v>
      </c>
      <c r="F492" s="22">
        <v>7</v>
      </c>
      <c r="G492" s="19" t="s">
        <v>28</v>
      </c>
      <c r="H492" s="23">
        <v>117000</v>
      </c>
      <c r="I492" s="24" t="s">
        <v>122</v>
      </c>
    </row>
    <row r="493" spans="1:9" x14ac:dyDescent="0.3">
      <c r="A493" s="18">
        <v>10617</v>
      </c>
      <c r="B493" s="19" t="s">
        <v>121</v>
      </c>
      <c r="C493" s="19" t="s">
        <v>16</v>
      </c>
      <c r="D493" s="20">
        <v>41849</v>
      </c>
      <c r="E493" s="21">
        <v>2014</v>
      </c>
      <c r="F493" s="22">
        <v>7</v>
      </c>
      <c r="G493" s="19" t="s">
        <v>28</v>
      </c>
      <c r="H493" s="23">
        <v>19000</v>
      </c>
      <c r="I493" s="24" t="s">
        <v>122</v>
      </c>
    </row>
    <row r="494" spans="1:9" x14ac:dyDescent="0.3">
      <c r="A494" s="18">
        <v>10621</v>
      </c>
      <c r="B494" s="19" t="s">
        <v>65</v>
      </c>
      <c r="C494" s="19" t="s">
        <v>16</v>
      </c>
      <c r="D494" s="20">
        <v>41854</v>
      </c>
      <c r="E494" s="21">
        <v>2014</v>
      </c>
      <c r="F494" s="22">
        <v>8</v>
      </c>
      <c r="G494" s="19" t="s">
        <v>28</v>
      </c>
      <c r="H494" s="23">
        <v>24000</v>
      </c>
      <c r="I494" s="24" t="s">
        <v>66</v>
      </c>
    </row>
    <row r="495" spans="1:9" x14ac:dyDescent="0.3">
      <c r="A495" s="18">
        <v>10623</v>
      </c>
      <c r="B495" s="19" t="s">
        <v>169</v>
      </c>
      <c r="C495" s="19" t="s">
        <v>11</v>
      </c>
      <c r="D495" s="20">
        <v>41856</v>
      </c>
      <c r="E495" s="21">
        <v>2014</v>
      </c>
      <c r="F495" s="22">
        <v>8</v>
      </c>
      <c r="G495" s="19" t="s">
        <v>28</v>
      </c>
      <c r="H495" s="23">
        <v>97000</v>
      </c>
      <c r="I495" s="24" t="s">
        <v>170</v>
      </c>
    </row>
    <row r="496" spans="1:9" x14ac:dyDescent="0.3">
      <c r="A496" s="18">
        <v>10624</v>
      </c>
      <c r="B496" s="19" t="s">
        <v>167</v>
      </c>
      <c r="C496" s="19" t="s">
        <v>16</v>
      </c>
      <c r="D496" s="20">
        <v>41856</v>
      </c>
      <c r="E496" s="21">
        <v>2014</v>
      </c>
      <c r="F496" s="22">
        <v>8</v>
      </c>
      <c r="G496" s="19" t="s">
        <v>28</v>
      </c>
      <c r="H496" s="23">
        <v>95000</v>
      </c>
      <c r="I496" s="24" t="s">
        <v>168</v>
      </c>
    </row>
    <row r="497" spans="1:9" x14ac:dyDescent="0.3">
      <c r="A497" s="18">
        <v>10626</v>
      </c>
      <c r="B497" s="19" t="s">
        <v>51</v>
      </c>
      <c r="C497" s="19" t="s">
        <v>9</v>
      </c>
      <c r="D497" s="20">
        <v>41860</v>
      </c>
      <c r="E497" s="21">
        <v>2014</v>
      </c>
      <c r="F497" s="22">
        <v>8</v>
      </c>
      <c r="G497" s="19" t="s">
        <v>28</v>
      </c>
      <c r="H497" s="23">
        <v>139000</v>
      </c>
      <c r="I497" s="24" t="s">
        <v>52</v>
      </c>
    </row>
    <row r="498" spans="1:9" x14ac:dyDescent="0.3">
      <c r="A498" s="18">
        <v>10630</v>
      </c>
      <c r="B498" s="19" t="s">
        <v>61</v>
      </c>
      <c r="C498" s="19" t="s">
        <v>9</v>
      </c>
      <c r="D498" s="20">
        <v>41862</v>
      </c>
      <c r="E498" s="21">
        <v>2014</v>
      </c>
      <c r="F498" s="22">
        <v>8</v>
      </c>
      <c r="G498" s="19" t="s">
        <v>28</v>
      </c>
      <c r="H498" s="23">
        <v>32000</v>
      </c>
      <c r="I498" s="24" t="s">
        <v>62</v>
      </c>
    </row>
    <row r="499" spans="1:9" x14ac:dyDescent="0.3">
      <c r="A499" s="18">
        <v>10641</v>
      </c>
      <c r="B499" s="19" t="s">
        <v>67</v>
      </c>
      <c r="C499" s="19" t="s">
        <v>16</v>
      </c>
      <c r="D499" s="20">
        <v>41871</v>
      </c>
      <c r="E499" s="21">
        <v>2014</v>
      </c>
      <c r="F499" s="22">
        <v>8</v>
      </c>
      <c r="G499" s="19" t="s">
        <v>28</v>
      </c>
      <c r="H499" s="23">
        <v>180000</v>
      </c>
      <c r="I499" s="24" t="s">
        <v>68</v>
      </c>
    </row>
    <row r="500" spans="1:9" x14ac:dyDescent="0.3">
      <c r="A500" s="18">
        <v>10647</v>
      </c>
      <c r="B500" s="19" t="s">
        <v>180</v>
      </c>
      <c r="C500" s="19" t="s">
        <v>16</v>
      </c>
      <c r="D500" s="20">
        <v>41876</v>
      </c>
      <c r="E500" s="21">
        <v>2014</v>
      </c>
      <c r="F500" s="22">
        <v>8</v>
      </c>
      <c r="G500" s="19" t="s">
        <v>28</v>
      </c>
      <c r="H500" s="23">
        <v>46000</v>
      </c>
      <c r="I500" s="24" t="s">
        <v>181</v>
      </c>
    </row>
    <row r="501" spans="1:9" x14ac:dyDescent="0.3">
      <c r="A501" s="18">
        <v>10648</v>
      </c>
      <c r="B501" s="19" t="s">
        <v>109</v>
      </c>
      <c r="C501" s="19" t="s">
        <v>12</v>
      </c>
      <c r="D501" s="20">
        <v>41877</v>
      </c>
      <c r="E501" s="21">
        <v>2014</v>
      </c>
      <c r="F501" s="22">
        <v>8</v>
      </c>
      <c r="G501" s="19" t="s">
        <v>28</v>
      </c>
      <c r="H501" s="23">
        <v>14000</v>
      </c>
      <c r="I501" s="24" t="s">
        <v>110</v>
      </c>
    </row>
    <row r="502" spans="1:9" x14ac:dyDescent="0.3">
      <c r="A502" s="18">
        <v>10651</v>
      </c>
      <c r="B502" s="19" t="s">
        <v>190</v>
      </c>
      <c r="C502" s="19" t="s">
        <v>11</v>
      </c>
      <c r="D502" s="20">
        <v>41881</v>
      </c>
      <c r="E502" s="21">
        <v>2014</v>
      </c>
      <c r="F502" s="22">
        <v>8</v>
      </c>
      <c r="G502" s="19" t="s">
        <v>28</v>
      </c>
      <c r="H502" s="23">
        <v>21000</v>
      </c>
      <c r="I502" s="24" t="s">
        <v>191</v>
      </c>
    </row>
    <row r="503" spans="1:9" x14ac:dyDescent="0.3">
      <c r="A503" s="18">
        <v>10652</v>
      </c>
      <c r="B503" s="19" t="s">
        <v>47</v>
      </c>
      <c r="C503" s="19" t="s">
        <v>16</v>
      </c>
      <c r="D503" s="20">
        <v>41881</v>
      </c>
      <c r="E503" s="21">
        <v>2014</v>
      </c>
      <c r="F503" s="22">
        <v>8</v>
      </c>
      <c r="G503" s="19" t="s">
        <v>28</v>
      </c>
      <c r="H503" s="23">
        <v>7000</v>
      </c>
      <c r="I503" s="24" t="s">
        <v>48</v>
      </c>
    </row>
    <row r="504" spans="1:9" x14ac:dyDescent="0.3">
      <c r="A504" s="18">
        <v>10655</v>
      </c>
      <c r="B504" s="19" t="s">
        <v>159</v>
      </c>
      <c r="C504" s="19" t="s">
        <v>9</v>
      </c>
      <c r="D504" s="20">
        <v>41883</v>
      </c>
      <c r="E504" s="21">
        <v>2014</v>
      </c>
      <c r="F504" s="22">
        <v>9</v>
      </c>
      <c r="G504" s="19" t="s">
        <v>28</v>
      </c>
      <c r="H504" s="23">
        <v>4000</v>
      </c>
      <c r="I504" s="24" t="s">
        <v>160</v>
      </c>
    </row>
    <row r="505" spans="1:9" x14ac:dyDescent="0.3">
      <c r="A505" s="18">
        <v>10657</v>
      </c>
      <c r="B505" s="19" t="s">
        <v>83</v>
      </c>
      <c r="C505" s="19" t="s">
        <v>8</v>
      </c>
      <c r="D505" s="20">
        <v>41884</v>
      </c>
      <c r="E505" s="21">
        <v>2014</v>
      </c>
      <c r="F505" s="22">
        <v>9</v>
      </c>
      <c r="G505" s="19" t="s">
        <v>28</v>
      </c>
      <c r="H505" s="23">
        <v>353000</v>
      </c>
      <c r="I505" s="24" t="s">
        <v>84</v>
      </c>
    </row>
    <row r="506" spans="1:9" x14ac:dyDescent="0.3">
      <c r="A506" s="18">
        <v>10659</v>
      </c>
      <c r="B506" s="19" t="s">
        <v>176</v>
      </c>
      <c r="C506" s="19" t="s">
        <v>13</v>
      </c>
      <c r="D506" s="20">
        <v>41885</v>
      </c>
      <c r="E506" s="21">
        <v>2014</v>
      </c>
      <c r="F506" s="22">
        <v>9</v>
      </c>
      <c r="G506" s="19" t="s">
        <v>28</v>
      </c>
      <c r="H506" s="23">
        <v>106000</v>
      </c>
      <c r="I506" s="24" t="s">
        <v>177</v>
      </c>
    </row>
    <row r="507" spans="1:9" x14ac:dyDescent="0.3">
      <c r="A507" s="18">
        <v>10662</v>
      </c>
      <c r="B507" s="19" t="s">
        <v>151</v>
      </c>
      <c r="C507" s="19" t="s">
        <v>15</v>
      </c>
      <c r="D507" s="20">
        <v>41889</v>
      </c>
      <c r="E507" s="21">
        <v>2014</v>
      </c>
      <c r="F507" s="22">
        <v>9</v>
      </c>
      <c r="G507" s="19" t="s">
        <v>28</v>
      </c>
      <c r="H507" s="23">
        <v>1000</v>
      </c>
      <c r="I507" s="24" t="s">
        <v>152</v>
      </c>
    </row>
    <row r="508" spans="1:9" x14ac:dyDescent="0.3">
      <c r="A508" s="18">
        <v>10663</v>
      </c>
      <c r="B508" s="19" t="s">
        <v>85</v>
      </c>
      <c r="C508" s="19" t="s">
        <v>8</v>
      </c>
      <c r="D508" s="20">
        <v>41890</v>
      </c>
      <c r="E508" s="21">
        <v>2014</v>
      </c>
      <c r="F508" s="22">
        <v>9</v>
      </c>
      <c r="G508" s="19" t="s">
        <v>28</v>
      </c>
      <c r="H508" s="23">
        <v>113000</v>
      </c>
      <c r="I508" s="24" t="s">
        <v>86</v>
      </c>
    </row>
    <row r="509" spans="1:9" x14ac:dyDescent="0.3">
      <c r="A509" s="18">
        <v>10665</v>
      </c>
      <c r="B509" s="19" t="s">
        <v>151</v>
      </c>
      <c r="C509" s="19" t="s">
        <v>9</v>
      </c>
      <c r="D509" s="20">
        <v>41891</v>
      </c>
      <c r="E509" s="21">
        <v>2014</v>
      </c>
      <c r="F509" s="22">
        <v>9</v>
      </c>
      <c r="G509" s="19" t="s">
        <v>28</v>
      </c>
      <c r="H509" s="23">
        <v>26000</v>
      </c>
      <c r="I509" s="24" t="s">
        <v>152</v>
      </c>
    </row>
    <row r="510" spans="1:9" x14ac:dyDescent="0.3">
      <c r="A510" s="18">
        <v>10666</v>
      </c>
      <c r="B510" s="19" t="s">
        <v>34</v>
      </c>
      <c r="C510" s="19" t="s">
        <v>13</v>
      </c>
      <c r="D510" s="20">
        <v>41892</v>
      </c>
      <c r="E510" s="21">
        <v>2014</v>
      </c>
      <c r="F510" s="22">
        <v>9</v>
      </c>
      <c r="G510" s="19" t="s">
        <v>28</v>
      </c>
      <c r="H510" s="23">
        <v>232000</v>
      </c>
      <c r="I510" s="24" t="s">
        <v>35</v>
      </c>
    </row>
    <row r="511" spans="1:9" x14ac:dyDescent="0.3">
      <c r="A511" s="18">
        <v>10668</v>
      </c>
      <c r="B511" s="19" t="s">
        <v>190</v>
      </c>
      <c r="C511" s="19" t="s">
        <v>9</v>
      </c>
      <c r="D511" s="20">
        <v>41895</v>
      </c>
      <c r="E511" s="21">
        <v>2014</v>
      </c>
      <c r="F511" s="22">
        <v>9</v>
      </c>
      <c r="G511" s="19" t="s">
        <v>28</v>
      </c>
      <c r="H511" s="23">
        <v>47000</v>
      </c>
      <c r="I511" s="24" t="s">
        <v>191</v>
      </c>
    </row>
    <row r="512" spans="1:9" x14ac:dyDescent="0.3">
      <c r="A512" s="18">
        <v>10672</v>
      </c>
      <c r="B512" s="19" t="s">
        <v>51</v>
      </c>
      <c r="C512" s="19" t="s">
        <v>14</v>
      </c>
      <c r="D512" s="20">
        <v>41897</v>
      </c>
      <c r="E512" s="21">
        <v>2014</v>
      </c>
      <c r="F512" s="22">
        <v>9</v>
      </c>
      <c r="G512" s="19" t="s">
        <v>28</v>
      </c>
      <c r="H512" s="23">
        <v>96000</v>
      </c>
      <c r="I512" s="24" t="s">
        <v>52</v>
      </c>
    </row>
    <row r="513" spans="1:9" x14ac:dyDescent="0.3">
      <c r="A513" s="18">
        <v>10674</v>
      </c>
      <c r="B513" s="19" t="s">
        <v>65</v>
      </c>
      <c r="C513" s="19" t="s">
        <v>16</v>
      </c>
      <c r="D513" s="20">
        <v>41898</v>
      </c>
      <c r="E513" s="21">
        <v>2014</v>
      </c>
      <c r="F513" s="22">
        <v>9</v>
      </c>
      <c r="G513" s="19" t="s">
        <v>28</v>
      </c>
      <c r="H513" s="23">
        <v>1000</v>
      </c>
      <c r="I513" s="24" t="s">
        <v>66</v>
      </c>
    </row>
    <row r="514" spans="1:9" x14ac:dyDescent="0.3">
      <c r="A514" s="18">
        <v>10675</v>
      </c>
      <c r="B514" s="19" t="s">
        <v>169</v>
      </c>
      <c r="C514" s="19" t="s">
        <v>12</v>
      </c>
      <c r="D514" s="20">
        <v>41899</v>
      </c>
      <c r="E514" s="21">
        <v>2014</v>
      </c>
      <c r="F514" s="22">
        <v>9</v>
      </c>
      <c r="G514" s="19" t="s">
        <v>28</v>
      </c>
      <c r="H514" s="23">
        <v>32000</v>
      </c>
      <c r="I514" s="24" t="s">
        <v>170</v>
      </c>
    </row>
    <row r="515" spans="1:9" x14ac:dyDescent="0.3">
      <c r="A515" s="18">
        <v>10676</v>
      </c>
      <c r="B515" s="19" t="s">
        <v>101</v>
      </c>
      <c r="C515" s="19" t="s">
        <v>8</v>
      </c>
      <c r="D515" s="20">
        <v>41902</v>
      </c>
      <c r="E515" s="21">
        <v>2014</v>
      </c>
      <c r="F515" s="22">
        <v>9</v>
      </c>
      <c r="G515" s="19" t="s">
        <v>28</v>
      </c>
      <c r="H515" s="23">
        <v>2000</v>
      </c>
      <c r="I515" s="24" t="s">
        <v>102</v>
      </c>
    </row>
    <row r="516" spans="1:9" x14ac:dyDescent="0.3">
      <c r="A516" s="18">
        <v>10682</v>
      </c>
      <c r="B516" s="19" t="s">
        <v>99</v>
      </c>
      <c r="C516" s="19" t="s">
        <v>15</v>
      </c>
      <c r="D516" s="20">
        <v>41905</v>
      </c>
      <c r="E516" s="21">
        <v>2014</v>
      </c>
      <c r="F516" s="22">
        <v>9</v>
      </c>
      <c r="G516" s="19" t="s">
        <v>28</v>
      </c>
      <c r="H516" s="23">
        <v>36000</v>
      </c>
      <c r="I516" s="24" t="s">
        <v>100</v>
      </c>
    </row>
    <row r="517" spans="1:9" x14ac:dyDescent="0.3">
      <c r="A517" s="18">
        <v>10685</v>
      </c>
      <c r="B517" s="19" t="s">
        <v>47</v>
      </c>
      <c r="C517" s="19" t="s">
        <v>16</v>
      </c>
      <c r="D517" s="20">
        <v>41909</v>
      </c>
      <c r="E517" s="21">
        <v>2014</v>
      </c>
      <c r="F517" s="22">
        <v>9</v>
      </c>
      <c r="G517" s="19" t="s">
        <v>28</v>
      </c>
      <c r="H517" s="23">
        <v>34000</v>
      </c>
      <c r="I517" s="24" t="s">
        <v>48</v>
      </c>
    </row>
    <row r="518" spans="1:9" x14ac:dyDescent="0.3">
      <c r="A518" s="18">
        <v>10687</v>
      </c>
      <c r="B518" s="19" t="s">
        <v>87</v>
      </c>
      <c r="C518" s="19" t="s">
        <v>14</v>
      </c>
      <c r="D518" s="20">
        <v>41910</v>
      </c>
      <c r="E518" s="21">
        <v>2014</v>
      </c>
      <c r="F518" s="22">
        <v>9</v>
      </c>
      <c r="G518" s="19" t="s">
        <v>28</v>
      </c>
      <c r="H518" s="23">
        <v>296000</v>
      </c>
      <c r="I518" s="24" t="s">
        <v>88</v>
      </c>
    </row>
    <row r="519" spans="1:9" x14ac:dyDescent="0.3">
      <c r="A519" s="18">
        <v>10688</v>
      </c>
      <c r="B519" s="19" t="s">
        <v>59</v>
      </c>
      <c r="C519" s="19" t="s">
        <v>16</v>
      </c>
      <c r="D519" s="20">
        <v>41911</v>
      </c>
      <c r="E519" s="21">
        <v>2014</v>
      </c>
      <c r="F519" s="22">
        <v>9</v>
      </c>
      <c r="G519" s="19" t="s">
        <v>28</v>
      </c>
      <c r="H519" s="23">
        <v>299000</v>
      </c>
      <c r="I519" s="24" t="s">
        <v>60</v>
      </c>
    </row>
    <row r="520" spans="1:9" x14ac:dyDescent="0.3">
      <c r="A520" s="18">
        <v>10689</v>
      </c>
      <c r="B520" s="19" t="s">
        <v>51</v>
      </c>
      <c r="C520" s="19" t="s">
        <v>9</v>
      </c>
      <c r="D520" s="20">
        <v>41911</v>
      </c>
      <c r="E520" s="21">
        <v>2014</v>
      </c>
      <c r="F520" s="22">
        <v>9</v>
      </c>
      <c r="G520" s="19" t="s">
        <v>28</v>
      </c>
      <c r="H520" s="23">
        <v>13000</v>
      </c>
      <c r="I520" s="24" t="s">
        <v>52</v>
      </c>
    </row>
    <row r="521" spans="1:9" x14ac:dyDescent="0.3">
      <c r="A521" s="18">
        <v>10691</v>
      </c>
      <c r="B521" s="19" t="s">
        <v>53</v>
      </c>
      <c r="C521" s="19" t="s">
        <v>8</v>
      </c>
      <c r="D521" s="20">
        <v>41913</v>
      </c>
      <c r="E521" s="21">
        <v>2014</v>
      </c>
      <c r="F521" s="22">
        <v>10</v>
      </c>
      <c r="G521" s="19" t="s">
        <v>28</v>
      </c>
      <c r="H521" s="23">
        <v>810000</v>
      </c>
      <c r="I521" s="24" t="s">
        <v>54</v>
      </c>
    </row>
    <row r="522" spans="1:9" x14ac:dyDescent="0.3">
      <c r="A522" s="18">
        <v>10692</v>
      </c>
      <c r="B522" s="19" t="s">
        <v>123</v>
      </c>
      <c r="C522" s="19" t="s">
        <v>16</v>
      </c>
      <c r="D522" s="20">
        <v>41913</v>
      </c>
      <c r="E522" s="21">
        <v>2014</v>
      </c>
      <c r="F522" s="22">
        <v>10</v>
      </c>
      <c r="G522" s="19" t="s">
        <v>28</v>
      </c>
      <c r="H522" s="23">
        <v>61000</v>
      </c>
      <c r="I522" s="24" t="s">
        <v>124</v>
      </c>
    </row>
    <row r="523" spans="1:9" x14ac:dyDescent="0.3">
      <c r="A523" s="18">
        <v>10703</v>
      </c>
      <c r="B523" s="19" t="s">
        <v>163</v>
      </c>
      <c r="C523" s="19" t="s">
        <v>10</v>
      </c>
      <c r="D523" s="20">
        <v>41924</v>
      </c>
      <c r="E523" s="21">
        <v>2014</v>
      </c>
      <c r="F523" s="22">
        <v>10</v>
      </c>
      <c r="G523" s="19" t="s">
        <v>28</v>
      </c>
      <c r="H523" s="23">
        <v>152000</v>
      </c>
      <c r="I523" s="24" t="s">
        <v>164</v>
      </c>
    </row>
    <row r="524" spans="1:9" x14ac:dyDescent="0.3">
      <c r="A524" s="18">
        <v>10705</v>
      </c>
      <c r="B524" s="19" t="s">
        <v>67</v>
      </c>
      <c r="C524" s="19" t="s">
        <v>14</v>
      </c>
      <c r="D524" s="20">
        <v>41925</v>
      </c>
      <c r="E524" s="21">
        <v>2014</v>
      </c>
      <c r="F524" s="22">
        <v>10</v>
      </c>
      <c r="G524" s="19" t="s">
        <v>28</v>
      </c>
      <c r="H524" s="23">
        <v>4000</v>
      </c>
      <c r="I524" s="24" t="s">
        <v>68</v>
      </c>
    </row>
    <row r="525" spans="1:9" x14ac:dyDescent="0.3">
      <c r="A525" s="18">
        <v>10708</v>
      </c>
      <c r="B525" s="19" t="s">
        <v>145</v>
      </c>
      <c r="C525" s="19" t="s">
        <v>10</v>
      </c>
      <c r="D525" s="20">
        <v>41927</v>
      </c>
      <c r="E525" s="21">
        <v>2014</v>
      </c>
      <c r="F525" s="22">
        <v>10</v>
      </c>
      <c r="G525" s="19" t="s">
        <v>28</v>
      </c>
      <c r="H525" s="23">
        <v>3000</v>
      </c>
      <c r="I525" s="24" t="s">
        <v>146</v>
      </c>
    </row>
    <row r="526" spans="1:9" x14ac:dyDescent="0.3">
      <c r="A526" s="18">
        <v>10711</v>
      </c>
      <c r="B526" s="19" t="s">
        <v>83</v>
      </c>
      <c r="C526" s="19" t="s">
        <v>12</v>
      </c>
      <c r="D526" s="20">
        <v>41931</v>
      </c>
      <c r="E526" s="21">
        <v>2014</v>
      </c>
      <c r="F526" s="22">
        <v>10</v>
      </c>
      <c r="G526" s="19" t="s">
        <v>28</v>
      </c>
      <c r="H526" s="23">
        <v>52000</v>
      </c>
      <c r="I526" s="24" t="s">
        <v>84</v>
      </c>
    </row>
    <row r="527" spans="1:9" x14ac:dyDescent="0.3">
      <c r="A527" s="18">
        <v>10717</v>
      </c>
      <c r="B527" s="19" t="s">
        <v>169</v>
      </c>
      <c r="C527" s="19" t="s">
        <v>9</v>
      </c>
      <c r="D527" s="20">
        <v>41934</v>
      </c>
      <c r="E527" s="21">
        <v>2014</v>
      </c>
      <c r="F527" s="22">
        <v>10</v>
      </c>
      <c r="G527" s="19" t="s">
        <v>28</v>
      </c>
      <c r="H527" s="23">
        <v>59000</v>
      </c>
      <c r="I527" s="24" t="s">
        <v>170</v>
      </c>
    </row>
    <row r="528" spans="1:9" x14ac:dyDescent="0.3">
      <c r="A528" s="18">
        <v>10716</v>
      </c>
      <c r="B528" s="19" t="s">
        <v>171</v>
      </c>
      <c r="C528" s="19" t="s">
        <v>16</v>
      </c>
      <c r="D528" s="20">
        <v>41934</v>
      </c>
      <c r="E528" s="21">
        <v>2014</v>
      </c>
      <c r="F528" s="22">
        <v>10</v>
      </c>
      <c r="G528" s="19" t="s">
        <v>28</v>
      </c>
      <c r="H528" s="23">
        <v>23000</v>
      </c>
      <c r="I528" s="24" t="s">
        <v>172</v>
      </c>
    </row>
    <row r="529" spans="1:9" x14ac:dyDescent="0.3">
      <c r="A529" s="18">
        <v>10719</v>
      </c>
      <c r="B529" s="19" t="s">
        <v>204</v>
      </c>
      <c r="C529" s="19" t="s">
        <v>11</v>
      </c>
      <c r="D529" s="20">
        <v>41937</v>
      </c>
      <c r="E529" s="21">
        <v>2014</v>
      </c>
      <c r="F529" s="22">
        <v>10</v>
      </c>
      <c r="G529" s="19" t="s">
        <v>28</v>
      </c>
      <c r="H529" s="23">
        <v>51000</v>
      </c>
      <c r="I529" s="24" t="s">
        <v>205</v>
      </c>
    </row>
    <row r="530" spans="1:9" x14ac:dyDescent="0.3">
      <c r="A530" s="18">
        <v>10720</v>
      </c>
      <c r="B530" s="19" t="s">
        <v>180</v>
      </c>
      <c r="C530" s="19" t="s">
        <v>11</v>
      </c>
      <c r="D530" s="20">
        <v>41938</v>
      </c>
      <c r="E530" s="21">
        <v>2014</v>
      </c>
      <c r="F530" s="22">
        <v>10</v>
      </c>
      <c r="G530" s="19" t="s">
        <v>28</v>
      </c>
      <c r="H530" s="23">
        <v>10000</v>
      </c>
      <c r="I530" s="24" t="s">
        <v>181</v>
      </c>
    </row>
    <row r="531" spans="1:9" x14ac:dyDescent="0.3">
      <c r="A531" s="18">
        <v>10724</v>
      </c>
      <c r="B531" s="19" t="s">
        <v>36</v>
      </c>
      <c r="C531" s="19" t="s">
        <v>11</v>
      </c>
      <c r="D531" s="20">
        <v>41940</v>
      </c>
      <c r="E531" s="21">
        <v>2014</v>
      </c>
      <c r="F531" s="22">
        <v>10</v>
      </c>
      <c r="G531" s="19" t="s">
        <v>28</v>
      </c>
      <c r="H531" s="23">
        <v>58000</v>
      </c>
      <c r="I531" s="24" t="s">
        <v>37</v>
      </c>
    </row>
    <row r="532" spans="1:9" x14ac:dyDescent="0.3">
      <c r="A532" s="18">
        <v>10728</v>
      </c>
      <c r="B532" s="19" t="s">
        <v>176</v>
      </c>
      <c r="C532" s="19" t="s">
        <v>16</v>
      </c>
      <c r="D532" s="20">
        <v>41945</v>
      </c>
      <c r="E532" s="21">
        <v>2014</v>
      </c>
      <c r="F532" s="22">
        <v>11</v>
      </c>
      <c r="G532" s="19" t="s">
        <v>28</v>
      </c>
      <c r="H532" s="23">
        <v>58000</v>
      </c>
      <c r="I532" s="24" t="s">
        <v>177</v>
      </c>
    </row>
    <row r="533" spans="1:9" x14ac:dyDescent="0.3">
      <c r="A533" s="18">
        <v>10735</v>
      </c>
      <c r="B533" s="19" t="s">
        <v>204</v>
      </c>
      <c r="C533" s="19" t="s">
        <v>10</v>
      </c>
      <c r="D533" s="20">
        <v>41951</v>
      </c>
      <c r="E533" s="21">
        <v>2014</v>
      </c>
      <c r="F533" s="22">
        <v>11</v>
      </c>
      <c r="G533" s="19" t="s">
        <v>28</v>
      </c>
      <c r="H533" s="23">
        <v>46000</v>
      </c>
      <c r="I533" s="24" t="s">
        <v>205</v>
      </c>
    </row>
    <row r="534" spans="1:9" x14ac:dyDescent="0.3">
      <c r="A534" s="18">
        <v>10736</v>
      </c>
      <c r="B534" s="19" t="s">
        <v>87</v>
      </c>
      <c r="C534" s="19" t="s">
        <v>14</v>
      </c>
      <c r="D534" s="20">
        <v>41952</v>
      </c>
      <c r="E534" s="21">
        <v>2014</v>
      </c>
      <c r="F534" s="22">
        <v>11</v>
      </c>
      <c r="G534" s="19" t="s">
        <v>28</v>
      </c>
      <c r="H534" s="23">
        <v>44000</v>
      </c>
      <c r="I534" s="24" t="s">
        <v>88</v>
      </c>
    </row>
    <row r="535" spans="1:9" x14ac:dyDescent="0.3">
      <c r="A535" s="18">
        <v>10737</v>
      </c>
      <c r="B535" s="19" t="s">
        <v>131</v>
      </c>
      <c r="C535" s="19" t="s">
        <v>8</v>
      </c>
      <c r="D535" s="20">
        <v>41952</v>
      </c>
      <c r="E535" s="21">
        <v>2014</v>
      </c>
      <c r="F535" s="22">
        <v>11</v>
      </c>
      <c r="G535" s="19" t="s">
        <v>28</v>
      </c>
      <c r="H535" s="23">
        <v>8000</v>
      </c>
      <c r="I535" s="24" t="s">
        <v>132</v>
      </c>
    </row>
    <row r="536" spans="1:9" x14ac:dyDescent="0.3">
      <c r="A536" s="18">
        <v>10740</v>
      </c>
      <c r="B536" s="19" t="s">
        <v>81</v>
      </c>
      <c r="C536" s="19" t="s">
        <v>16</v>
      </c>
      <c r="D536" s="20">
        <v>41954</v>
      </c>
      <c r="E536" s="21">
        <v>2014</v>
      </c>
      <c r="F536" s="22">
        <v>11</v>
      </c>
      <c r="G536" s="19" t="s">
        <v>28</v>
      </c>
      <c r="H536" s="23">
        <v>82000</v>
      </c>
      <c r="I536" s="24" t="s">
        <v>82</v>
      </c>
    </row>
    <row r="537" spans="1:9" x14ac:dyDescent="0.3">
      <c r="A537" s="18">
        <v>10743</v>
      </c>
      <c r="B537" s="19" t="s">
        <v>127</v>
      </c>
      <c r="C537" s="19" t="s">
        <v>9</v>
      </c>
      <c r="D537" s="20">
        <v>41958</v>
      </c>
      <c r="E537" s="21">
        <v>2014</v>
      </c>
      <c r="F537" s="22">
        <v>11</v>
      </c>
      <c r="G537" s="19" t="s">
        <v>28</v>
      </c>
      <c r="H537" s="23">
        <v>24000</v>
      </c>
      <c r="I537" s="24" t="s">
        <v>128</v>
      </c>
    </row>
    <row r="538" spans="1:9" x14ac:dyDescent="0.3">
      <c r="A538" s="18">
        <v>10749</v>
      </c>
      <c r="B538" s="19" t="s">
        <v>65</v>
      </c>
      <c r="C538" s="19" t="s">
        <v>16</v>
      </c>
      <c r="D538" s="20">
        <v>41961</v>
      </c>
      <c r="E538" s="21">
        <v>2014</v>
      </c>
      <c r="F538" s="22">
        <v>11</v>
      </c>
      <c r="G538" s="19" t="s">
        <v>28</v>
      </c>
      <c r="H538" s="23">
        <v>62000</v>
      </c>
      <c r="I538" s="24" t="s">
        <v>66</v>
      </c>
    </row>
    <row r="539" spans="1:9" x14ac:dyDescent="0.3">
      <c r="A539" s="18">
        <v>10755</v>
      </c>
      <c r="B539" s="19" t="s">
        <v>85</v>
      </c>
      <c r="C539" s="19" t="s">
        <v>16</v>
      </c>
      <c r="D539" s="20">
        <v>41967</v>
      </c>
      <c r="E539" s="21">
        <v>2014</v>
      </c>
      <c r="F539" s="22">
        <v>11</v>
      </c>
      <c r="G539" s="19" t="s">
        <v>28</v>
      </c>
      <c r="H539" s="23">
        <v>17000</v>
      </c>
      <c r="I539" s="24" t="s">
        <v>86</v>
      </c>
    </row>
    <row r="540" spans="1:9" x14ac:dyDescent="0.3">
      <c r="A540" s="18">
        <v>10756</v>
      </c>
      <c r="B540" s="19" t="s">
        <v>161</v>
      </c>
      <c r="C540" s="19" t="s">
        <v>11</v>
      </c>
      <c r="D540" s="20">
        <v>41968</v>
      </c>
      <c r="E540" s="21">
        <v>2014</v>
      </c>
      <c r="F540" s="22">
        <v>11</v>
      </c>
      <c r="G540" s="19" t="s">
        <v>28</v>
      </c>
      <c r="H540" s="23">
        <v>73000</v>
      </c>
      <c r="I540" s="24" t="s">
        <v>162</v>
      </c>
    </row>
    <row r="541" spans="1:9" x14ac:dyDescent="0.3">
      <c r="A541" s="18">
        <v>10761</v>
      </c>
      <c r="B541" s="19" t="s">
        <v>71</v>
      </c>
      <c r="C541" s="19" t="s">
        <v>12</v>
      </c>
      <c r="D541" s="20">
        <v>41973</v>
      </c>
      <c r="E541" s="21">
        <v>2014</v>
      </c>
      <c r="F541" s="22">
        <v>11</v>
      </c>
      <c r="G541" s="19" t="s">
        <v>28</v>
      </c>
      <c r="H541" s="23">
        <v>19000</v>
      </c>
      <c r="I541" s="24" t="s">
        <v>72</v>
      </c>
    </row>
    <row r="542" spans="1:9" x14ac:dyDescent="0.3">
      <c r="A542" s="18">
        <v>10768</v>
      </c>
      <c r="B542" s="19" t="s">
        <v>127</v>
      </c>
      <c r="C542" s="19" t="s">
        <v>15</v>
      </c>
      <c r="D542" s="20">
        <v>41979</v>
      </c>
      <c r="E542" s="21">
        <v>2014</v>
      </c>
      <c r="F542" s="22">
        <v>12</v>
      </c>
      <c r="G542" s="19" t="s">
        <v>28</v>
      </c>
      <c r="H542" s="23">
        <v>146000</v>
      </c>
      <c r="I542" s="24" t="s">
        <v>128</v>
      </c>
    </row>
    <row r="543" spans="1:9" x14ac:dyDescent="0.3">
      <c r="A543" s="18">
        <v>10772</v>
      </c>
      <c r="B543" s="19" t="s">
        <v>157</v>
      </c>
      <c r="C543" s="19" t="s">
        <v>15</v>
      </c>
      <c r="D543" s="20">
        <v>41981</v>
      </c>
      <c r="E543" s="21">
        <v>2014</v>
      </c>
      <c r="F543" s="22">
        <v>12</v>
      </c>
      <c r="G543" s="19" t="s">
        <v>28</v>
      </c>
      <c r="H543" s="23">
        <v>91000</v>
      </c>
      <c r="I543" s="24" t="s">
        <v>158</v>
      </c>
    </row>
    <row r="544" spans="1:9" x14ac:dyDescent="0.3">
      <c r="A544" s="18">
        <v>10771</v>
      </c>
      <c r="B544" s="19" t="s">
        <v>38</v>
      </c>
      <c r="C544" s="19" t="s">
        <v>14</v>
      </c>
      <c r="D544" s="20">
        <v>41981</v>
      </c>
      <c r="E544" s="21">
        <v>2014</v>
      </c>
      <c r="F544" s="22">
        <v>12</v>
      </c>
      <c r="G544" s="19" t="s">
        <v>28</v>
      </c>
      <c r="H544" s="23">
        <v>11000</v>
      </c>
      <c r="I544" s="24" t="s">
        <v>40</v>
      </c>
    </row>
    <row r="545" spans="1:9" x14ac:dyDescent="0.3">
      <c r="A545" s="18">
        <v>10777</v>
      </c>
      <c r="B545" s="19" t="s">
        <v>47</v>
      </c>
      <c r="C545" s="19" t="s">
        <v>13</v>
      </c>
      <c r="D545" s="20">
        <v>41986</v>
      </c>
      <c r="E545" s="21">
        <v>2014</v>
      </c>
      <c r="F545" s="22">
        <v>12</v>
      </c>
      <c r="G545" s="19" t="s">
        <v>28</v>
      </c>
      <c r="H545" s="23">
        <v>3000</v>
      </c>
      <c r="I545" s="24" t="s">
        <v>48</v>
      </c>
    </row>
    <row r="546" spans="1:9" x14ac:dyDescent="0.3">
      <c r="A546" s="18">
        <v>10779</v>
      </c>
      <c r="B546" s="19" t="s">
        <v>123</v>
      </c>
      <c r="C546" s="19" t="s">
        <v>15</v>
      </c>
      <c r="D546" s="20">
        <v>41987</v>
      </c>
      <c r="E546" s="21">
        <v>2014</v>
      </c>
      <c r="F546" s="22">
        <v>12</v>
      </c>
      <c r="G546" s="19" t="s">
        <v>28</v>
      </c>
      <c r="H546" s="23">
        <v>58000</v>
      </c>
      <c r="I546" s="24" t="s">
        <v>124</v>
      </c>
    </row>
    <row r="547" spans="1:9" x14ac:dyDescent="0.3">
      <c r="A547" s="18">
        <v>10783</v>
      </c>
      <c r="B547" s="19" t="s">
        <v>135</v>
      </c>
      <c r="C547" s="19" t="s">
        <v>16</v>
      </c>
      <c r="D547" s="20">
        <v>41989</v>
      </c>
      <c r="E547" s="21">
        <v>2014</v>
      </c>
      <c r="F547" s="22">
        <v>12</v>
      </c>
      <c r="G547" s="19" t="s">
        <v>28</v>
      </c>
      <c r="H547" s="23">
        <v>125000</v>
      </c>
      <c r="I547" s="24" t="s">
        <v>136</v>
      </c>
    </row>
    <row r="548" spans="1:9" x14ac:dyDescent="0.3">
      <c r="A548" s="18">
        <v>10789</v>
      </c>
      <c r="B548" s="19" t="s">
        <v>113</v>
      </c>
      <c r="C548" s="19" t="s">
        <v>9</v>
      </c>
      <c r="D548" s="20">
        <v>41993</v>
      </c>
      <c r="E548" s="21">
        <v>2014</v>
      </c>
      <c r="F548" s="22">
        <v>12</v>
      </c>
      <c r="G548" s="19" t="s">
        <v>28</v>
      </c>
      <c r="H548" s="23">
        <v>101000</v>
      </c>
      <c r="I548" s="24" t="s">
        <v>114</v>
      </c>
    </row>
    <row r="549" spans="1:9" x14ac:dyDescent="0.3">
      <c r="A549" s="18">
        <v>10788</v>
      </c>
      <c r="B549" s="19" t="s">
        <v>53</v>
      </c>
      <c r="C549" s="19" t="s">
        <v>9</v>
      </c>
      <c r="D549" s="20">
        <v>41993</v>
      </c>
      <c r="E549" s="21">
        <v>2014</v>
      </c>
      <c r="F549" s="22">
        <v>12</v>
      </c>
      <c r="G549" s="19" t="s">
        <v>28</v>
      </c>
      <c r="H549" s="23">
        <v>43000</v>
      </c>
      <c r="I549" s="24" t="s">
        <v>54</v>
      </c>
    </row>
    <row r="550" spans="1:9" x14ac:dyDescent="0.3">
      <c r="A550" s="18">
        <v>10791</v>
      </c>
      <c r="B550" s="19" t="s">
        <v>169</v>
      </c>
      <c r="C550" s="19" t="s">
        <v>10</v>
      </c>
      <c r="D550" s="20">
        <v>41994</v>
      </c>
      <c r="E550" s="21">
        <v>2014</v>
      </c>
      <c r="F550" s="22">
        <v>12</v>
      </c>
      <c r="G550" s="19" t="s">
        <v>28</v>
      </c>
      <c r="H550" s="23">
        <v>17000</v>
      </c>
      <c r="I550" s="24" t="s">
        <v>170</v>
      </c>
    </row>
    <row r="551" spans="1:9" x14ac:dyDescent="0.3">
      <c r="A551" s="18">
        <v>10795</v>
      </c>
      <c r="B551" s="19" t="s">
        <v>38</v>
      </c>
      <c r="C551" s="19" t="s">
        <v>11</v>
      </c>
      <c r="D551" s="20">
        <v>41995</v>
      </c>
      <c r="E551" s="21">
        <v>2014</v>
      </c>
      <c r="F551" s="22">
        <v>12</v>
      </c>
      <c r="G551" s="19" t="s">
        <v>28</v>
      </c>
      <c r="H551" s="23">
        <v>127000</v>
      </c>
      <c r="I551" s="24" t="s">
        <v>40</v>
      </c>
    </row>
    <row r="552" spans="1:9" x14ac:dyDescent="0.3">
      <c r="A552" s="18">
        <v>10797</v>
      </c>
      <c r="B552" s="19" t="s">
        <v>173</v>
      </c>
      <c r="C552" s="19" t="s">
        <v>13</v>
      </c>
      <c r="D552" s="20">
        <v>41996</v>
      </c>
      <c r="E552" s="21">
        <v>2014</v>
      </c>
      <c r="F552" s="22">
        <v>12</v>
      </c>
      <c r="G552" s="19" t="s">
        <v>28</v>
      </c>
      <c r="H552" s="23">
        <v>33000</v>
      </c>
      <c r="I552" s="24" t="s">
        <v>174</v>
      </c>
    </row>
    <row r="553" spans="1:9" x14ac:dyDescent="0.3">
      <c r="A553" s="18">
        <v>10802</v>
      </c>
      <c r="B553" s="19" t="s">
        <v>45</v>
      </c>
      <c r="C553" s="19" t="s">
        <v>16</v>
      </c>
      <c r="D553" s="20">
        <v>42000</v>
      </c>
      <c r="E553" s="21">
        <v>2014</v>
      </c>
      <c r="F553" s="22">
        <v>12</v>
      </c>
      <c r="G553" s="19" t="s">
        <v>28</v>
      </c>
      <c r="H553" s="23">
        <v>257000</v>
      </c>
      <c r="I553" s="24" t="s">
        <v>46</v>
      </c>
    </row>
    <row r="554" spans="1:9" x14ac:dyDescent="0.3">
      <c r="A554" s="18">
        <v>10801</v>
      </c>
      <c r="B554" s="19" t="s">
        <v>200</v>
      </c>
      <c r="C554" s="19" t="s">
        <v>16</v>
      </c>
      <c r="D554" s="20">
        <v>42000</v>
      </c>
      <c r="E554" s="21">
        <v>2014</v>
      </c>
      <c r="F554" s="22">
        <v>12</v>
      </c>
      <c r="G554" s="19" t="s">
        <v>28</v>
      </c>
      <c r="H554" s="23">
        <v>97000</v>
      </c>
      <c r="I554" s="24" t="s">
        <v>201</v>
      </c>
    </row>
    <row r="555" spans="1:9" x14ac:dyDescent="0.3">
      <c r="A555" s="18">
        <v>10804</v>
      </c>
      <c r="B555" s="19" t="s">
        <v>143</v>
      </c>
      <c r="C555" s="19" t="s">
        <v>10</v>
      </c>
      <c r="D555" s="20">
        <v>42001</v>
      </c>
      <c r="E555" s="21">
        <v>2014</v>
      </c>
      <c r="F555" s="22">
        <v>12</v>
      </c>
      <c r="G555" s="19" t="s">
        <v>28</v>
      </c>
      <c r="H555" s="23">
        <v>27000</v>
      </c>
      <c r="I555" s="24" t="s">
        <v>144</v>
      </c>
    </row>
    <row r="556" spans="1:9" x14ac:dyDescent="0.3">
      <c r="A556" s="18">
        <v>10806</v>
      </c>
      <c r="B556" s="19" t="s">
        <v>69</v>
      </c>
      <c r="C556" s="19" t="s">
        <v>15</v>
      </c>
      <c r="D556" s="20">
        <v>42002</v>
      </c>
      <c r="E556" s="21">
        <v>2014</v>
      </c>
      <c r="F556" s="22">
        <v>12</v>
      </c>
      <c r="G556" s="19" t="s">
        <v>28</v>
      </c>
      <c r="H556" s="23">
        <v>22000</v>
      </c>
      <c r="I556" s="24" t="s">
        <v>70</v>
      </c>
    </row>
    <row r="557" spans="1:9" x14ac:dyDescent="0.3">
      <c r="A557" s="18">
        <v>10816</v>
      </c>
      <c r="B557" s="19" t="s">
        <v>121</v>
      </c>
      <c r="C557" s="19" t="s">
        <v>16</v>
      </c>
      <c r="D557" s="20">
        <v>39451</v>
      </c>
      <c r="E557" s="21">
        <v>2008</v>
      </c>
      <c r="F557" s="22">
        <v>1</v>
      </c>
      <c r="G557" s="19" t="s">
        <v>28</v>
      </c>
      <c r="H557" s="23">
        <v>720000</v>
      </c>
      <c r="I557" s="24" t="s">
        <v>122</v>
      </c>
    </row>
    <row r="558" spans="1:9" x14ac:dyDescent="0.3">
      <c r="A558" s="18">
        <v>10817</v>
      </c>
      <c r="B558" s="19" t="s">
        <v>61</v>
      </c>
      <c r="C558" s="19" t="s">
        <v>15</v>
      </c>
      <c r="D558" s="20">
        <v>39451</v>
      </c>
      <c r="E558" s="21">
        <v>2008</v>
      </c>
      <c r="F558" s="22">
        <v>1</v>
      </c>
      <c r="G558" s="19" t="s">
        <v>28</v>
      </c>
      <c r="H558" s="23">
        <v>306000</v>
      </c>
      <c r="I558" s="24" t="s">
        <v>62</v>
      </c>
    </row>
    <row r="559" spans="1:9" x14ac:dyDescent="0.3">
      <c r="A559" s="18">
        <v>10820</v>
      </c>
      <c r="B559" s="19" t="s">
        <v>71</v>
      </c>
      <c r="C559" s="19" t="s">
        <v>15</v>
      </c>
      <c r="D559" s="20">
        <v>39452</v>
      </c>
      <c r="E559" s="21">
        <v>2008</v>
      </c>
      <c r="F559" s="22">
        <v>1</v>
      </c>
      <c r="G559" s="19" t="s">
        <v>28</v>
      </c>
      <c r="H559" s="23">
        <v>38000</v>
      </c>
      <c r="I559" s="24" t="s">
        <v>72</v>
      </c>
    </row>
    <row r="560" spans="1:9" x14ac:dyDescent="0.3">
      <c r="A560" s="18">
        <v>10823</v>
      </c>
      <c r="B560" s="19" t="s">
        <v>57</v>
      </c>
      <c r="C560" s="19" t="s">
        <v>12</v>
      </c>
      <c r="D560" s="20">
        <v>39454</v>
      </c>
      <c r="E560" s="21">
        <v>2008</v>
      </c>
      <c r="F560" s="22">
        <v>1</v>
      </c>
      <c r="G560" s="19" t="s">
        <v>28</v>
      </c>
      <c r="H560" s="23">
        <v>164000</v>
      </c>
      <c r="I560" s="24" t="s">
        <v>58</v>
      </c>
    </row>
    <row r="561" spans="1:9" x14ac:dyDescent="0.3">
      <c r="A561" s="18">
        <v>10827</v>
      </c>
      <c r="B561" s="19" t="s">
        <v>85</v>
      </c>
      <c r="C561" s="19" t="s">
        <v>9</v>
      </c>
      <c r="D561" s="20">
        <v>39457</v>
      </c>
      <c r="E561" s="21">
        <v>2008</v>
      </c>
      <c r="F561" s="22">
        <v>1</v>
      </c>
      <c r="G561" s="19" t="s">
        <v>28</v>
      </c>
      <c r="H561" s="23">
        <v>64000</v>
      </c>
      <c r="I561" s="24" t="s">
        <v>86</v>
      </c>
    </row>
    <row r="562" spans="1:9" x14ac:dyDescent="0.3">
      <c r="A562" s="18">
        <v>10830</v>
      </c>
      <c r="B562" s="19" t="s">
        <v>105</v>
      </c>
      <c r="C562" s="19" t="s">
        <v>16</v>
      </c>
      <c r="D562" s="20">
        <v>39458</v>
      </c>
      <c r="E562" s="21">
        <v>2008</v>
      </c>
      <c r="F562" s="22">
        <v>1</v>
      </c>
      <c r="G562" s="19" t="s">
        <v>28</v>
      </c>
      <c r="H562" s="23">
        <v>82000</v>
      </c>
      <c r="I562" s="24" t="s">
        <v>106</v>
      </c>
    </row>
    <row r="563" spans="1:9" x14ac:dyDescent="0.3">
      <c r="A563" s="18">
        <v>10831</v>
      </c>
      <c r="B563" s="19" t="s">
        <v>117</v>
      </c>
      <c r="C563" s="19" t="s">
        <v>15</v>
      </c>
      <c r="D563" s="20">
        <v>39459</v>
      </c>
      <c r="E563" s="21">
        <v>2008</v>
      </c>
      <c r="F563" s="22">
        <v>1</v>
      </c>
      <c r="G563" s="19" t="s">
        <v>28</v>
      </c>
      <c r="H563" s="23">
        <v>72000</v>
      </c>
      <c r="I563" s="24" t="s">
        <v>118</v>
      </c>
    </row>
    <row r="564" spans="1:9" x14ac:dyDescent="0.3">
      <c r="A564" s="18">
        <v>10832</v>
      </c>
      <c r="B564" s="19" t="s">
        <v>32</v>
      </c>
      <c r="C564" s="19" t="s">
        <v>8</v>
      </c>
      <c r="D564" s="20">
        <v>39459</v>
      </c>
      <c r="E564" s="21">
        <v>2008</v>
      </c>
      <c r="F564" s="22">
        <v>1</v>
      </c>
      <c r="G564" s="19" t="s">
        <v>28</v>
      </c>
      <c r="H564" s="23">
        <v>43000</v>
      </c>
      <c r="I564" s="24" t="s">
        <v>33</v>
      </c>
    </row>
    <row r="565" spans="1:9" x14ac:dyDescent="0.3">
      <c r="A565" s="18">
        <v>10833</v>
      </c>
      <c r="B565" s="19" t="s">
        <v>27</v>
      </c>
      <c r="C565" s="19" t="s">
        <v>10</v>
      </c>
      <c r="D565" s="20">
        <v>39460</v>
      </c>
      <c r="E565" s="21">
        <v>2008</v>
      </c>
      <c r="F565" s="22">
        <v>1</v>
      </c>
      <c r="G565" s="19" t="s">
        <v>28</v>
      </c>
      <c r="H565" s="23">
        <v>71000</v>
      </c>
      <c r="I565" s="24" t="s">
        <v>29</v>
      </c>
    </row>
    <row r="566" spans="1:9" x14ac:dyDescent="0.3">
      <c r="A566" s="18">
        <v>10840</v>
      </c>
      <c r="B566" s="19" t="s">
        <v>129</v>
      </c>
      <c r="C566" s="19" t="s">
        <v>16</v>
      </c>
      <c r="D566" s="20">
        <v>39464</v>
      </c>
      <c r="E566" s="21">
        <v>2008</v>
      </c>
      <c r="F566" s="22">
        <v>1</v>
      </c>
      <c r="G566" s="19" t="s">
        <v>28</v>
      </c>
      <c r="H566" s="23">
        <v>3000</v>
      </c>
      <c r="I566" s="24" t="s">
        <v>130</v>
      </c>
    </row>
    <row r="567" spans="1:9" x14ac:dyDescent="0.3">
      <c r="A567" s="18">
        <v>10841</v>
      </c>
      <c r="B567" s="19" t="s">
        <v>55</v>
      </c>
      <c r="C567" s="19" t="s">
        <v>12</v>
      </c>
      <c r="D567" s="20">
        <v>39465</v>
      </c>
      <c r="E567" s="21">
        <v>2008</v>
      </c>
      <c r="F567" s="22">
        <v>1</v>
      </c>
      <c r="G567" s="19" t="s">
        <v>28</v>
      </c>
      <c r="H567" s="23">
        <v>424000</v>
      </c>
      <c r="I567" s="24" t="s">
        <v>56</v>
      </c>
    </row>
    <row r="568" spans="1:9" x14ac:dyDescent="0.3">
      <c r="A568" s="18">
        <v>10844</v>
      </c>
      <c r="B568" s="19" t="s">
        <v>103</v>
      </c>
      <c r="C568" s="19" t="s">
        <v>11</v>
      </c>
      <c r="D568" s="20">
        <v>39466</v>
      </c>
      <c r="E568" s="21">
        <v>2008</v>
      </c>
      <c r="F568" s="22">
        <v>1</v>
      </c>
      <c r="G568" s="19" t="s">
        <v>28</v>
      </c>
      <c r="H568" s="23">
        <v>25000</v>
      </c>
      <c r="I568" s="24" t="s">
        <v>104</v>
      </c>
    </row>
    <row r="569" spans="1:9" x14ac:dyDescent="0.3">
      <c r="A569" s="18">
        <v>10843</v>
      </c>
      <c r="B569" s="19" t="s">
        <v>69</v>
      </c>
      <c r="C569" s="19" t="s">
        <v>16</v>
      </c>
      <c r="D569" s="20">
        <v>39466</v>
      </c>
      <c r="E569" s="21">
        <v>2008</v>
      </c>
      <c r="F569" s="22">
        <v>1</v>
      </c>
      <c r="G569" s="19" t="s">
        <v>28</v>
      </c>
      <c r="H569" s="23">
        <v>9000</v>
      </c>
      <c r="I569" s="24" t="s">
        <v>70</v>
      </c>
    </row>
    <row r="570" spans="1:9" x14ac:dyDescent="0.3">
      <c r="A570" s="18">
        <v>10848</v>
      </c>
      <c r="B570" s="19" t="s">
        <v>186</v>
      </c>
      <c r="C570" s="19" t="s">
        <v>13</v>
      </c>
      <c r="D570" s="20">
        <v>39468</v>
      </c>
      <c r="E570" s="21">
        <v>2008</v>
      </c>
      <c r="F570" s="22">
        <v>1</v>
      </c>
      <c r="G570" s="19" t="s">
        <v>28</v>
      </c>
      <c r="H570" s="23">
        <v>38000</v>
      </c>
      <c r="I570" s="24" t="s">
        <v>187</v>
      </c>
    </row>
    <row r="571" spans="1:9" x14ac:dyDescent="0.3">
      <c r="A571" s="18">
        <v>10849</v>
      </c>
      <c r="B571" s="19" t="s">
        <v>61</v>
      </c>
      <c r="C571" s="19" t="s">
        <v>14</v>
      </c>
      <c r="D571" s="20">
        <v>39468</v>
      </c>
      <c r="E571" s="21">
        <v>2008</v>
      </c>
      <c r="F571" s="22">
        <v>1</v>
      </c>
      <c r="G571" s="19" t="s">
        <v>28</v>
      </c>
      <c r="H571" s="23">
        <v>1000</v>
      </c>
      <c r="I571" s="24" t="s">
        <v>62</v>
      </c>
    </row>
    <row r="572" spans="1:9" x14ac:dyDescent="0.3">
      <c r="A572" s="18">
        <v>10854</v>
      </c>
      <c r="B572" s="19" t="s">
        <v>38</v>
      </c>
      <c r="C572" s="19" t="s">
        <v>15</v>
      </c>
      <c r="D572" s="20">
        <v>39472</v>
      </c>
      <c r="E572" s="21">
        <v>2008</v>
      </c>
      <c r="F572" s="22">
        <v>1</v>
      </c>
      <c r="G572" s="19" t="s">
        <v>28</v>
      </c>
      <c r="H572" s="23">
        <v>100000</v>
      </c>
      <c r="I572" s="24" t="s">
        <v>40</v>
      </c>
    </row>
    <row r="573" spans="1:9" x14ac:dyDescent="0.3">
      <c r="A573" s="18">
        <v>10853</v>
      </c>
      <c r="B573" s="19" t="s">
        <v>79</v>
      </c>
      <c r="C573" s="19" t="s">
        <v>14</v>
      </c>
      <c r="D573" s="20">
        <v>39472</v>
      </c>
      <c r="E573" s="21">
        <v>2008</v>
      </c>
      <c r="F573" s="22">
        <v>1</v>
      </c>
      <c r="G573" s="19" t="s">
        <v>28</v>
      </c>
      <c r="H573" s="23">
        <v>54000</v>
      </c>
      <c r="I573" s="24" t="s">
        <v>80</v>
      </c>
    </row>
    <row r="574" spans="1:9" x14ac:dyDescent="0.3">
      <c r="A574" s="18">
        <v>10857</v>
      </c>
      <c r="B574" s="19" t="s">
        <v>51</v>
      </c>
      <c r="C574" s="19" t="s">
        <v>11</v>
      </c>
      <c r="D574" s="20">
        <v>39473</v>
      </c>
      <c r="E574" s="21">
        <v>2008</v>
      </c>
      <c r="F574" s="22">
        <v>1</v>
      </c>
      <c r="G574" s="19" t="s">
        <v>28</v>
      </c>
      <c r="H574" s="23">
        <v>189000</v>
      </c>
      <c r="I574" s="24" t="s">
        <v>52</v>
      </c>
    </row>
    <row r="575" spans="1:9" x14ac:dyDescent="0.3">
      <c r="A575" s="18">
        <v>10856</v>
      </c>
      <c r="B575" s="19" t="s">
        <v>99</v>
      </c>
      <c r="C575" s="19" t="s">
        <v>15</v>
      </c>
      <c r="D575" s="20">
        <v>39473</v>
      </c>
      <c r="E575" s="21">
        <v>2008</v>
      </c>
      <c r="F575" s="22">
        <v>1</v>
      </c>
      <c r="G575" s="19" t="s">
        <v>28</v>
      </c>
      <c r="H575" s="23">
        <v>58000</v>
      </c>
      <c r="I575" s="24" t="s">
        <v>100</v>
      </c>
    </row>
    <row r="576" spans="1:9" x14ac:dyDescent="0.3">
      <c r="A576" s="18">
        <v>10859</v>
      </c>
      <c r="B576" s="19" t="s">
        <v>169</v>
      </c>
      <c r="C576" s="19" t="s">
        <v>9</v>
      </c>
      <c r="D576" s="20">
        <v>39474</v>
      </c>
      <c r="E576" s="21">
        <v>2008</v>
      </c>
      <c r="F576" s="22">
        <v>1</v>
      </c>
      <c r="G576" s="19" t="s">
        <v>28</v>
      </c>
      <c r="H576" s="23">
        <v>76000</v>
      </c>
      <c r="I576" s="24" t="s">
        <v>170</v>
      </c>
    </row>
    <row r="577" spans="1:9" x14ac:dyDescent="0.3">
      <c r="A577" s="18">
        <v>10862</v>
      </c>
      <c r="B577" s="19" t="s">
        <v>157</v>
      </c>
      <c r="C577" s="19" t="s">
        <v>11</v>
      </c>
      <c r="D577" s="20">
        <v>39475</v>
      </c>
      <c r="E577" s="21">
        <v>2008</v>
      </c>
      <c r="F577" s="22">
        <v>1</v>
      </c>
      <c r="G577" s="19" t="s">
        <v>28</v>
      </c>
      <c r="H577" s="23">
        <v>53000</v>
      </c>
      <c r="I577" s="24" t="s">
        <v>158</v>
      </c>
    </row>
    <row r="578" spans="1:9" x14ac:dyDescent="0.3">
      <c r="A578" s="18">
        <v>10861</v>
      </c>
      <c r="B578" s="19" t="s">
        <v>81</v>
      </c>
      <c r="C578" s="19" t="s">
        <v>16</v>
      </c>
      <c r="D578" s="20">
        <v>39475</v>
      </c>
      <c r="E578" s="21">
        <v>2008</v>
      </c>
      <c r="F578" s="22">
        <v>1</v>
      </c>
      <c r="G578" s="19" t="s">
        <v>28</v>
      </c>
      <c r="H578" s="23">
        <v>15000</v>
      </c>
      <c r="I578" s="24" t="s">
        <v>82</v>
      </c>
    </row>
    <row r="579" spans="1:9" x14ac:dyDescent="0.3">
      <c r="A579" s="18">
        <v>10863</v>
      </c>
      <c r="B579" s="19" t="s">
        <v>67</v>
      </c>
      <c r="C579" s="19" t="s">
        <v>16</v>
      </c>
      <c r="D579" s="20">
        <v>39478</v>
      </c>
      <c r="E579" s="21">
        <v>2008</v>
      </c>
      <c r="F579" s="22">
        <v>1</v>
      </c>
      <c r="G579" s="19" t="s">
        <v>28</v>
      </c>
      <c r="H579" s="23">
        <v>30000</v>
      </c>
      <c r="I579" s="24" t="s">
        <v>68</v>
      </c>
    </row>
    <row r="580" spans="1:9" x14ac:dyDescent="0.3">
      <c r="A580" s="18">
        <v>10864</v>
      </c>
      <c r="B580" s="19" t="s">
        <v>127</v>
      </c>
      <c r="C580" s="19" t="s">
        <v>16</v>
      </c>
      <c r="D580" s="20">
        <v>39478</v>
      </c>
      <c r="E580" s="21">
        <v>2008</v>
      </c>
      <c r="F580" s="22">
        <v>1</v>
      </c>
      <c r="G580" s="19" t="s">
        <v>28</v>
      </c>
      <c r="H580" s="23">
        <v>3000</v>
      </c>
      <c r="I580" s="24" t="s">
        <v>128</v>
      </c>
    </row>
    <row r="581" spans="1:9" x14ac:dyDescent="0.3">
      <c r="A581" s="18">
        <v>10868</v>
      </c>
      <c r="B581" s="19" t="s">
        <v>176</v>
      </c>
      <c r="C581" s="19" t="s">
        <v>13</v>
      </c>
      <c r="D581" s="20">
        <v>39480</v>
      </c>
      <c r="E581" s="21">
        <v>2008</v>
      </c>
      <c r="F581" s="22">
        <v>2</v>
      </c>
      <c r="G581" s="19" t="s">
        <v>28</v>
      </c>
      <c r="H581" s="23">
        <v>191000</v>
      </c>
      <c r="I581" s="24" t="s">
        <v>177</v>
      </c>
    </row>
    <row r="582" spans="1:9" x14ac:dyDescent="0.3">
      <c r="A582" s="18">
        <v>10872</v>
      </c>
      <c r="B582" s="19" t="s">
        <v>95</v>
      </c>
      <c r="C582" s="19" t="s">
        <v>12</v>
      </c>
      <c r="D582" s="20">
        <v>39481</v>
      </c>
      <c r="E582" s="21">
        <v>2008</v>
      </c>
      <c r="F582" s="22">
        <v>2</v>
      </c>
      <c r="G582" s="19" t="s">
        <v>28</v>
      </c>
      <c r="H582" s="23">
        <v>175000</v>
      </c>
      <c r="I582" s="24" t="s">
        <v>96</v>
      </c>
    </row>
    <row r="583" spans="1:9" x14ac:dyDescent="0.3">
      <c r="A583" s="18">
        <v>10871</v>
      </c>
      <c r="B583" s="19" t="s">
        <v>85</v>
      </c>
      <c r="C583" s="19" t="s">
        <v>14</v>
      </c>
      <c r="D583" s="20">
        <v>39481</v>
      </c>
      <c r="E583" s="21">
        <v>2008</v>
      </c>
      <c r="F583" s="22">
        <v>2</v>
      </c>
      <c r="G583" s="19" t="s">
        <v>28</v>
      </c>
      <c r="H583" s="23">
        <v>112000</v>
      </c>
      <c r="I583" s="24" t="s">
        <v>86</v>
      </c>
    </row>
    <row r="584" spans="1:9" x14ac:dyDescent="0.3">
      <c r="A584" s="18">
        <v>10875</v>
      </c>
      <c r="B584" s="19" t="s">
        <v>51</v>
      </c>
      <c r="C584" s="19" t="s">
        <v>16</v>
      </c>
      <c r="D584" s="20">
        <v>39482</v>
      </c>
      <c r="E584" s="21">
        <v>2008</v>
      </c>
      <c r="F584" s="22">
        <v>2</v>
      </c>
      <c r="G584" s="19" t="s">
        <v>28</v>
      </c>
      <c r="H584" s="23">
        <v>32000</v>
      </c>
      <c r="I584" s="24" t="s">
        <v>52</v>
      </c>
    </row>
    <row r="585" spans="1:9" x14ac:dyDescent="0.3">
      <c r="A585" s="18">
        <v>10874</v>
      </c>
      <c r="B585" s="19" t="s">
        <v>95</v>
      </c>
      <c r="C585" s="19" t="s">
        <v>12</v>
      </c>
      <c r="D585" s="20">
        <v>39482</v>
      </c>
      <c r="E585" s="21">
        <v>2008</v>
      </c>
      <c r="F585" s="22">
        <v>2</v>
      </c>
      <c r="G585" s="19" t="s">
        <v>28</v>
      </c>
      <c r="H585" s="23">
        <v>20000</v>
      </c>
      <c r="I585" s="24" t="s">
        <v>96</v>
      </c>
    </row>
    <row r="586" spans="1:9" x14ac:dyDescent="0.3">
      <c r="A586" s="18">
        <v>10884</v>
      </c>
      <c r="B586" s="19" t="s">
        <v>204</v>
      </c>
      <c r="C586" s="19" t="s">
        <v>16</v>
      </c>
      <c r="D586" s="20">
        <v>39488</v>
      </c>
      <c r="E586" s="21">
        <v>2008</v>
      </c>
      <c r="F586" s="22">
        <v>2</v>
      </c>
      <c r="G586" s="19" t="s">
        <v>28</v>
      </c>
      <c r="H586" s="23">
        <v>91000</v>
      </c>
      <c r="I586" s="24" t="s">
        <v>205</v>
      </c>
    </row>
    <row r="587" spans="1:9" x14ac:dyDescent="0.3">
      <c r="A587" s="18">
        <v>10888</v>
      </c>
      <c r="B587" s="19" t="s">
        <v>95</v>
      </c>
      <c r="C587" s="19" t="s">
        <v>9</v>
      </c>
      <c r="D587" s="20">
        <v>39492</v>
      </c>
      <c r="E587" s="21">
        <v>2008</v>
      </c>
      <c r="F587" s="22">
        <v>2</v>
      </c>
      <c r="G587" s="19" t="s">
        <v>28</v>
      </c>
      <c r="H587" s="23">
        <v>52000</v>
      </c>
      <c r="I587" s="24" t="s">
        <v>96</v>
      </c>
    </row>
    <row r="588" spans="1:9" x14ac:dyDescent="0.3">
      <c r="A588" s="18">
        <v>10892</v>
      </c>
      <c r="B588" s="19" t="s">
        <v>119</v>
      </c>
      <c r="C588" s="19" t="s">
        <v>16</v>
      </c>
      <c r="D588" s="20">
        <v>39493</v>
      </c>
      <c r="E588" s="21">
        <v>2008</v>
      </c>
      <c r="F588" s="22">
        <v>2</v>
      </c>
      <c r="G588" s="19" t="s">
        <v>28</v>
      </c>
      <c r="H588" s="23">
        <v>120000</v>
      </c>
      <c r="I588" s="24" t="s">
        <v>120</v>
      </c>
    </row>
    <row r="589" spans="1:9" x14ac:dyDescent="0.3">
      <c r="A589" s="18">
        <v>10891</v>
      </c>
      <c r="B589" s="19" t="s">
        <v>157</v>
      </c>
      <c r="C589" s="19" t="s">
        <v>13</v>
      </c>
      <c r="D589" s="20">
        <v>39493</v>
      </c>
      <c r="E589" s="21">
        <v>2008</v>
      </c>
      <c r="F589" s="22">
        <v>2</v>
      </c>
      <c r="G589" s="19" t="s">
        <v>28</v>
      </c>
      <c r="H589" s="23">
        <v>20000</v>
      </c>
      <c r="I589" s="24" t="s">
        <v>158</v>
      </c>
    </row>
    <row r="590" spans="1:9" x14ac:dyDescent="0.3">
      <c r="A590" s="18">
        <v>10893</v>
      </c>
      <c r="B590" s="19" t="s">
        <v>61</v>
      </c>
      <c r="C590" s="19" t="s">
        <v>14</v>
      </c>
      <c r="D590" s="20">
        <v>39494</v>
      </c>
      <c r="E590" s="21">
        <v>2008</v>
      </c>
      <c r="F590" s="22">
        <v>2</v>
      </c>
      <c r="G590" s="19" t="s">
        <v>28</v>
      </c>
      <c r="H590" s="23">
        <v>78000</v>
      </c>
      <c r="I590" s="24" t="s">
        <v>62</v>
      </c>
    </row>
    <row r="591" spans="1:9" x14ac:dyDescent="0.3">
      <c r="A591" s="18">
        <v>10897</v>
      </c>
      <c r="B591" s="19" t="s">
        <v>87</v>
      </c>
      <c r="C591" s="19" t="s">
        <v>15</v>
      </c>
      <c r="D591" s="20">
        <v>39495</v>
      </c>
      <c r="E591" s="21">
        <v>2008</v>
      </c>
      <c r="F591" s="22">
        <v>2</v>
      </c>
      <c r="G591" s="19" t="s">
        <v>28</v>
      </c>
      <c r="H591" s="23">
        <v>604000</v>
      </c>
      <c r="I591" s="24" t="s">
        <v>88</v>
      </c>
    </row>
    <row r="592" spans="1:9" x14ac:dyDescent="0.3">
      <c r="A592" s="18">
        <v>10900</v>
      </c>
      <c r="B592" s="19" t="s">
        <v>155</v>
      </c>
      <c r="C592" s="19" t="s">
        <v>9</v>
      </c>
      <c r="D592" s="20">
        <v>39496</v>
      </c>
      <c r="E592" s="21">
        <v>2008</v>
      </c>
      <c r="F592" s="22">
        <v>2</v>
      </c>
      <c r="G592" s="19" t="s">
        <v>28</v>
      </c>
      <c r="H592" s="23">
        <v>2000</v>
      </c>
      <c r="I592" s="24" t="s">
        <v>156</v>
      </c>
    </row>
    <row r="593" spans="1:9" x14ac:dyDescent="0.3">
      <c r="A593" s="18">
        <v>10898</v>
      </c>
      <c r="B593" s="19" t="s">
        <v>178</v>
      </c>
      <c r="C593" s="19" t="s">
        <v>16</v>
      </c>
      <c r="D593" s="20">
        <v>39496</v>
      </c>
      <c r="E593" s="21">
        <v>2008</v>
      </c>
      <c r="F593" s="22">
        <v>2</v>
      </c>
      <c r="G593" s="19" t="s">
        <v>28</v>
      </c>
      <c r="H593" s="23">
        <v>1000</v>
      </c>
      <c r="I593" s="24" t="s">
        <v>179</v>
      </c>
    </row>
    <row r="594" spans="1:9" x14ac:dyDescent="0.3">
      <c r="A594" s="18">
        <v>10905</v>
      </c>
      <c r="B594" s="19" t="s">
        <v>155</v>
      </c>
      <c r="C594" s="19" t="s">
        <v>14</v>
      </c>
      <c r="D594" s="20">
        <v>39500</v>
      </c>
      <c r="E594" s="21">
        <v>2008</v>
      </c>
      <c r="F594" s="22">
        <v>2</v>
      </c>
      <c r="G594" s="19" t="s">
        <v>28</v>
      </c>
      <c r="H594" s="23">
        <v>14000</v>
      </c>
      <c r="I594" s="24" t="s">
        <v>156</v>
      </c>
    </row>
    <row r="595" spans="1:9" x14ac:dyDescent="0.3">
      <c r="A595" s="18">
        <v>10912</v>
      </c>
      <c r="B595" s="19" t="s">
        <v>87</v>
      </c>
      <c r="C595" s="19" t="s">
        <v>8</v>
      </c>
      <c r="D595" s="20">
        <v>39502</v>
      </c>
      <c r="E595" s="21">
        <v>2008</v>
      </c>
      <c r="F595" s="22">
        <v>2</v>
      </c>
      <c r="G595" s="19" t="s">
        <v>28</v>
      </c>
      <c r="H595" s="23">
        <v>581000</v>
      </c>
      <c r="I595" s="24" t="s">
        <v>88</v>
      </c>
    </row>
    <row r="596" spans="1:9" x14ac:dyDescent="0.3">
      <c r="A596" s="18">
        <v>10909</v>
      </c>
      <c r="B596" s="19" t="s">
        <v>117</v>
      </c>
      <c r="C596" s="19" t="s">
        <v>9</v>
      </c>
      <c r="D596" s="20">
        <v>39502</v>
      </c>
      <c r="E596" s="21">
        <v>2008</v>
      </c>
      <c r="F596" s="22">
        <v>2</v>
      </c>
      <c r="G596" s="19" t="s">
        <v>28</v>
      </c>
      <c r="H596" s="23">
        <v>53000</v>
      </c>
      <c r="I596" s="24" t="s">
        <v>118</v>
      </c>
    </row>
    <row r="597" spans="1:9" x14ac:dyDescent="0.3">
      <c r="A597" s="18">
        <v>10908</v>
      </c>
      <c r="B597" s="19" t="s">
        <v>159</v>
      </c>
      <c r="C597" s="19" t="s">
        <v>16</v>
      </c>
      <c r="D597" s="20">
        <v>39502</v>
      </c>
      <c r="E597" s="21">
        <v>2008</v>
      </c>
      <c r="F597" s="22">
        <v>2</v>
      </c>
      <c r="G597" s="19" t="s">
        <v>28</v>
      </c>
      <c r="H597" s="23">
        <v>33000</v>
      </c>
      <c r="I597" s="24" t="s">
        <v>160</v>
      </c>
    </row>
    <row r="598" spans="1:9" x14ac:dyDescent="0.3">
      <c r="A598" s="18">
        <v>10916</v>
      </c>
      <c r="B598" s="19" t="s">
        <v>171</v>
      </c>
      <c r="C598" s="19" t="s">
        <v>9</v>
      </c>
      <c r="D598" s="20">
        <v>39503</v>
      </c>
      <c r="E598" s="21">
        <v>2008</v>
      </c>
      <c r="F598" s="22">
        <v>2</v>
      </c>
      <c r="G598" s="19" t="s">
        <v>28</v>
      </c>
      <c r="H598" s="23">
        <v>64000</v>
      </c>
      <c r="I598" s="24" t="s">
        <v>172</v>
      </c>
    </row>
    <row r="599" spans="1:9" x14ac:dyDescent="0.3">
      <c r="A599" s="18">
        <v>10915</v>
      </c>
      <c r="B599" s="19" t="s">
        <v>101</v>
      </c>
      <c r="C599" s="19" t="s">
        <v>8</v>
      </c>
      <c r="D599" s="20">
        <v>39503</v>
      </c>
      <c r="E599" s="21">
        <v>2008</v>
      </c>
      <c r="F599" s="22">
        <v>2</v>
      </c>
      <c r="G599" s="19" t="s">
        <v>28</v>
      </c>
      <c r="H599" s="23">
        <v>4000</v>
      </c>
      <c r="I599" s="24" t="s">
        <v>102</v>
      </c>
    </row>
    <row r="600" spans="1:9" x14ac:dyDescent="0.3">
      <c r="A600" s="18">
        <v>10919</v>
      </c>
      <c r="B600" s="19" t="s">
        <v>129</v>
      </c>
      <c r="C600" s="19" t="s">
        <v>8</v>
      </c>
      <c r="D600" s="20">
        <v>39506</v>
      </c>
      <c r="E600" s="21">
        <v>2008</v>
      </c>
      <c r="F600" s="22">
        <v>2</v>
      </c>
      <c r="G600" s="19" t="s">
        <v>28</v>
      </c>
      <c r="H600" s="23">
        <v>20000</v>
      </c>
      <c r="I600" s="24" t="s">
        <v>130</v>
      </c>
    </row>
    <row r="601" spans="1:9" x14ac:dyDescent="0.3">
      <c r="A601" s="18">
        <v>10917</v>
      </c>
      <c r="B601" s="19" t="s">
        <v>202</v>
      </c>
      <c r="C601" s="19" t="s">
        <v>16</v>
      </c>
      <c r="D601" s="20">
        <v>39506</v>
      </c>
      <c r="E601" s="21">
        <v>2008</v>
      </c>
      <c r="F601" s="22">
        <v>2</v>
      </c>
      <c r="G601" s="19" t="s">
        <v>28</v>
      </c>
      <c r="H601" s="23">
        <v>8000</v>
      </c>
      <c r="I601" s="24" t="s">
        <v>203</v>
      </c>
    </row>
    <row r="602" spans="1:9" x14ac:dyDescent="0.3">
      <c r="A602" s="18">
        <v>10920</v>
      </c>
      <c r="B602" s="19" t="s">
        <v>127</v>
      </c>
      <c r="C602" s="19" t="s">
        <v>16</v>
      </c>
      <c r="D602" s="20">
        <v>39507</v>
      </c>
      <c r="E602" s="21">
        <v>2008</v>
      </c>
      <c r="F602" s="22">
        <v>2</v>
      </c>
      <c r="G602" s="19" t="s">
        <v>28</v>
      </c>
      <c r="H602" s="23">
        <v>30000</v>
      </c>
      <c r="I602" s="24" t="s">
        <v>128</v>
      </c>
    </row>
    <row r="603" spans="1:9" x14ac:dyDescent="0.3">
      <c r="A603" s="18">
        <v>10924</v>
      </c>
      <c r="B603" s="19" t="s">
        <v>51</v>
      </c>
      <c r="C603" s="19" t="s">
        <v>15</v>
      </c>
      <c r="D603" s="20">
        <v>39508</v>
      </c>
      <c r="E603" s="21">
        <v>2008</v>
      </c>
      <c r="F603" s="22">
        <v>3</v>
      </c>
      <c r="G603" s="19" t="s">
        <v>28</v>
      </c>
      <c r="H603" s="23">
        <v>152000</v>
      </c>
      <c r="I603" s="24" t="s">
        <v>52</v>
      </c>
    </row>
    <row r="604" spans="1:9" x14ac:dyDescent="0.3">
      <c r="A604" s="18">
        <v>10931</v>
      </c>
      <c r="B604" s="19" t="s">
        <v>34</v>
      </c>
      <c r="C604" s="19" t="s">
        <v>16</v>
      </c>
      <c r="D604" s="20">
        <v>39510</v>
      </c>
      <c r="E604" s="21">
        <v>2008</v>
      </c>
      <c r="F604" s="22">
        <v>3</v>
      </c>
      <c r="G604" s="19" t="s">
        <v>28</v>
      </c>
      <c r="H604" s="23">
        <v>14000</v>
      </c>
      <c r="I604" s="24" t="s">
        <v>35</v>
      </c>
    </row>
    <row r="605" spans="1:9" x14ac:dyDescent="0.3">
      <c r="A605" s="18">
        <v>10936</v>
      </c>
      <c r="B605" s="19" t="s">
        <v>121</v>
      </c>
      <c r="C605" s="19" t="s">
        <v>15</v>
      </c>
      <c r="D605" s="20">
        <v>39513</v>
      </c>
      <c r="E605" s="21">
        <v>2008</v>
      </c>
      <c r="F605" s="22">
        <v>3</v>
      </c>
      <c r="G605" s="19" t="s">
        <v>28</v>
      </c>
      <c r="H605" s="23">
        <v>34000</v>
      </c>
      <c r="I605" s="24" t="s">
        <v>122</v>
      </c>
    </row>
    <row r="606" spans="1:9" x14ac:dyDescent="0.3">
      <c r="A606" s="18">
        <v>10939</v>
      </c>
      <c r="B606" s="19" t="s">
        <v>115</v>
      </c>
      <c r="C606" s="19" t="s">
        <v>8</v>
      </c>
      <c r="D606" s="20">
        <v>39514</v>
      </c>
      <c r="E606" s="21">
        <v>2008</v>
      </c>
      <c r="F606" s="22">
        <v>3</v>
      </c>
      <c r="G606" s="19" t="s">
        <v>28</v>
      </c>
      <c r="H606" s="23">
        <v>76000</v>
      </c>
      <c r="I606" s="24" t="s">
        <v>116</v>
      </c>
    </row>
    <row r="607" spans="1:9" x14ac:dyDescent="0.3">
      <c r="A607" s="18">
        <v>10938</v>
      </c>
      <c r="B607" s="19" t="s">
        <v>53</v>
      </c>
      <c r="C607" s="19" t="s">
        <v>15</v>
      </c>
      <c r="D607" s="20">
        <v>39514</v>
      </c>
      <c r="E607" s="21">
        <v>2008</v>
      </c>
      <c r="F607" s="22">
        <v>3</v>
      </c>
      <c r="G607" s="19" t="s">
        <v>28</v>
      </c>
      <c r="H607" s="23">
        <v>32000</v>
      </c>
      <c r="I607" s="24" t="s">
        <v>54</v>
      </c>
    </row>
    <row r="608" spans="1:9" x14ac:dyDescent="0.3">
      <c r="A608" s="18">
        <v>10941</v>
      </c>
      <c r="B608" s="19" t="s">
        <v>83</v>
      </c>
      <c r="C608" s="19" t="s">
        <v>13</v>
      </c>
      <c r="D608" s="20">
        <v>39515</v>
      </c>
      <c r="E608" s="21">
        <v>2008</v>
      </c>
      <c r="F608" s="22">
        <v>3</v>
      </c>
      <c r="G608" s="19" t="s">
        <v>28</v>
      </c>
      <c r="H608" s="23">
        <v>401000</v>
      </c>
      <c r="I608" s="24" t="s">
        <v>84</v>
      </c>
    </row>
    <row r="609" spans="1:9" x14ac:dyDescent="0.3">
      <c r="A609" s="18">
        <v>10943</v>
      </c>
      <c r="B609" s="19" t="s">
        <v>63</v>
      </c>
      <c r="C609" s="19" t="s">
        <v>16</v>
      </c>
      <c r="D609" s="20">
        <v>39515</v>
      </c>
      <c r="E609" s="21">
        <v>2008</v>
      </c>
      <c r="F609" s="22">
        <v>3</v>
      </c>
      <c r="G609" s="19" t="s">
        <v>28</v>
      </c>
      <c r="H609" s="23">
        <v>2000</v>
      </c>
      <c r="I609" s="24" t="s">
        <v>64</v>
      </c>
    </row>
    <row r="610" spans="1:9" x14ac:dyDescent="0.3">
      <c r="A610" s="18">
        <v>10946</v>
      </c>
      <c r="B610" s="19" t="s">
        <v>59</v>
      </c>
      <c r="C610" s="19" t="s">
        <v>9</v>
      </c>
      <c r="D610" s="20">
        <v>39516</v>
      </c>
      <c r="E610" s="21">
        <v>2008</v>
      </c>
      <c r="F610" s="22">
        <v>3</v>
      </c>
      <c r="G610" s="19" t="s">
        <v>28</v>
      </c>
      <c r="H610" s="23">
        <v>27000</v>
      </c>
      <c r="I610" s="24" t="s">
        <v>60</v>
      </c>
    </row>
    <row r="611" spans="1:9" x14ac:dyDescent="0.3">
      <c r="A611" s="18">
        <v>10947</v>
      </c>
      <c r="B611" s="19" t="s">
        <v>63</v>
      </c>
      <c r="C611" s="19" t="s">
        <v>15</v>
      </c>
      <c r="D611" s="20">
        <v>39517</v>
      </c>
      <c r="E611" s="21">
        <v>2008</v>
      </c>
      <c r="F611" s="22">
        <v>3</v>
      </c>
      <c r="G611" s="19" t="s">
        <v>28</v>
      </c>
      <c r="H611" s="23">
        <v>3000</v>
      </c>
      <c r="I611" s="24" t="s">
        <v>64</v>
      </c>
    </row>
    <row r="612" spans="1:9" x14ac:dyDescent="0.3">
      <c r="A612" s="18">
        <v>10951</v>
      </c>
      <c r="B612" s="19" t="s">
        <v>34</v>
      </c>
      <c r="C612" s="19" t="s">
        <v>14</v>
      </c>
      <c r="D612" s="20">
        <v>39520</v>
      </c>
      <c r="E612" s="21">
        <v>2008</v>
      </c>
      <c r="F612" s="22">
        <v>3</v>
      </c>
      <c r="G612" s="19" t="s">
        <v>28</v>
      </c>
      <c r="H612" s="23">
        <v>31000</v>
      </c>
      <c r="I612" s="24" t="s">
        <v>35</v>
      </c>
    </row>
    <row r="613" spans="1:9" x14ac:dyDescent="0.3">
      <c r="A613" s="18">
        <v>10953</v>
      </c>
      <c r="B613" s="19" t="s">
        <v>127</v>
      </c>
      <c r="C613" s="19" t="s">
        <v>14</v>
      </c>
      <c r="D613" s="20">
        <v>39520</v>
      </c>
      <c r="E613" s="21">
        <v>2008</v>
      </c>
      <c r="F613" s="22">
        <v>3</v>
      </c>
      <c r="G613" s="19" t="s">
        <v>28</v>
      </c>
      <c r="H613" s="23">
        <v>24000</v>
      </c>
      <c r="I613" s="24" t="s">
        <v>128</v>
      </c>
    </row>
    <row r="614" spans="1:9" x14ac:dyDescent="0.3">
      <c r="A614" s="18">
        <v>10950</v>
      </c>
      <c r="B614" s="19" t="s">
        <v>115</v>
      </c>
      <c r="C614" s="19" t="s">
        <v>9</v>
      </c>
      <c r="D614" s="20">
        <v>39520</v>
      </c>
      <c r="E614" s="21">
        <v>2008</v>
      </c>
      <c r="F614" s="22">
        <v>3</v>
      </c>
      <c r="G614" s="19" t="s">
        <v>28</v>
      </c>
      <c r="H614" s="23">
        <v>3000</v>
      </c>
      <c r="I614" s="24" t="s">
        <v>116</v>
      </c>
    </row>
    <row r="615" spans="1:9" x14ac:dyDescent="0.3">
      <c r="A615" s="18">
        <v>10956</v>
      </c>
      <c r="B615" s="19" t="s">
        <v>79</v>
      </c>
      <c r="C615" s="19" t="s">
        <v>10</v>
      </c>
      <c r="D615" s="20">
        <v>39521</v>
      </c>
      <c r="E615" s="21">
        <v>2008</v>
      </c>
      <c r="F615" s="22">
        <v>3</v>
      </c>
      <c r="G615" s="19" t="s">
        <v>28</v>
      </c>
      <c r="H615" s="23">
        <v>45000</v>
      </c>
      <c r="I615" s="24" t="s">
        <v>80</v>
      </c>
    </row>
    <row r="616" spans="1:9" x14ac:dyDescent="0.3">
      <c r="A616" s="18">
        <v>10955</v>
      </c>
      <c r="B616" s="19" t="s">
        <v>163</v>
      </c>
      <c r="C616" s="19" t="s">
        <v>11</v>
      </c>
      <c r="D616" s="20">
        <v>39521</v>
      </c>
      <c r="E616" s="21">
        <v>2008</v>
      </c>
      <c r="F616" s="22">
        <v>3</v>
      </c>
      <c r="G616" s="19" t="s">
        <v>28</v>
      </c>
      <c r="H616" s="23">
        <v>3000</v>
      </c>
      <c r="I616" s="24" t="s">
        <v>164</v>
      </c>
    </row>
    <row r="617" spans="1:9" x14ac:dyDescent="0.3">
      <c r="A617" s="18">
        <v>10958</v>
      </c>
      <c r="B617" s="19" t="s">
        <v>178</v>
      </c>
      <c r="C617" s="19" t="s">
        <v>13</v>
      </c>
      <c r="D617" s="20">
        <v>39522</v>
      </c>
      <c r="E617" s="21">
        <v>2008</v>
      </c>
      <c r="F617" s="22">
        <v>3</v>
      </c>
      <c r="G617" s="19" t="s">
        <v>28</v>
      </c>
      <c r="H617" s="23">
        <v>50000</v>
      </c>
      <c r="I617" s="24" t="s">
        <v>179</v>
      </c>
    </row>
    <row r="618" spans="1:9" x14ac:dyDescent="0.3">
      <c r="A618" s="18">
        <v>10959</v>
      </c>
      <c r="B618" s="19" t="s">
        <v>47</v>
      </c>
      <c r="C618" s="19" t="s">
        <v>10</v>
      </c>
      <c r="D618" s="20">
        <v>39522</v>
      </c>
      <c r="E618" s="21">
        <v>2008</v>
      </c>
      <c r="F618" s="22">
        <v>3</v>
      </c>
      <c r="G618" s="19" t="s">
        <v>28</v>
      </c>
      <c r="H618" s="23">
        <v>5000</v>
      </c>
      <c r="I618" s="24" t="s">
        <v>48</v>
      </c>
    </row>
    <row r="619" spans="1:9" x14ac:dyDescent="0.3">
      <c r="A619" s="18">
        <v>10962</v>
      </c>
      <c r="B619" s="19" t="s">
        <v>53</v>
      </c>
      <c r="C619" s="19" t="s">
        <v>11</v>
      </c>
      <c r="D619" s="20">
        <v>39523</v>
      </c>
      <c r="E619" s="21">
        <v>2008</v>
      </c>
      <c r="F619" s="22">
        <v>3</v>
      </c>
      <c r="G619" s="19" t="s">
        <v>28</v>
      </c>
      <c r="H619" s="23">
        <v>276000</v>
      </c>
      <c r="I619" s="24" t="s">
        <v>54</v>
      </c>
    </row>
    <row r="620" spans="1:9" x14ac:dyDescent="0.3">
      <c r="A620" s="18">
        <v>10964</v>
      </c>
      <c r="B620" s="19" t="s">
        <v>153</v>
      </c>
      <c r="C620" s="19" t="s">
        <v>15</v>
      </c>
      <c r="D620" s="20">
        <v>39524</v>
      </c>
      <c r="E620" s="21">
        <v>2008</v>
      </c>
      <c r="F620" s="22">
        <v>3</v>
      </c>
      <c r="G620" s="19" t="s">
        <v>28</v>
      </c>
      <c r="H620" s="23">
        <v>87000</v>
      </c>
      <c r="I620" s="24" t="s">
        <v>154</v>
      </c>
    </row>
    <row r="621" spans="1:9" x14ac:dyDescent="0.3">
      <c r="A621" s="18">
        <v>10967</v>
      </c>
      <c r="B621" s="19" t="s">
        <v>184</v>
      </c>
      <c r="C621" s="19" t="s">
        <v>8</v>
      </c>
      <c r="D621" s="20">
        <v>39527</v>
      </c>
      <c r="E621" s="21">
        <v>2008</v>
      </c>
      <c r="F621" s="22">
        <v>3</v>
      </c>
      <c r="G621" s="19" t="s">
        <v>28</v>
      </c>
      <c r="H621" s="23">
        <v>62000</v>
      </c>
      <c r="I621" s="24" t="s">
        <v>185</v>
      </c>
    </row>
    <row r="622" spans="1:9" x14ac:dyDescent="0.3">
      <c r="A622" s="18">
        <v>10971</v>
      </c>
      <c r="B622" s="19" t="s">
        <v>149</v>
      </c>
      <c r="C622" s="19" t="s">
        <v>8</v>
      </c>
      <c r="D622" s="20">
        <v>39528</v>
      </c>
      <c r="E622" s="21">
        <v>2008</v>
      </c>
      <c r="F622" s="22">
        <v>3</v>
      </c>
      <c r="G622" s="19" t="s">
        <v>28</v>
      </c>
      <c r="H622" s="23">
        <v>122000</v>
      </c>
      <c r="I622" s="24" t="s">
        <v>150</v>
      </c>
    </row>
    <row r="623" spans="1:9" x14ac:dyDescent="0.3">
      <c r="A623" s="18">
        <v>10973</v>
      </c>
      <c r="B623" s="19" t="s">
        <v>196</v>
      </c>
      <c r="C623" s="19" t="s">
        <v>10</v>
      </c>
      <c r="D623" s="20">
        <v>39528</v>
      </c>
      <c r="E623" s="21">
        <v>2008</v>
      </c>
      <c r="F623" s="22">
        <v>3</v>
      </c>
      <c r="G623" s="19" t="s">
        <v>28</v>
      </c>
      <c r="H623" s="23">
        <v>15000</v>
      </c>
      <c r="I623" s="24" t="s">
        <v>197</v>
      </c>
    </row>
    <row r="624" spans="1:9" x14ac:dyDescent="0.3">
      <c r="A624" s="18">
        <v>10979</v>
      </c>
      <c r="B624" s="19" t="s">
        <v>38</v>
      </c>
      <c r="C624" s="19" t="s">
        <v>11</v>
      </c>
      <c r="D624" s="20">
        <v>39530</v>
      </c>
      <c r="E624" s="21">
        <v>2008</v>
      </c>
      <c r="F624" s="22">
        <v>3</v>
      </c>
      <c r="G624" s="19" t="s">
        <v>28</v>
      </c>
      <c r="H624" s="23">
        <v>353000</v>
      </c>
      <c r="I624" s="24" t="s">
        <v>40</v>
      </c>
    </row>
    <row r="625" spans="1:9" x14ac:dyDescent="0.3">
      <c r="A625" s="18">
        <v>10978</v>
      </c>
      <c r="B625" s="19" t="s">
        <v>119</v>
      </c>
      <c r="C625" s="19" t="s">
        <v>14</v>
      </c>
      <c r="D625" s="20">
        <v>39530</v>
      </c>
      <c r="E625" s="21">
        <v>2008</v>
      </c>
      <c r="F625" s="22">
        <v>3</v>
      </c>
      <c r="G625" s="19" t="s">
        <v>28</v>
      </c>
      <c r="H625" s="23">
        <v>33000</v>
      </c>
      <c r="I625" s="24" t="s">
        <v>120</v>
      </c>
    </row>
    <row r="626" spans="1:9" x14ac:dyDescent="0.3">
      <c r="A626" s="18">
        <v>10983</v>
      </c>
      <c r="B626" s="19" t="s">
        <v>83</v>
      </c>
      <c r="C626" s="19" t="s">
        <v>8</v>
      </c>
      <c r="D626" s="20">
        <v>39531</v>
      </c>
      <c r="E626" s="21">
        <v>2008</v>
      </c>
      <c r="F626" s="22">
        <v>3</v>
      </c>
      <c r="G626" s="19" t="s">
        <v>28</v>
      </c>
      <c r="H626" s="23">
        <v>658000</v>
      </c>
      <c r="I626" s="24" t="s">
        <v>84</v>
      </c>
    </row>
    <row r="627" spans="1:9" x14ac:dyDescent="0.3">
      <c r="A627" s="18">
        <v>10981</v>
      </c>
      <c r="B627" s="19" t="s">
        <v>135</v>
      </c>
      <c r="C627" s="19" t="s">
        <v>9</v>
      </c>
      <c r="D627" s="20">
        <v>39531</v>
      </c>
      <c r="E627" s="21">
        <v>2008</v>
      </c>
      <c r="F627" s="22">
        <v>3</v>
      </c>
      <c r="G627" s="19" t="s">
        <v>28</v>
      </c>
      <c r="H627" s="23">
        <v>193000</v>
      </c>
      <c r="I627" s="24" t="s">
        <v>136</v>
      </c>
    </row>
    <row r="628" spans="1:9" x14ac:dyDescent="0.3">
      <c r="A628" s="18">
        <v>10986</v>
      </c>
      <c r="B628" s="19" t="s">
        <v>178</v>
      </c>
      <c r="C628" s="19" t="s">
        <v>11</v>
      </c>
      <c r="D628" s="20">
        <v>39534</v>
      </c>
      <c r="E628" s="21">
        <v>2008</v>
      </c>
      <c r="F628" s="22">
        <v>3</v>
      </c>
      <c r="G628" s="19" t="s">
        <v>28</v>
      </c>
      <c r="H628" s="23">
        <v>218000</v>
      </c>
      <c r="I628" s="24" t="s">
        <v>179</v>
      </c>
    </row>
    <row r="629" spans="1:9" x14ac:dyDescent="0.3">
      <c r="A629" s="18">
        <v>10988</v>
      </c>
      <c r="B629" s="19" t="s">
        <v>71</v>
      </c>
      <c r="C629" s="19" t="s">
        <v>15</v>
      </c>
      <c r="D629" s="20">
        <v>39535</v>
      </c>
      <c r="E629" s="21">
        <v>2008</v>
      </c>
      <c r="F629" s="22">
        <v>3</v>
      </c>
      <c r="G629" s="19" t="s">
        <v>28</v>
      </c>
      <c r="H629" s="23">
        <v>61000</v>
      </c>
      <c r="I629" s="24" t="s">
        <v>72</v>
      </c>
    </row>
    <row r="630" spans="1:9" x14ac:dyDescent="0.3">
      <c r="A630" s="18">
        <v>10996</v>
      </c>
      <c r="B630" s="19" t="s">
        <v>53</v>
      </c>
      <c r="C630" s="19" t="s">
        <v>16</v>
      </c>
      <c r="D630" s="20">
        <v>39537</v>
      </c>
      <c r="E630" s="21">
        <v>2008</v>
      </c>
      <c r="F630" s="22">
        <v>3</v>
      </c>
      <c r="G630" s="19" t="s">
        <v>28</v>
      </c>
      <c r="H630" s="23">
        <v>1000</v>
      </c>
      <c r="I630" s="24" t="s">
        <v>54</v>
      </c>
    </row>
    <row r="631" spans="1:9" x14ac:dyDescent="0.3">
      <c r="A631" s="18">
        <v>10999</v>
      </c>
      <c r="B631" s="19" t="s">
        <v>27</v>
      </c>
      <c r="C631" s="19" t="s">
        <v>10</v>
      </c>
      <c r="D631" s="20">
        <v>39538</v>
      </c>
      <c r="E631" s="21">
        <v>2008</v>
      </c>
      <c r="F631" s="22">
        <v>3</v>
      </c>
      <c r="G631" s="19" t="s">
        <v>28</v>
      </c>
      <c r="H631" s="23">
        <v>96000</v>
      </c>
      <c r="I631" s="24" t="s">
        <v>29</v>
      </c>
    </row>
    <row r="632" spans="1:9" x14ac:dyDescent="0.3">
      <c r="A632" s="18">
        <v>10997</v>
      </c>
      <c r="B632" s="19" t="s">
        <v>57</v>
      </c>
      <c r="C632" s="19" t="s">
        <v>11</v>
      </c>
      <c r="D632" s="20">
        <v>39538</v>
      </c>
      <c r="E632" s="21">
        <v>2008</v>
      </c>
      <c r="F632" s="22">
        <v>3</v>
      </c>
      <c r="G632" s="19" t="s">
        <v>28</v>
      </c>
      <c r="H632" s="23">
        <v>74000</v>
      </c>
      <c r="I632" s="24" t="s">
        <v>58</v>
      </c>
    </row>
    <row r="633" spans="1:9" x14ac:dyDescent="0.3">
      <c r="A633" s="18">
        <v>10998</v>
      </c>
      <c r="B633" s="19" t="s">
        <v>141</v>
      </c>
      <c r="C633" s="19" t="s">
        <v>11</v>
      </c>
      <c r="D633" s="20">
        <v>39538</v>
      </c>
      <c r="E633" s="21">
        <v>2008</v>
      </c>
      <c r="F633" s="22">
        <v>3</v>
      </c>
      <c r="G633" s="19" t="s">
        <v>28</v>
      </c>
      <c r="H633" s="23">
        <v>20000</v>
      </c>
      <c r="I633" s="24" t="s">
        <v>142</v>
      </c>
    </row>
    <row r="634" spans="1:9" x14ac:dyDescent="0.3">
      <c r="A634" s="18">
        <v>11001</v>
      </c>
      <c r="B634" s="19" t="s">
        <v>163</v>
      </c>
      <c r="C634" s="19" t="s">
        <v>8</v>
      </c>
      <c r="D634" s="20">
        <v>39541</v>
      </c>
      <c r="E634" s="21">
        <v>2008</v>
      </c>
      <c r="F634" s="22">
        <v>4</v>
      </c>
      <c r="G634" s="19" t="s">
        <v>28</v>
      </c>
      <c r="H634" s="23">
        <v>197000</v>
      </c>
      <c r="I634" s="24" t="s">
        <v>164</v>
      </c>
    </row>
    <row r="635" spans="1:9" x14ac:dyDescent="0.3">
      <c r="A635" s="18">
        <v>11006</v>
      </c>
      <c r="B635" s="19" t="s">
        <v>121</v>
      </c>
      <c r="C635" s="19" t="s">
        <v>15</v>
      </c>
      <c r="D635" s="20">
        <v>39542</v>
      </c>
      <c r="E635" s="21">
        <v>2008</v>
      </c>
      <c r="F635" s="22">
        <v>4</v>
      </c>
      <c r="G635" s="19" t="s">
        <v>28</v>
      </c>
      <c r="H635" s="23">
        <v>25000</v>
      </c>
      <c r="I635" s="24" t="s">
        <v>122</v>
      </c>
    </row>
    <row r="636" spans="1:9" x14ac:dyDescent="0.3">
      <c r="A636" s="18">
        <v>11007</v>
      </c>
      <c r="B636" s="19" t="s">
        <v>49</v>
      </c>
      <c r="C636" s="19" t="s">
        <v>11</v>
      </c>
      <c r="D636" s="20">
        <v>39543</v>
      </c>
      <c r="E636" s="21">
        <v>2008</v>
      </c>
      <c r="F636" s="22">
        <v>4</v>
      </c>
      <c r="G636" s="19" t="s">
        <v>28</v>
      </c>
      <c r="H636" s="23">
        <v>202000</v>
      </c>
      <c r="I636" s="24" t="s">
        <v>50</v>
      </c>
    </row>
    <row r="637" spans="1:9" x14ac:dyDescent="0.3">
      <c r="A637" s="18">
        <v>11010</v>
      </c>
      <c r="B637" s="19" t="s">
        <v>159</v>
      </c>
      <c r="C637" s="19" t="s">
        <v>8</v>
      </c>
      <c r="D637" s="20">
        <v>39544</v>
      </c>
      <c r="E637" s="21">
        <v>2008</v>
      </c>
      <c r="F637" s="22">
        <v>4</v>
      </c>
      <c r="G637" s="19" t="s">
        <v>28</v>
      </c>
      <c r="H637" s="23">
        <v>29000</v>
      </c>
      <c r="I637" s="24" t="s">
        <v>160</v>
      </c>
    </row>
    <row r="638" spans="1:9" x14ac:dyDescent="0.3">
      <c r="A638" s="18">
        <v>11016</v>
      </c>
      <c r="B638" s="19" t="s">
        <v>127</v>
      </c>
      <c r="C638" s="19" t="s">
        <v>14</v>
      </c>
      <c r="D638" s="20">
        <v>39545</v>
      </c>
      <c r="E638" s="21">
        <v>2008</v>
      </c>
      <c r="F638" s="22">
        <v>4</v>
      </c>
      <c r="G638" s="19" t="s">
        <v>28</v>
      </c>
      <c r="H638" s="23">
        <v>34000</v>
      </c>
      <c r="I638" s="24" t="s">
        <v>128</v>
      </c>
    </row>
    <row r="639" spans="1:9" x14ac:dyDescent="0.3">
      <c r="A639" s="18">
        <v>11015</v>
      </c>
      <c r="B639" s="19" t="s">
        <v>117</v>
      </c>
      <c r="C639" s="19" t="s">
        <v>8</v>
      </c>
      <c r="D639" s="20">
        <v>39545</v>
      </c>
      <c r="E639" s="21">
        <v>2008</v>
      </c>
      <c r="F639" s="22">
        <v>4</v>
      </c>
      <c r="G639" s="19" t="s">
        <v>28</v>
      </c>
      <c r="H639" s="23">
        <v>5000</v>
      </c>
      <c r="I639" s="24" t="s">
        <v>118</v>
      </c>
    </row>
    <row r="640" spans="1:9" x14ac:dyDescent="0.3">
      <c r="A640" s="18">
        <v>11017</v>
      </c>
      <c r="B640" s="19" t="s">
        <v>38</v>
      </c>
      <c r="C640" s="19" t="s">
        <v>14</v>
      </c>
      <c r="D640" s="20">
        <v>39548</v>
      </c>
      <c r="E640" s="21">
        <v>2008</v>
      </c>
      <c r="F640" s="22">
        <v>4</v>
      </c>
      <c r="G640" s="19" t="s">
        <v>28</v>
      </c>
      <c r="H640" s="23">
        <v>754000</v>
      </c>
      <c r="I640" s="24" t="s">
        <v>40</v>
      </c>
    </row>
    <row r="641" spans="1:9" x14ac:dyDescent="0.3">
      <c r="A641" s="18">
        <v>11018</v>
      </c>
      <c r="B641" s="19" t="s">
        <v>151</v>
      </c>
      <c r="C641" s="19" t="s">
        <v>16</v>
      </c>
      <c r="D641" s="20">
        <v>39548</v>
      </c>
      <c r="E641" s="21">
        <v>2008</v>
      </c>
      <c r="F641" s="22">
        <v>4</v>
      </c>
      <c r="G641" s="19" t="s">
        <v>28</v>
      </c>
      <c r="H641" s="23">
        <v>12000</v>
      </c>
      <c r="I641" s="24" t="s">
        <v>152</v>
      </c>
    </row>
    <row r="642" spans="1:9" x14ac:dyDescent="0.3">
      <c r="A642" s="18">
        <v>11023</v>
      </c>
      <c r="B642" s="19" t="s">
        <v>63</v>
      </c>
      <c r="C642" s="19" t="s">
        <v>9</v>
      </c>
      <c r="D642" s="20">
        <v>39549</v>
      </c>
      <c r="E642" s="21">
        <v>2008</v>
      </c>
      <c r="F642" s="22">
        <v>4</v>
      </c>
      <c r="G642" s="19" t="s">
        <v>28</v>
      </c>
      <c r="H642" s="23">
        <v>124000</v>
      </c>
      <c r="I642" s="24" t="s">
        <v>64</v>
      </c>
    </row>
    <row r="643" spans="1:9" x14ac:dyDescent="0.3">
      <c r="A643" s="18">
        <v>11020</v>
      </c>
      <c r="B643" s="19" t="s">
        <v>27</v>
      </c>
      <c r="C643" s="19" t="s">
        <v>8</v>
      </c>
      <c r="D643" s="20">
        <v>39549</v>
      </c>
      <c r="E643" s="21">
        <v>2008</v>
      </c>
      <c r="F643" s="22">
        <v>4</v>
      </c>
      <c r="G643" s="19" t="s">
        <v>28</v>
      </c>
      <c r="H643" s="23">
        <v>43000</v>
      </c>
      <c r="I643" s="24" t="s">
        <v>29</v>
      </c>
    </row>
    <row r="644" spans="1:9" x14ac:dyDescent="0.3">
      <c r="A644" s="18">
        <v>11022</v>
      </c>
      <c r="B644" s="19" t="s">
        <v>135</v>
      </c>
      <c r="C644" s="19" t="s">
        <v>14</v>
      </c>
      <c r="D644" s="20">
        <v>39549</v>
      </c>
      <c r="E644" s="21">
        <v>2008</v>
      </c>
      <c r="F644" s="22">
        <v>4</v>
      </c>
      <c r="G644" s="19" t="s">
        <v>28</v>
      </c>
      <c r="H644" s="23">
        <v>6000</v>
      </c>
      <c r="I644" s="24" t="s">
        <v>136</v>
      </c>
    </row>
    <row r="645" spans="1:9" x14ac:dyDescent="0.3">
      <c r="A645" s="18">
        <v>11030</v>
      </c>
      <c r="B645" s="19" t="s">
        <v>83</v>
      </c>
      <c r="C645" s="19" t="s">
        <v>13</v>
      </c>
      <c r="D645" s="20">
        <v>39552</v>
      </c>
      <c r="E645" s="21">
        <v>2008</v>
      </c>
      <c r="F645" s="22">
        <v>4</v>
      </c>
      <c r="G645" s="19" t="s">
        <v>28</v>
      </c>
      <c r="H645" s="23">
        <v>831000</v>
      </c>
      <c r="I645" s="24" t="s">
        <v>84</v>
      </c>
    </row>
    <row r="646" spans="1:9" x14ac:dyDescent="0.3">
      <c r="A646" s="18">
        <v>11031</v>
      </c>
      <c r="B646" s="19" t="s">
        <v>83</v>
      </c>
      <c r="C646" s="19" t="s">
        <v>10</v>
      </c>
      <c r="D646" s="20">
        <v>39552</v>
      </c>
      <c r="E646" s="21">
        <v>2008</v>
      </c>
      <c r="F646" s="22">
        <v>4</v>
      </c>
      <c r="G646" s="19" t="s">
        <v>28</v>
      </c>
      <c r="H646" s="23">
        <v>227000</v>
      </c>
      <c r="I646" s="24" t="s">
        <v>84</v>
      </c>
    </row>
    <row r="647" spans="1:9" x14ac:dyDescent="0.3">
      <c r="A647" s="18">
        <v>11039</v>
      </c>
      <c r="B647" s="19" t="s">
        <v>129</v>
      </c>
      <c r="C647" s="19" t="s">
        <v>9</v>
      </c>
      <c r="D647" s="20">
        <v>39556</v>
      </c>
      <c r="E647" s="21">
        <v>2008</v>
      </c>
      <c r="F647" s="22">
        <v>4</v>
      </c>
      <c r="G647" s="19" t="s">
        <v>28</v>
      </c>
      <c r="H647" s="23">
        <v>65000</v>
      </c>
      <c r="I647" s="24" t="s">
        <v>130</v>
      </c>
    </row>
    <row r="648" spans="1:9" x14ac:dyDescent="0.3">
      <c r="A648" s="18">
        <v>11038</v>
      </c>
      <c r="B648" s="19" t="s">
        <v>55</v>
      </c>
      <c r="C648" s="19" t="s">
        <v>9</v>
      </c>
      <c r="D648" s="20">
        <v>39556</v>
      </c>
      <c r="E648" s="21">
        <v>2008</v>
      </c>
      <c r="F648" s="22">
        <v>4</v>
      </c>
      <c r="G648" s="19" t="s">
        <v>28</v>
      </c>
      <c r="H648" s="23">
        <v>30000</v>
      </c>
      <c r="I648" s="24" t="s">
        <v>56</v>
      </c>
    </row>
    <row r="649" spans="1:9" x14ac:dyDescent="0.3">
      <c r="A649" s="18">
        <v>11041</v>
      </c>
      <c r="B649" s="19" t="s">
        <v>91</v>
      </c>
      <c r="C649" s="19" t="s">
        <v>15</v>
      </c>
      <c r="D649" s="20">
        <v>39557</v>
      </c>
      <c r="E649" s="21">
        <v>2008</v>
      </c>
      <c r="F649" s="22">
        <v>4</v>
      </c>
      <c r="G649" s="19" t="s">
        <v>28</v>
      </c>
      <c r="H649" s="23">
        <v>48000</v>
      </c>
      <c r="I649" s="24" t="s">
        <v>92</v>
      </c>
    </row>
    <row r="650" spans="1:9" x14ac:dyDescent="0.3">
      <c r="A650" s="18">
        <v>11043</v>
      </c>
      <c r="B650" s="19" t="s">
        <v>153</v>
      </c>
      <c r="C650" s="19" t="s">
        <v>12</v>
      </c>
      <c r="D650" s="20">
        <v>39557</v>
      </c>
      <c r="E650" s="21">
        <v>2008</v>
      </c>
      <c r="F650" s="22">
        <v>4</v>
      </c>
      <c r="G650" s="19" t="s">
        <v>28</v>
      </c>
      <c r="H650" s="23">
        <v>9000</v>
      </c>
      <c r="I650" s="24" t="s">
        <v>154</v>
      </c>
    </row>
    <row r="651" spans="1:9" x14ac:dyDescent="0.3">
      <c r="A651" s="18">
        <v>11046</v>
      </c>
      <c r="B651" s="19" t="s">
        <v>190</v>
      </c>
      <c r="C651" s="19" t="s">
        <v>11</v>
      </c>
      <c r="D651" s="20">
        <v>39558</v>
      </c>
      <c r="E651" s="21">
        <v>2008</v>
      </c>
      <c r="F651" s="22">
        <v>4</v>
      </c>
      <c r="G651" s="19" t="s">
        <v>28</v>
      </c>
      <c r="H651" s="23">
        <v>72000</v>
      </c>
      <c r="I651" s="24" t="s">
        <v>191</v>
      </c>
    </row>
    <row r="652" spans="1:9" x14ac:dyDescent="0.3">
      <c r="A652" s="18">
        <v>11045</v>
      </c>
      <c r="B652" s="19" t="s">
        <v>41</v>
      </c>
      <c r="C652" s="19" t="s">
        <v>10</v>
      </c>
      <c r="D652" s="20">
        <v>39558</v>
      </c>
      <c r="E652" s="21">
        <v>2008</v>
      </c>
      <c r="F652" s="22">
        <v>4</v>
      </c>
      <c r="G652" s="19" t="s">
        <v>28</v>
      </c>
      <c r="H652" s="23">
        <v>71000</v>
      </c>
      <c r="I652" s="24" t="s">
        <v>42</v>
      </c>
    </row>
    <row r="653" spans="1:9" x14ac:dyDescent="0.3">
      <c r="A653" s="18">
        <v>11050</v>
      </c>
      <c r="B653" s="19" t="s">
        <v>163</v>
      </c>
      <c r="C653" s="19" t="s">
        <v>11</v>
      </c>
      <c r="D653" s="20">
        <v>39562</v>
      </c>
      <c r="E653" s="21">
        <v>2008</v>
      </c>
      <c r="F653" s="22">
        <v>4</v>
      </c>
      <c r="G653" s="19" t="s">
        <v>28</v>
      </c>
      <c r="H653" s="23">
        <v>59000</v>
      </c>
      <c r="I653" s="24" t="s">
        <v>164</v>
      </c>
    </row>
    <row r="654" spans="1:9" x14ac:dyDescent="0.3">
      <c r="A654" s="18">
        <v>11053</v>
      </c>
      <c r="B654" s="19" t="s">
        <v>103</v>
      </c>
      <c r="C654" s="19" t="s">
        <v>8</v>
      </c>
      <c r="D654" s="20">
        <v>39562</v>
      </c>
      <c r="E654" s="21">
        <v>2008</v>
      </c>
      <c r="F654" s="22">
        <v>4</v>
      </c>
      <c r="G654" s="19" t="s">
        <v>28</v>
      </c>
      <c r="H654" s="23">
        <v>53000</v>
      </c>
      <c r="I654" s="24" t="s">
        <v>104</v>
      </c>
    </row>
    <row r="655" spans="1:9" x14ac:dyDescent="0.3">
      <c r="A655" s="18">
        <v>11056</v>
      </c>
      <c r="B655" s="19" t="s">
        <v>93</v>
      </c>
      <c r="C655" s="19" t="s">
        <v>11</v>
      </c>
      <c r="D655" s="20">
        <v>39563</v>
      </c>
      <c r="E655" s="21">
        <v>2008</v>
      </c>
      <c r="F655" s="22">
        <v>4</v>
      </c>
      <c r="G655" s="19" t="s">
        <v>28</v>
      </c>
      <c r="H655" s="23">
        <v>279000</v>
      </c>
      <c r="I655" s="24" t="s">
        <v>94</v>
      </c>
    </row>
    <row r="656" spans="1:9" x14ac:dyDescent="0.3">
      <c r="A656" s="18">
        <v>11055</v>
      </c>
      <c r="B656" s="19" t="s">
        <v>67</v>
      </c>
      <c r="C656" s="19" t="s">
        <v>13</v>
      </c>
      <c r="D656" s="20">
        <v>39563</v>
      </c>
      <c r="E656" s="21">
        <v>2008</v>
      </c>
      <c r="F656" s="22">
        <v>4</v>
      </c>
      <c r="G656" s="19" t="s">
        <v>28</v>
      </c>
      <c r="H656" s="23">
        <v>121000</v>
      </c>
      <c r="I656" s="24" t="s">
        <v>68</v>
      </c>
    </row>
    <row r="657" spans="1:9" x14ac:dyDescent="0.3">
      <c r="A657" s="18">
        <v>11059</v>
      </c>
      <c r="B657" s="19" t="s">
        <v>109</v>
      </c>
      <c r="C657" s="19" t="s">
        <v>8</v>
      </c>
      <c r="D657" s="20">
        <v>39564</v>
      </c>
      <c r="E657" s="21">
        <v>2008</v>
      </c>
      <c r="F657" s="22">
        <v>4</v>
      </c>
      <c r="G657" s="19" t="s">
        <v>28</v>
      </c>
      <c r="H657" s="23">
        <v>86000</v>
      </c>
      <c r="I657" s="24" t="s">
        <v>110</v>
      </c>
    </row>
    <row r="658" spans="1:9" x14ac:dyDescent="0.3">
      <c r="A658" s="18">
        <v>11063</v>
      </c>
      <c r="B658" s="19" t="s">
        <v>87</v>
      </c>
      <c r="C658" s="19" t="s">
        <v>15</v>
      </c>
      <c r="D658" s="20">
        <v>39565</v>
      </c>
      <c r="E658" s="21">
        <v>2008</v>
      </c>
      <c r="F658" s="22">
        <v>4</v>
      </c>
      <c r="G658" s="19" t="s">
        <v>28</v>
      </c>
      <c r="H658" s="23">
        <v>82000</v>
      </c>
      <c r="I658" s="24" t="s">
        <v>88</v>
      </c>
    </row>
    <row r="659" spans="1:9" x14ac:dyDescent="0.3">
      <c r="A659" s="18">
        <v>11062</v>
      </c>
      <c r="B659" s="19" t="s">
        <v>159</v>
      </c>
      <c r="C659" s="19" t="s">
        <v>16</v>
      </c>
      <c r="D659" s="20">
        <v>39565</v>
      </c>
      <c r="E659" s="21">
        <v>2008</v>
      </c>
      <c r="F659" s="22">
        <v>4</v>
      </c>
      <c r="G659" s="19" t="s">
        <v>28</v>
      </c>
      <c r="H659" s="23">
        <v>30000</v>
      </c>
      <c r="I659" s="24" t="s">
        <v>160</v>
      </c>
    </row>
    <row r="660" spans="1:9" x14ac:dyDescent="0.3">
      <c r="A660" s="18">
        <v>11060</v>
      </c>
      <c r="B660" s="19" t="s">
        <v>182</v>
      </c>
      <c r="C660" s="19" t="s">
        <v>8</v>
      </c>
      <c r="D660" s="20">
        <v>39565</v>
      </c>
      <c r="E660" s="21">
        <v>2008</v>
      </c>
      <c r="F660" s="22">
        <v>4</v>
      </c>
      <c r="G660" s="19" t="s">
        <v>28</v>
      </c>
      <c r="H660" s="23">
        <v>11000</v>
      </c>
      <c r="I660" s="24" t="s">
        <v>183</v>
      </c>
    </row>
    <row r="661" spans="1:9" x14ac:dyDescent="0.3">
      <c r="A661" s="18">
        <v>11066</v>
      </c>
      <c r="B661" s="19" t="s">
        <v>81</v>
      </c>
      <c r="C661" s="19" t="s">
        <v>13</v>
      </c>
      <c r="D661" s="20">
        <v>39566</v>
      </c>
      <c r="E661" s="21">
        <v>2008</v>
      </c>
      <c r="F661" s="22">
        <v>4</v>
      </c>
      <c r="G661" s="19" t="s">
        <v>28</v>
      </c>
      <c r="H661" s="23">
        <v>45000</v>
      </c>
      <c r="I661" s="24" t="s">
        <v>82</v>
      </c>
    </row>
    <row r="662" spans="1:9" x14ac:dyDescent="0.3">
      <c r="A662" s="18">
        <v>11068</v>
      </c>
      <c r="B662" s="19" t="s">
        <v>176</v>
      </c>
      <c r="C662" s="19" t="s">
        <v>11</v>
      </c>
      <c r="D662" s="20">
        <v>39569</v>
      </c>
      <c r="E662" s="21">
        <v>2008</v>
      </c>
      <c r="F662" s="22">
        <v>5</v>
      </c>
      <c r="G662" s="19" t="s">
        <v>28</v>
      </c>
      <c r="H662" s="23">
        <v>82000</v>
      </c>
      <c r="I662" s="24" t="s">
        <v>177</v>
      </c>
    </row>
    <row r="663" spans="1:9" x14ac:dyDescent="0.3">
      <c r="A663" s="18">
        <v>11069</v>
      </c>
      <c r="B663" s="19" t="s">
        <v>101</v>
      </c>
      <c r="C663" s="19" t="s">
        <v>9</v>
      </c>
      <c r="D663" s="20">
        <v>39569</v>
      </c>
      <c r="E663" s="21">
        <v>2008</v>
      </c>
      <c r="F663" s="22">
        <v>5</v>
      </c>
      <c r="G663" s="19" t="s">
        <v>28</v>
      </c>
      <c r="H663" s="23">
        <v>16000</v>
      </c>
      <c r="I663" s="24" t="s">
        <v>102</v>
      </c>
    </row>
    <row r="664" spans="1:9" x14ac:dyDescent="0.3">
      <c r="A664" s="18">
        <v>11067</v>
      </c>
      <c r="B664" s="19" t="s">
        <v>173</v>
      </c>
      <c r="C664" s="19" t="s">
        <v>9</v>
      </c>
      <c r="D664" s="20">
        <v>39569</v>
      </c>
      <c r="E664" s="21">
        <v>2008</v>
      </c>
      <c r="F664" s="22">
        <v>5</v>
      </c>
      <c r="G664" s="19" t="s">
        <v>28</v>
      </c>
      <c r="H664" s="23">
        <v>8000</v>
      </c>
      <c r="I664" s="24" t="s">
        <v>174</v>
      </c>
    </row>
    <row r="665" spans="1:9" x14ac:dyDescent="0.3">
      <c r="A665" s="18">
        <v>11072</v>
      </c>
      <c r="B665" s="19" t="s">
        <v>38</v>
      </c>
      <c r="C665" s="19" t="s">
        <v>16</v>
      </c>
      <c r="D665" s="20">
        <v>39570</v>
      </c>
      <c r="E665" s="21">
        <v>2008</v>
      </c>
      <c r="F665" s="22">
        <v>5</v>
      </c>
      <c r="G665" s="19" t="s">
        <v>28</v>
      </c>
      <c r="H665" s="23">
        <v>259000</v>
      </c>
      <c r="I665" s="24" t="s">
        <v>40</v>
      </c>
    </row>
    <row r="666" spans="1:9" x14ac:dyDescent="0.3">
      <c r="A666" s="18">
        <v>11073</v>
      </c>
      <c r="B666" s="19" t="s">
        <v>165</v>
      </c>
      <c r="C666" s="19" t="s">
        <v>8</v>
      </c>
      <c r="D666" s="20">
        <v>39570</v>
      </c>
      <c r="E666" s="21">
        <v>2008</v>
      </c>
      <c r="F666" s="22">
        <v>5</v>
      </c>
      <c r="G666" s="19" t="s">
        <v>28</v>
      </c>
      <c r="H666" s="23">
        <v>25000</v>
      </c>
      <c r="I666" s="24" t="s">
        <v>166</v>
      </c>
    </row>
    <row r="667" spans="1:9" x14ac:dyDescent="0.3">
      <c r="A667" s="18">
        <v>11076</v>
      </c>
      <c r="B667" s="19" t="s">
        <v>85</v>
      </c>
      <c r="C667" s="19" t="s">
        <v>16</v>
      </c>
      <c r="D667" s="20">
        <v>39571</v>
      </c>
      <c r="E667" s="21">
        <v>2008</v>
      </c>
      <c r="F667" s="22">
        <v>5</v>
      </c>
      <c r="G667" s="19" t="s">
        <v>28</v>
      </c>
      <c r="H667" s="23">
        <v>38000</v>
      </c>
      <c r="I667" s="24" t="s">
        <v>86</v>
      </c>
    </row>
    <row r="668" spans="1:9" x14ac:dyDescent="0.3">
      <c r="A668" s="18">
        <v>11074</v>
      </c>
      <c r="B668" s="19" t="s">
        <v>45</v>
      </c>
      <c r="C668" s="19" t="s">
        <v>13</v>
      </c>
      <c r="D668" s="20">
        <v>39571</v>
      </c>
      <c r="E668" s="21">
        <v>2008</v>
      </c>
      <c r="F668" s="22">
        <v>5</v>
      </c>
      <c r="G668" s="19" t="s">
        <v>28</v>
      </c>
      <c r="H668" s="23">
        <v>18000</v>
      </c>
      <c r="I668" s="24" t="s">
        <v>46</v>
      </c>
    </row>
    <row r="669" spans="1:9" x14ac:dyDescent="0.3">
      <c r="A669" s="25">
        <v>11077</v>
      </c>
      <c r="B669" s="26" t="s">
        <v>71</v>
      </c>
      <c r="C669" s="26" t="s">
        <v>9</v>
      </c>
      <c r="D669" s="26">
        <v>39571</v>
      </c>
      <c r="E669" s="26">
        <v>2008</v>
      </c>
      <c r="F669" s="26">
        <v>5</v>
      </c>
      <c r="G669" s="26" t="s">
        <v>28</v>
      </c>
      <c r="H669" s="26">
        <v>9000</v>
      </c>
      <c r="I669" s="27" t="s">
        <v>72</v>
      </c>
    </row>
    <row r="670" spans="1:9" x14ac:dyDescent="0.3">
      <c r="A670" s="25">
        <v>11075</v>
      </c>
      <c r="B670" s="26" t="s">
        <v>34</v>
      </c>
      <c r="C670" s="26" t="s">
        <v>11</v>
      </c>
      <c r="D670" s="26">
        <v>39571</v>
      </c>
      <c r="E670" s="26">
        <v>2008</v>
      </c>
      <c r="F670" s="26">
        <v>5</v>
      </c>
      <c r="G670" s="26" t="s">
        <v>28</v>
      </c>
      <c r="H670" s="26">
        <v>6000</v>
      </c>
      <c r="I670" s="27" t="s">
        <v>35</v>
      </c>
    </row>
  </sheetData>
  <mergeCells count="1">
    <mergeCell ref="A1:I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D9" sqref="D9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통계</vt:lpstr>
      <vt:lpstr>수하물통계</vt:lpstr>
      <vt:lpstr>Sheet1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2014-05-17T17:52:51Z</dcterms:modified>
  <cp:category>엑셀 매크로</cp:category>
</cp:coreProperties>
</file>