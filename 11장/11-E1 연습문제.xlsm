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통계" sheetId="2" r:id="rId1"/>
    <sheet name="수하물통계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3" l="1"/>
  <c r="E8" i="3"/>
  <c r="F7" i="3"/>
  <c r="E7" i="3"/>
  <c r="D19" i="2" s="1"/>
  <c r="F6" i="3"/>
  <c r="E6" i="3"/>
  <c r="D18" i="2" s="1"/>
  <c r="F5" i="3"/>
  <c r="E5" i="3"/>
  <c r="F4" i="3"/>
  <c r="E4" i="3"/>
  <c r="D17" i="2"/>
  <c r="C17" i="2"/>
  <c r="D16" i="2"/>
  <c r="C16" i="2"/>
  <c r="D15" i="2"/>
  <c r="C15" i="2"/>
  <c r="D13" i="2"/>
  <c r="C13" i="2"/>
  <c r="D12" i="2"/>
  <c r="C12" i="2"/>
  <c r="D11" i="2"/>
  <c r="C11" i="2"/>
  <c r="C14" i="2" l="1"/>
  <c r="C18" i="2"/>
  <c r="D14" i="2"/>
  <c r="C19" i="2"/>
  <c r="D20" i="2" l="1"/>
  <c r="F14" i="2" s="1"/>
  <c r="C20" i="2"/>
  <c r="E14" i="2" l="1"/>
  <c r="E13" i="2"/>
  <c r="E18" i="2"/>
  <c r="E16" i="2"/>
  <c r="E15" i="2"/>
  <c r="E11" i="2"/>
  <c r="E12" i="2"/>
  <c r="E17" i="2"/>
  <c r="F17" i="2"/>
  <c r="F15" i="2"/>
  <c r="F13" i="2"/>
  <c r="F11" i="2"/>
  <c r="F16" i="2"/>
  <c r="F12" i="2"/>
  <c r="F18" i="2"/>
  <c r="F19" i="2"/>
  <c r="E19" i="2"/>
  <c r="E20" i="2" l="1"/>
  <c r="F20" i="2"/>
</calcChain>
</file>

<file path=xl/sharedStrings.xml><?xml version="1.0" encoding="utf-8"?>
<sst xmlns="http://schemas.openxmlformats.org/spreadsheetml/2006/main" count="48" uniqueCount="38">
  <si>
    <t>월별 발송 및 운임 요약</t>
    <phoneticPr fontId="1" type="noConversion"/>
  </si>
  <si>
    <t>배송연도</t>
    <phoneticPr fontId="1" type="noConversion"/>
  </si>
  <si>
    <t>배송월</t>
    <phoneticPr fontId="1" type="noConversion"/>
  </si>
  <si>
    <t>직원</t>
  </si>
  <si>
    <t>발송회수</t>
    <phoneticPr fontId="1" type="noConversion"/>
  </si>
  <si>
    <t>운임합계</t>
    <phoneticPr fontId="1" type="noConversion"/>
  </si>
  <si>
    <t>발송비율</t>
    <phoneticPr fontId="1" type="noConversion"/>
  </si>
  <si>
    <t>운임비율</t>
    <phoneticPr fontId="1" type="noConversion"/>
  </si>
  <si>
    <t>김덕훈</t>
  </si>
  <si>
    <t>김소미</t>
  </si>
  <si>
    <t>김찬진</t>
  </si>
  <si>
    <t>선하라</t>
  </si>
  <si>
    <t>안정훈</t>
  </si>
  <si>
    <t>오영수</t>
  </si>
  <si>
    <t>유가을</t>
  </si>
  <si>
    <t>윤대현</t>
  </si>
  <si>
    <t>최소라</t>
  </si>
  <si>
    <t>합계</t>
    <phoneticPr fontId="1" type="noConversion"/>
  </si>
  <si>
    <t>배송일지(총괄)</t>
    <phoneticPr fontId="1" type="noConversion"/>
  </si>
  <si>
    <t>주문 번호</t>
  </si>
  <si>
    <t>고객</t>
  </si>
  <si>
    <t>배송일</t>
    <phoneticPr fontId="1" type="noConversion"/>
  </si>
  <si>
    <t>연도</t>
    <phoneticPr fontId="1" type="noConversion"/>
  </si>
  <si>
    <t>월</t>
    <phoneticPr fontId="1" type="noConversion"/>
  </si>
  <si>
    <t>업체</t>
    <phoneticPr fontId="1" type="noConversion"/>
  </si>
  <si>
    <t>운임</t>
  </si>
  <si>
    <t>배송지</t>
    <phoneticPr fontId="1" type="noConversion"/>
  </si>
  <si>
    <t>삼선 무역</t>
  </si>
  <si>
    <t>한일 특급</t>
  </si>
  <si>
    <t>호계동 11</t>
  </si>
  <si>
    <t>이화 무역</t>
  </si>
  <si>
    <t>야탑동 77</t>
  </si>
  <si>
    <t>조선 무역</t>
  </si>
  <si>
    <t>동구 자양동 34-16</t>
  </si>
  <si>
    <t>한남 상사</t>
  </si>
  <si>
    <t>서대문구 창천동 167-3</t>
  </si>
  <si>
    <t>장미 백화점</t>
  </si>
  <si>
    <t>경현동 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</si>
</sst>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0.0%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6"/>
      <color theme="3"/>
      <name val="맑은 고딕"/>
      <family val="2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6"/>
      <color theme="3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theme="7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</borders>
  <cellStyleXfs count="4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76" fontId="9" fillId="0" borderId="2" xfId="1" applyFont="1" applyBorder="1">
      <alignment vertical="center"/>
    </xf>
    <xf numFmtId="177" fontId="9" fillId="0" borderId="2" xfId="2" applyNumberFormat="1" applyFont="1" applyBorder="1">
      <alignment vertical="center"/>
    </xf>
    <xf numFmtId="0" fontId="9" fillId="4" borderId="2" xfId="0" applyFont="1" applyFill="1" applyBorder="1" applyAlignment="1">
      <alignment horizontal="center" vertical="center"/>
    </xf>
    <xf numFmtId="176" fontId="9" fillId="4" borderId="2" xfId="1" applyFont="1" applyFill="1" applyBorder="1">
      <alignment vertical="center"/>
    </xf>
    <xf numFmtId="9" fontId="9" fillId="4" borderId="2" xfId="2" applyFont="1" applyFill="1" applyBorder="1">
      <alignment vertical="center"/>
    </xf>
    <xf numFmtId="14" fontId="0" fillId="0" borderId="0" xfId="0" applyNumberFormat="1">
      <alignment vertical="center"/>
    </xf>
    <xf numFmtId="176" fontId="0" fillId="0" borderId="0" xfId="1" applyFo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3" fillId="3" borderId="4" xfId="0" applyNumberFormat="1" applyFont="1" applyFill="1" applyBorder="1" applyAlignment="1">
      <alignment horizontal="center" vertical="center"/>
    </xf>
    <xf numFmtId="176" fontId="3" fillId="3" borderId="4" xfId="1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14" fontId="0" fillId="0" borderId="7" xfId="0" applyNumberFormat="1" applyFont="1" applyBorder="1">
      <alignment vertical="center"/>
    </xf>
    <xf numFmtId="0" fontId="0" fillId="0" borderId="7" xfId="1" applyNumberFormat="1" applyFont="1" applyBorder="1" applyAlignment="1">
      <alignment horizontal="center" vertical="center"/>
    </xf>
    <xf numFmtId="0" fontId="0" fillId="0" borderId="7" xfId="0" applyNumberFormat="1" applyFont="1" applyBorder="1" applyAlignment="1">
      <alignment horizontal="center" vertical="center"/>
    </xf>
    <xf numFmtId="176" fontId="0" fillId="0" borderId="7" xfId="1" applyNumberFormat="1" applyFont="1" applyBorder="1">
      <alignment vertical="center"/>
    </xf>
    <xf numFmtId="0" fontId="0" fillId="0" borderId="8" xfId="0" applyFont="1" applyBorder="1">
      <alignment vertical="center"/>
    </xf>
    <xf numFmtId="0" fontId="5" fillId="2" borderId="1" xfId="3" applyFont="1" applyFill="1" applyBorder="1" applyAlignment="1">
      <alignment horizontal="center" vertical="center"/>
    </xf>
    <xf numFmtId="0" fontId="10" fillId="0" borderId="0" xfId="3" applyFont="1" applyAlignment="1">
      <alignment horizontal="distributed" vertical="center" indent="14"/>
    </xf>
    <xf numFmtId="0" fontId="5" fillId="0" borderId="0" xfId="3" applyFont="1" applyAlignment="1">
      <alignment horizontal="distributed" vertical="center" indent="14"/>
    </xf>
  </cellXfs>
  <cellStyles count="4">
    <cellStyle name="백분율" xfId="2" builtinId="5"/>
    <cellStyle name="쉼표 [0]" xfId="1" builtinId="6"/>
    <cellStyle name="제목 5" xf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발송회수 및 운임합계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운임합계</c:v>
          </c:tx>
          <c:invertIfNegative val="0"/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통계!$D$11:$D$19</c:f>
              <c:numCache>
                <c:formatCode>_(* #,##0_);_(* \(#,##0\);_(* "-"_);_(@_)</c:formatCode>
                <c:ptCount val="9"/>
                <c:pt idx="0">
                  <c:v>91000</c:v>
                </c:pt>
                <c:pt idx="1">
                  <c:v>0</c:v>
                </c:pt>
                <c:pt idx="2">
                  <c:v>0</c:v>
                </c:pt>
                <c:pt idx="3">
                  <c:v>4000</c:v>
                </c:pt>
                <c:pt idx="4">
                  <c:v>0</c:v>
                </c:pt>
                <c:pt idx="5">
                  <c:v>371000</c:v>
                </c:pt>
                <c:pt idx="6">
                  <c:v>0</c:v>
                </c:pt>
                <c:pt idx="7">
                  <c:v>96000</c:v>
                </c:pt>
                <c:pt idx="8">
                  <c:v>137000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1287448"/>
        <c:axId val="551287840"/>
      </c:barChart>
      <c:lineChart>
        <c:grouping val="standard"/>
        <c:varyColors val="0"/>
        <c:ser>
          <c:idx val="0"/>
          <c:order val="0"/>
          <c:tx>
            <c:v>발송회수</c:v>
          </c:tx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통계!$C$11:$C$19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88624"/>
        <c:axId val="551288232"/>
      </c:lineChart>
      <c:catAx>
        <c:axId val="551287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287840"/>
        <c:crosses val="autoZero"/>
        <c:auto val="1"/>
        <c:lblAlgn val="ctr"/>
        <c:lblOffset val="100"/>
        <c:noMultiLvlLbl val="0"/>
      </c:catAx>
      <c:valAx>
        <c:axId val="55128784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551287448"/>
        <c:crosses val="autoZero"/>
        <c:crossBetween val="between"/>
        <c:dispUnits>
          <c:builtInUnit val="thousands"/>
          <c:dispUnitsLbl/>
        </c:dispUnits>
      </c:valAx>
      <c:valAx>
        <c:axId val="551288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51288624"/>
        <c:crosses val="max"/>
        <c:crossBetween val="between"/>
      </c:valAx>
      <c:catAx>
        <c:axId val="55128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1288232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운임합계 비율</a:t>
            </a:r>
          </a:p>
        </c:rich>
      </c:tx>
      <c:overlay val="0"/>
    </c:title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통계!$D$11:$D$19</c:f>
              <c:numCache>
                <c:formatCode>_(* #,##0_);_(* \(#,##0\);_(* "-"_);_(@_)</c:formatCode>
                <c:ptCount val="9"/>
                <c:pt idx="0">
                  <c:v>91000</c:v>
                </c:pt>
                <c:pt idx="1">
                  <c:v>0</c:v>
                </c:pt>
                <c:pt idx="2">
                  <c:v>0</c:v>
                </c:pt>
                <c:pt idx="3">
                  <c:v>4000</c:v>
                </c:pt>
                <c:pt idx="4">
                  <c:v>0</c:v>
                </c:pt>
                <c:pt idx="5">
                  <c:v>371000</c:v>
                </c:pt>
                <c:pt idx="6">
                  <c:v>0</c:v>
                </c:pt>
                <c:pt idx="7">
                  <c:v>96000</c:v>
                </c:pt>
                <c:pt idx="8">
                  <c:v>137000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발송회수 및 운임합계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운임합계</c:v>
          </c:tx>
          <c:invertIfNegative val="0"/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통계!$D$11:$D$19</c:f>
              <c:numCache>
                <c:formatCode>_(* #,##0_);_(* \(#,##0\);_(* "-"_);_(@_)</c:formatCode>
                <c:ptCount val="9"/>
                <c:pt idx="0">
                  <c:v>91000</c:v>
                </c:pt>
                <c:pt idx="1">
                  <c:v>0</c:v>
                </c:pt>
                <c:pt idx="2">
                  <c:v>0</c:v>
                </c:pt>
                <c:pt idx="3">
                  <c:v>4000</c:v>
                </c:pt>
                <c:pt idx="4">
                  <c:v>0</c:v>
                </c:pt>
                <c:pt idx="5">
                  <c:v>371000</c:v>
                </c:pt>
                <c:pt idx="6">
                  <c:v>0</c:v>
                </c:pt>
                <c:pt idx="7">
                  <c:v>96000</c:v>
                </c:pt>
                <c:pt idx="8">
                  <c:v>137000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231672"/>
        <c:axId val="581232064"/>
      </c:barChart>
      <c:lineChart>
        <c:grouping val="standard"/>
        <c:varyColors val="0"/>
        <c:ser>
          <c:idx val="0"/>
          <c:order val="0"/>
          <c:tx>
            <c:v>발송회수</c:v>
          </c:tx>
          <c:cat>
            <c:strRef>
              <c:f>통계!$B$11:$B$19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통계!$C$11:$C$19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235232"/>
        <c:axId val="581232456"/>
      </c:lineChart>
      <c:catAx>
        <c:axId val="581231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1232064"/>
        <c:crosses val="autoZero"/>
        <c:auto val="1"/>
        <c:lblAlgn val="ctr"/>
        <c:lblOffset val="100"/>
        <c:noMultiLvlLbl val="0"/>
      </c:catAx>
      <c:valAx>
        <c:axId val="581232064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581231672"/>
        <c:crosses val="autoZero"/>
        <c:crossBetween val="between"/>
        <c:dispUnits>
          <c:builtInUnit val="thousands"/>
          <c:dispUnitsLbl/>
        </c:dispUnits>
      </c:valAx>
      <c:valAx>
        <c:axId val="581232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34235232"/>
        <c:crosses val="max"/>
        <c:crossBetween val="between"/>
      </c:valAx>
      <c:catAx>
        <c:axId val="534235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1232456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16" fmlaLink="$C$4" max="2020" min="2006" page="10" val="2014"/>
</file>

<file path=xl/ctrlProps/ctrlProp6.xml><?xml version="1.0" encoding="utf-8"?>
<formControlPr xmlns="http://schemas.microsoft.com/office/spreadsheetml/2009/9/main" objectType="Spin" dx="16" fmlaLink="$E$4" max="12" min="1" page="1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</xdr:row>
          <xdr:rowOff>76200</xdr:rowOff>
        </xdr:from>
        <xdr:to>
          <xdr:col>1</xdr:col>
          <xdr:colOff>895350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취합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942975</xdr:colOff>
          <xdr:row>5</xdr:row>
          <xdr:rowOff>76200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막대차트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5</xdr:row>
          <xdr:rowOff>76200</xdr:rowOff>
        </xdr:from>
        <xdr:to>
          <xdr:col>4</xdr:col>
          <xdr:colOff>752475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PT자료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5</xdr:row>
          <xdr:rowOff>76200</xdr:rowOff>
        </xdr:from>
        <xdr:to>
          <xdr:col>5</xdr:col>
          <xdr:colOff>704850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안내문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247650</xdr:rowOff>
        </xdr:from>
        <xdr:to>
          <xdr:col>3</xdr:col>
          <xdr:colOff>219075</xdr:colOff>
          <xdr:row>4</xdr:row>
          <xdr:rowOff>9525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733425</xdr:colOff>
          <xdr:row>2</xdr:row>
          <xdr:rowOff>247650</xdr:rowOff>
        </xdr:from>
        <xdr:to>
          <xdr:col>5</xdr:col>
          <xdr:colOff>123825</xdr:colOff>
          <xdr:row>4</xdr:row>
          <xdr:rowOff>9525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5</xdr:row>
          <xdr:rowOff>76200</xdr:rowOff>
        </xdr:from>
        <xdr:to>
          <xdr:col>3</xdr:col>
          <xdr:colOff>904875</xdr:colOff>
          <xdr:row>7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원차트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5</xdr:row>
          <xdr:rowOff>76200</xdr:rowOff>
        </xdr:from>
        <xdr:to>
          <xdr:col>7</xdr:col>
          <xdr:colOff>314325</xdr:colOff>
          <xdr:row>7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차트지우기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0</xdr:rowOff>
    </xdr:from>
    <xdr:to>
      <xdr:col>6</xdr:col>
      <xdr:colOff>0</xdr:colOff>
      <xdr:row>36</xdr:row>
      <xdr:rowOff>0</xdr:rowOff>
    </xdr:to>
    <xdr:graphicFrame macro="">
      <xdr:nvGraphicFramePr>
        <xdr:cNvPr id="2" name="cht운임합계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13</xdr:col>
      <xdr:colOff>161925</xdr:colOff>
      <xdr:row>36</xdr:row>
      <xdr:rowOff>0</xdr:rowOff>
    </xdr:to>
    <xdr:graphicFrame macro="">
      <xdr:nvGraphicFramePr>
        <xdr:cNvPr id="3" name="cht운임비율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6</xdr:col>
      <xdr:colOff>0</xdr:colOff>
      <xdr:row>36</xdr:row>
      <xdr:rowOff>0</xdr:rowOff>
    </xdr:to>
    <xdr:graphicFrame macro="">
      <xdr:nvGraphicFramePr>
        <xdr:cNvPr id="4" name="cht운임합계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20"/>
  <sheetViews>
    <sheetView showGridLines="0" tabSelected="1" workbookViewId="0">
      <selection activeCell="G4" sqref="G4"/>
    </sheetView>
  </sheetViews>
  <sheetFormatPr defaultRowHeight="16.5" x14ac:dyDescent="0.3"/>
  <cols>
    <col min="1" max="1" width="1.75" customWidth="1"/>
    <col min="2" max="2" width="12.625" customWidth="1"/>
    <col min="3" max="3" width="10.75" customWidth="1"/>
    <col min="4" max="4" width="13.875" bestFit="1" customWidth="1"/>
    <col min="5" max="6" width="12.375" customWidth="1"/>
    <col min="7" max="7" width="4.625" customWidth="1"/>
    <col min="8" max="8" width="10.25" customWidth="1"/>
  </cols>
  <sheetData>
    <row r="1" spans="2:6" ht="9.75" customHeight="1" x14ac:dyDescent="0.3"/>
    <row r="2" spans="2:6" ht="27" thickBot="1" x14ac:dyDescent="0.35">
      <c r="B2" s="25" t="s">
        <v>0</v>
      </c>
      <c r="C2" s="25"/>
      <c r="D2" s="25"/>
      <c r="E2" s="25"/>
      <c r="F2" s="25"/>
    </row>
    <row r="3" spans="2:6" ht="20.25" customHeight="1" x14ac:dyDescent="0.3"/>
    <row r="4" spans="2:6" ht="24" customHeight="1" x14ac:dyDescent="0.3">
      <c r="B4" s="1" t="s">
        <v>1</v>
      </c>
      <c r="C4" s="2">
        <v>2014</v>
      </c>
      <c r="D4" s="1" t="s">
        <v>2</v>
      </c>
      <c r="E4" s="2">
        <v>1</v>
      </c>
    </row>
    <row r="10" spans="2:6" ht="17.25" x14ac:dyDescent="0.3">
      <c r="B10" s="3" t="s">
        <v>3</v>
      </c>
      <c r="C10" s="4" t="s">
        <v>4</v>
      </c>
      <c r="D10" s="4" t="s">
        <v>5</v>
      </c>
      <c r="E10" s="4" t="s">
        <v>6</v>
      </c>
      <c r="F10" s="4" t="s">
        <v>7</v>
      </c>
    </row>
    <row r="11" spans="2:6" ht="17.25" x14ac:dyDescent="0.3">
      <c r="B11" s="5" t="s">
        <v>8</v>
      </c>
      <c r="C11" s="5">
        <f>COUNTIFS(수하물통계!$C:$C,통계!B11,수하물통계!$E:$E,$C$4,수하물통계!$F:$F,$E$4)</f>
        <v>1</v>
      </c>
      <c r="D11" s="6">
        <f>SUMIFS(수하물통계!$H:$H,수하물통계!$C:$C,통계!B11,수하물통계!$E:$E,$C$4,수하물통계!$F:$F,$E$4)</f>
        <v>91000</v>
      </c>
      <c r="E11" s="7">
        <f t="shared" ref="E11:E19" si="0">C11/$C$20</f>
        <v>0.2</v>
      </c>
      <c r="F11" s="7">
        <f t="shared" ref="F11:F19" si="1">D11/$D$20</f>
        <v>0.1301859799713877</v>
      </c>
    </row>
    <row r="12" spans="2:6" ht="17.25" x14ac:dyDescent="0.3">
      <c r="B12" s="5" t="s">
        <v>9</v>
      </c>
      <c r="C12" s="5">
        <f>COUNTIFS(수하물통계!$C:$C,통계!B12,수하물통계!$E:$E,$C$4,수하물통계!$F:$F,$E$4)</f>
        <v>0</v>
      </c>
      <c r="D12" s="6">
        <f>SUMIFS(수하물통계!$H:$H,수하물통계!$C:$C,통계!B12,수하물통계!$E:$E,$C$4,수하물통계!$F:$F,$E$4)</f>
        <v>0</v>
      </c>
      <c r="E12" s="7">
        <f t="shared" si="0"/>
        <v>0</v>
      </c>
      <c r="F12" s="7">
        <f t="shared" si="1"/>
        <v>0</v>
      </c>
    </row>
    <row r="13" spans="2:6" ht="17.25" x14ac:dyDescent="0.3">
      <c r="B13" s="5" t="s">
        <v>10</v>
      </c>
      <c r="C13" s="5">
        <f>COUNTIFS(수하물통계!$C:$C,통계!B13,수하물통계!$E:$E,$C$4,수하물통계!$F:$F,$E$4)</f>
        <v>0</v>
      </c>
      <c r="D13" s="6">
        <f>SUMIFS(수하물통계!$H:$H,수하물통계!$C:$C,통계!B13,수하물통계!$E:$E,$C$4,수하물통계!$F:$F,$E$4)</f>
        <v>0</v>
      </c>
      <c r="E13" s="7">
        <f t="shared" si="0"/>
        <v>0</v>
      </c>
      <c r="F13" s="7">
        <f t="shared" si="1"/>
        <v>0</v>
      </c>
    </row>
    <row r="14" spans="2:6" ht="17.25" x14ac:dyDescent="0.3">
      <c r="B14" s="5" t="s">
        <v>11</v>
      </c>
      <c r="C14" s="5">
        <f>COUNTIFS(수하물통계!$C:$C,통계!B14,수하물통계!$E:$E,$C$4,수하물통계!$F:$F,$E$4)</f>
        <v>1</v>
      </c>
      <c r="D14" s="6">
        <f>SUMIFS(수하물통계!$H:$H,수하물통계!$C:$C,통계!B14,수하물통계!$E:$E,$C$4,수하물통계!$F:$F,$E$4)</f>
        <v>4000</v>
      </c>
      <c r="E14" s="7">
        <f t="shared" si="0"/>
        <v>0.2</v>
      </c>
      <c r="F14" s="7">
        <f t="shared" si="1"/>
        <v>5.7224606580829757E-3</v>
      </c>
    </row>
    <row r="15" spans="2:6" ht="17.25" x14ac:dyDescent="0.3">
      <c r="B15" s="5" t="s">
        <v>12</v>
      </c>
      <c r="C15" s="5">
        <f>COUNTIFS(수하물통계!$C:$C,통계!B15,수하물통계!$E:$E,$C$4,수하물통계!$F:$F,$E$4)</f>
        <v>0</v>
      </c>
      <c r="D15" s="6">
        <f>SUMIFS(수하물통계!$H:$H,수하물통계!$C:$C,통계!B15,수하물통계!$E:$E,$C$4,수하물통계!$F:$F,$E$4)</f>
        <v>0</v>
      </c>
      <c r="E15" s="7">
        <f t="shared" si="0"/>
        <v>0</v>
      </c>
      <c r="F15" s="7">
        <f t="shared" si="1"/>
        <v>0</v>
      </c>
    </row>
    <row r="16" spans="2:6" ht="17.25" x14ac:dyDescent="0.3">
      <c r="B16" s="5" t="s">
        <v>13</v>
      </c>
      <c r="C16" s="5">
        <f>COUNTIFS(수하물통계!$C:$C,통계!B16,수하물통계!$E:$E,$C$4,수하물통계!$F:$F,$E$4)</f>
        <v>1</v>
      </c>
      <c r="D16" s="6">
        <f>SUMIFS(수하물통계!$H:$H,수하물통계!$C:$C,통계!B16,수하물통계!$E:$E,$C$4,수하물통계!$F:$F,$E$4)</f>
        <v>371000</v>
      </c>
      <c r="E16" s="7">
        <f t="shared" si="0"/>
        <v>0.2</v>
      </c>
      <c r="F16" s="7">
        <f t="shared" si="1"/>
        <v>0.53075822603719602</v>
      </c>
    </row>
    <row r="17" spans="2:6" ht="17.25" x14ac:dyDescent="0.3">
      <c r="B17" s="5" t="s">
        <v>14</v>
      </c>
      <c r="C17" s="5">
        <f>COUNTIFS(수하물통계!$C:$C,통계!B17,수하물통계!$E:$E,$C$4,수하물통계!$F:$F,$E$4)</f>
        <v>0</v>
      </c>
      <c r="D17" s="6">
        <f>SUMIFS(수하물통계!$H:$H,수하물통계!$C:$C,통계!B17,수하물통계!$E:$E,$C$4,수하물통계!$F:$F,$E$4)</f>
        <v>0</v>
      </c>
      <c r="E17" s="7">
        <f t="shared" si="0"/>
        <v>0</v>
      </c>
      <c r="F17" s="7">
        <f t="shared" si="1"/>
        <v>0</v>
      </c>
    </row>
    <row r="18" spans="2:6" ht="17.25" x14ac:dyDescent="0.3">
      <c r="B18" s="5" t="s">
        <v>15</v>
      </c>
      <c r="C18" s="5">
        <f>COUNTIFS(수하물통계!$C:$C,통계!B18,수하물통계!$E:$E,$C$4,수하물통계!$F:$F,$E$4)</f>
        <v>1</v>
      </c>
      <c r="D18" s="6">
        <f>SUMIFS(수하물통계!$H:$H,수하물통계!$C:$C,통계!B18,수하물통계!$E:$E,$C$4,수하물통계!$F:$F,$E$4)</f>
        <v>96000</v>
      </c>
      <c r="E18" s="7">
        <f t="shared" si="0"/>
        <v>0.2</v>
      </c>
      <c r="F18" s="7">
        <f t="shared" si="1"/>
        <v>0.13733905579399142</v>
      </c>
    </row>
    <row r="19" spans="2:6" ht="17.25" x14ac:dyDescent="0.3">
      <c r="B19" s="5" t="s">
        <v>16</v>
      </c>
      <c r="C19" s="5">
        <f>COUNTIFS(수하물통계!$C:$C,통계!B19,수하물통계!$E:$E,$C$4,수하물통계!$F:$F,$E$4)</f>
        <v>1</v>
      </c>
      <c r="D19" s="6">
        <f>SUMIFS(수하물통계!$H:$H,수하물통계!$C:$C,통계!B19,수하물통계!$E:$E,$C$4,수하물통계!$F:$F,$E$4)</f>
        <v>137000</v>
      </c>
      <c r="E19" s="7">
        <f t="shared" si="0"/>
        <v>0.2</v>
      </c>
      <c r="F19" s="7">
        <f t="shared" si="1"/>
        <v>0.19599427753934193</v>
      </c>
    </row>
    <row r="20" spans="2:6" ht="17.25" x14ac:dyDescent="0.3">
      <c r="B20" s="8" t="s">
        <v>17</v>
      </c>
      <c r="C20" s="8">
        <f>SUM(C11:C19)</f>
        <v>5</v>
      </c>
      <c r="D20" s="9">
        <f>SUM(D11:D19)</f>
        <v>699000</v>
      </c>
      <c r="E20" s="10">
        <f>SUM(E11:E19)</f>
        <v>1</v>
      </c>
      <c r="F20" s="10">
        <f>SUM(F11:F19)</f>
        <v>1</v>
      </c>
    </row>
  </sheetData>
  <mergeCells count="1">
    <mergeCell ref="B2:F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</xdr:col>
                    <xdr:colOff>47625</xdr:colOff>
                    <xdr:row>5</xdr:row>
                    <xdr:rowOff>76200</xdr:rowOff>
                  </from>
                  <to>
                    <xdr:col>1</xdr:col>
                    <xdr:colOff>895350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1</xdr:col>
                    <xdr:colOff>942975</xdr:colOff>
                    <xdr:row>5</xdr:row>
                    <xdr:rowOff>76200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</xdr:col>
                    <xdr:colOff>962025</xdr:colOff>
                    <xdr:row>5</xdr:row>
                    <xdr:rowOff>76200</xdr:rowOff>
                  </from>
                  <to>
                    <xdr:col>4</xdr:col>
                    <xdr:colOff>752475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5</xdr:row>
                    <xdr:rowOff>76200</xdr:rowOff>
                  </from>
                  <to>
                    <xdr:col>5</xdr:col>
                    <xdr:colOff>704850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pinner 5">
              <controlPr defaultSize="0" autoPict="0">
                <anchor moveWithCells="1" sizeWithCells="1">
                  <from>
                    <xdr:col>2</xdr:col>
                    <xdr:colOff>704850</xdr:colOff>
                    <xdr:row>2</xdr:row>
                    <xdr:rowOff>247650</xdr:rowOff>
                  </from>
                  <to>
                    <xdr:col>3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6">
              <controlPr defaultSize="0" autoPict="0">
                <anchor moveWithCells="1" sizeWithCells="1">
                  <from>
                    <xdr:col>4</xdr:col>
                    <xdr:colOff>733425</xdr:colOff>
                    <xdr:row>2</xdr:row>
                    <xdr:rowOff>247650</xdr:rowOff>
                  </from>
                  <to>
                    <xdr:col>5</xdr:col>
                    <xdr:colOff>123825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3</xdr:col>
                    <xdr:colOff>57150</xdr:colOff>
                    <xdr:row>5</xdr:row>
                    <xdr:rowOff>76200</xdr:rowOff>
                  </from>
                  <to>
                    <xdr:col>3</xdr:col>
                    <xdr:colOff>904875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5</xdr:col>
                    <xdr:colOff>762000</xdr:colOff>
                    <xdr:row>5</xdr:row>
                    <xdr:rowOff>76200</xdr:rowOff>
                  </from>
                  <to>
                    <xdr:col>7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"/>
  <sheetViews>
    <sheetView showGridLines="0" workbookViewId="0">
      <selection activeCell="E13" sqref="E13"/>
    </sheetView>
  </sheetViews>
  <sheetFormatPr defaultRowHeight="16.5" x14ac:dyDescent="0.3"/>
  <cols>
    <col min="1" max="1" width="10.875" customWidth="1"/>
    <col min="2" max="2" width="15.875" bestFit="1" customWidth="1"/>
    <col min="4" max="4" width="11.125" bestFit="1" customWidth="1"/>
    <col min="5" max="6" width="11.125" customWidth="1"/>
    <col min="7" max="7" width="12.375" bestFit="1" customWidth="1"/>
    <col min="8" max="8" width="10.875" bestFit="1" customWidth="1"/>
    <col min="9" max="9" width="24.75" bestFit="1" customWidth="1"/>
  </cols>
  <sheetData>
    <row r="1" spans="1:9" ht="26.25" x14ac:dyDescent="0.3">
      <c r="A1" s="26" t="s">
        <v>18</v>
      </c>
      <c r="B1" s="27"/>
      <c r="C1" s="27"/>
      <c r="D1" s="27"/>
      <c r="E1" s="27"/>
      <c r="F1" s="27"/>
      <c r="G1" s="27"/>
      <c r="H1" s="27"/>
      <c r="I1" s="27"/>
    </row>
    <row r="2" spans="1:9" x14ac:dyDescent="0.3">
      <c r="D2" s="11"/>
      <c r="E2" s="11"/>
      <c r="F2" s="11"/>
      <c r="H2" s="12"/>
    </row>
    <row r="3" spans="1:9" x14ac:dyDescent="0.3">
      <c r="A3" s="13" t="s">
        <v>19</v>
      </c>
      <c r="B3" s="14" t="s">
        <v>20</v>
      </c>
      <c r="C3" s="14" t="s">
        <v>3</v>
      </c>
      <c r="D3" s="15" t="s">
        <v>21</v>
      </c>
      <c r="E3" s="15" t="s">
        <v>22</v>
      </c>
      <c r="F3" s="15" t="s">
        <v>23</v>
      </c>
      <c r="G3" s="14" t="s">
        <v>24</v>
      </c>
      <c r="H3" s="16" t="s">
        <v>25</v>
      </c>
      <c r="I3" s="17" t="s">
        <v>26</v>
      </c>
    </row>
    <row r="4" spans="1:9" x14ac:dyDescent="0.3">
      <c r="A4" s="18">
        <v>10407</v>
      </c>
      <c r="B4" s="19" t="s">
        <v>27</v>
      </c>
      <c r="C4" s="19" t="s">
        <v>8</v>
      </c>
      <c r="D4" s="20">
        <v>41644</v>
      </c>
      <c r="E4" s="21">
        <f>YEAR(D4)</f>
        <v>2014</v>
      </c>
      <c r="F4" s="22">
        <f>MONTH(D4)</f>
        <v>1</v>
      </c>
      <c r="G4" s="19" t="s">
        <v>28</v>
      </c>
      <c r="H4" s="23">
        <v>91000</v>
      </c>
      <c r="I4" s="24" t="s">
        <v>29</v>
      </c>
    </row>
    <row r="5" spans="1:9" x14ac:dyDescent="0.3">
      <c r="A5" s="18">
        <v>10412</v>
      </c>
      <c r="B5" s="19" t="s">
        <v>30</v>
      </c>
      <c r="C5" s="19" t="s">
        <v>11</v>
      </c>
      <c r="D5" s="20">
        <v>41650</v>
      </c>
      <c r="E5" s="21">
        <f>YEAR(D5)</f>
        <v>2014</v>
      </c>
      <c r="F5" s="22">
        <f>MONTH(D5)</f>
        <v>1</v>
      </c>
      <c r="G5" s="19" t="s">
        <v>28</v>
      </c>
      <c r="H5" s="23">
        <v>4000</v>
      </c>
      <c r="I5" s="24" t="s">
        <v>31</v>
      </c>
    </row>
    <row r="6" spans="1:9" x14ac:dyDescent="0.3">
      <c r="A6" s="18">
        <v>10413</v>
      </c>
      <c r="B6" s="19" t="s">
        <v>32</v>
      </c>
      <c r="C6" s="19" t="s">
        <v>15</v>
      </c>
      <c r="D6" s="20">
        <v>41651</v>
      </c>
      <c r="E6" s="21">
        <f>YEAR(D6)</f>
        <v>2014</v>
      </c>
      <c r="F6" s="22">
        <f>MONTH(D6)</f>
        <v>1</v>
      </c>
      <c r="G6" s="19" t="s">
        <v>28</v>
      </c>
      <c r="H6" s="23">
        <v>96000</v>
      </c>
      <c r="I6" s="24" t="s">
        <v>33</v>
      </c>
    </row>
    <row r="7" spans="1:9" x14ac:dyDescent="0.3">
      <c r="A7" s="18">
        <v>10419</v>
      </c>
      <c r="B7" s="19" t="s">
        <v>34</v>
      </c>
      <c r="C7" s="19" t="s">
        <v>16</v>
      </c>
      <c r="D7" s="20">
        <v>41657</v>
      </c>
      <c r="E7" s="21">
        <f>YEAR(D7)</f>
        <v>2014</v>
      </c>
      <c r="F7" s="22">
        <f>MONTH(D7)</f>
        <v>1</v>
      </c>
      <c r="G7" s="19" t="s">
        <v>28</v>
      </c>
      <c r="H7" s="23">
        <v>137000</v>
      </c>
      <c r="I7" s="24" t="s">
        <v>35</v>
      </c>
    </row>
    <row r="8" spans="1:9" x14ac:dyDescent="0.3">
      <c r="A8" s="18">
        <v>10424</v>
      </c>
      <c r="B8" s="19" t="s">
        <v>36</v>
      </c>
      <c r="C8" s="19" t="s">
        <v>13</v>
      </c>
      <c r="D8" s="20">
        <v>41660</v>
      </c>
      <c r="E8" s="21">
        <f>YEAR(D8)</f>
        <v>2014</v>
      </c>
      <c r="F8" s="22">
        <f>MONTH(D8)</f>
        <v>1</v>
      </c>
      <c r="G8" s="19" t="s">
        <v>28</v>
      </c>
      <c r="H8" s="23">
        <v>371000</v>
      </c>
      <c r="I8" s="24" t="s">
        <v>37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통계</vt:lpstr>
      <vt:lpstr>수하물통계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2014-05-17T17:52:20Z</dcterms:modified>
  <cp:category>엑셀 매크로</cp:category>
</cp:coreProperties>
</file>