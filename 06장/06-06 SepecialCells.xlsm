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6장\"/>
    </mc:Choice>
  </mc:AlternateContent>
  <bookViews>
    <workbookView xWindow="0" yWindow="0" windowWidth="25200" windowHeight="11550" activeTab="1"/>
  </bookViews>
  <sheets>
    <sheet name="8월" sheetId="12" r:id="rId1"/>
    <sheet name="9월" sheetId="15" r:id="rId2"/>
    <sheet name="운임표" sheetId="13" r:id="rId3"/>
  </sheets>
  <definedNames>
    <definedName name="거래처명" localSheetId="1">#REF!</definedName>
    <definedName name="거래처명">#REF!</definedName>
    <definedName name="배송업체" localSheetId="1">#REF!</definedName>
    <definedName name="배송업체">#REF!</definedName>
    <definedName name="영업담당" localSheetId="1">#REF!</definedName>
    <definedName name="영업담당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5" l="1"/>
  <c r="E13" i="15"/>
  <c r="G12" i="15"/>
  <c r="E12" i="15"/>
  <c r="G11" i="15"/>
  <c r="E11" i="15"/>
  <c r="G10" i="15"/>
  <c r="E10" i="15"/>
  <c r="G9" i="15"/>
  <c r="E9" i="15"/>
  <c r="G8" i="15"/>
  <c r="E8" i="15"/>
  <c r="G7" i="15"/>
  <c r="E7" i="15"/>
  <c r="G6" i="15"/>
  <c r="E6" i="15"/>
  <c r="G5" i="15"/>
  <c r="E5" i="15"/>
  <c r="G4" i="15"/>
  <c r="E4" i="15"/>
  <c r="G4" i="12"/>
  <c r="G5" i="12"/>
  <c r="G6" i="12"/>
  <c r="G7" i="12"/>
  <c r="G8" i="12"/>
  <c r="G9" i="12"/>
  <c r="G10" i="12"/>
  <c r="G11" i="12"/>
  <c r="G12" i="12"/>
  <c r="G13" i="12"/>
  <c r="E5" i="12"/>
  <c r="E6" i="12"/>
  <c r="E7" i="12"/>
  <c r="E8" i="12"/>
  <c r="E9" i="12"/>
  <c r="E10" i="12"/>
  <c r="E11" i="12"/>
  <c r="E12" i="12"/>
  <c r="E13" i="12"/>
  <c r="E4" i="12"/>
</calcChain>
</file>

<file path=xl/sharedStrings.xml><?xml version="1.0" encoding="utf-8"?>
<sst xmlns="http://schemas.openxmlformats.org/spreadsheetml/2006/main" count="79" uniqueCount="41">
  <si>
    <t>번호</t>
    <phoneticPr fontId="1" type="noConversion"/>
  </si>
  <si>
    <t>주문일</t>
  </si>
  <si>
    <t>운임</t>
  </si>
  <si>
    <t>배송예정일</t>
    <phoneticPr fontId="1" type="noConversion"/>
  </si>
  <si>
    <t>배송지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</si>
  <si>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</si>
  <si>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</si>
  <si>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</si>
  <si>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강원</t>
    <phoneticPr fontId="1" type="noConversion"/>
  </si>
  <si>
    <t>경상</t>
    <phoneticPr fontId="1" type="noConversion"/>
  </si>
  <si>
    <t>충청</t>
    <phoneticPr fontId="1" type="noConversion"/>
  </si>
  <si>
    <t>제주</t>
    <phoneticPr fontId="1" type="noConversion"/>
  </si>
  <si>
    <t>전라</t>
    <phoneticPr fontId="1" type="noConversion"/>
  </si>
  <si>
    <t>부천</t>
    <phoneticPr fontId="1" type="noConversion"/>
  </si>
  <si>
    <t>운임</t>
    <phoneticPr fontId="1" type="noConversion"/>
  </si>
  <si>
    <t>배송기간</t>
    <phoneticPr fontId="1" type="noConversion"/>
  </si>
  <si>
    <t>경 기</t>
    <phoneticPr fontId="1" type="noConversion"/>
  </si>
  <si>
    <t>주문자</t>
    <phoneticPr fontId="1" type="noConversion"/>
  </si>
  <si>
    <t>주문 현황</t>
    <phoneticPr fontId="1" type="noConversion"/>
  </si>
  <si>
    <t>정유진</t>
    <phoneticPr fontId="1" type="noConversion"/>
  </si>
  <si>
    <t>홍미라</t>
    <phoneticPr fontId="1" type="noConversion"/>
  </si>
  <si>
    <t>김소월</t>
    <phoneticPr fontId="1" type="noConversion"/>
  </si>
  <si>
    <t>이진주</t>
    <phoneticPr fontId="1" type="noConversion"/>
  </si>
  <si>
    <t>고민정</t>
    <phoneticPr fontId="1" type="noConversion"/>
  </si>
  <si>
    <t>백진주</t>
    <phoneticPr fontId="1" type="noConversion"/>
  </si>
  <si>
    <t>오미향</t>
    <phoneticPr fontId="1" type="noConversion"/>
  </si>
  <si>
    <t>주진모</t>
    <phoneticPr fontId="1" type="noConversion"/>
  </si>
  <si>
    <t>길성준</t>
    <phoneticPr fontId="1" type="noConversion"/>
  </si>
  <si>
    <t>나준형</t>
    <phoneticPr fontId="1" type="noConversion"/>
  </si>
  <si>
    <t>결재</t>
    <phoneticPr fontId="1" type="noConversion"/>
  </si>
  <si>
    <t>카드</t>
    <phoneticPr fontId="1" type="noConversion"/>
  </si>
  <si>
    <t>현금</t>
    <phoneticPr fontId="1" type="noConversion"/>
  </si>
  <si>
    <t>상품권</t>
    <phoneticPr fontId="1" type="noConversion"/>
  </si>
  <si>
    <t>마산</t>
    <phoneticPr fontId="1" type="noConversion"/>
  </si>
  <si>
    <t>마진주</t>
    <phoneticPr fontId="1" type="noConversion"/>
  </si>
  <si>
    <t>김경아</t>
    <phoneticPr fontId="1" type="noConversion"/>
  </si>
  <si>
    <t>이소란</t>
    <phoneticPr fontId="1" type="noConversion"/>
  </si>
  <si>
    <t>주민정</t>
    <phoneticPr fontId="1" type="noConversion"/>
  </si>
  <si>
    <t>백진영</t>
    <phoneticPr fontId="1" type="noConversion"/>
  </si>
  <si>
    <t>홍진경</t>
    <phoneticPr fontId="1" type="noConversion"/>
  </si>
  <si>
    <t>이경민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</si>
</sst>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-&quot;₩&quot;* #,##0_-;\-&quot;₩&quot;* #,##0_-;_-&quot;₩&quot;* &quot;-&quot;_-;_-@_-"/>
    <numFmt numFmtId="176" formatCode="_(&quot;₩&quot;* #,##0_);_(&quot;₩&quot;* \(#,##0\);_(&quot;₩&quot;* &quot;-&quot;_);_(@_)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4"/>
      <color theme="9" tint="-0.499984740745262"/>
      <name val="HY크리스탈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C00000"/>
        <bgColor theme="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</borders>
  <cellStyleXfs count="5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14" fontId="0" fillId="4" borderId="2" xfId="0" applyNumberFormat="1" applyFont="1" applyFill="1" applyBorder="1" applyAlignment="1">
      <alignment horizontal="center" vertical="center"/>
    </xf>
    <xf numFmtId="176" fontId="0" fillId="4" borderId="2" xfId="3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4" fontId="0" fillId="0" borderId="2" xfId="0" applyNumberFormat="1" applyFont="1" applyBorder="1" applyAlignment="1">
      <alignment horizontal="center" vertical="center"/>
    </xf>
    <xf numFmtId="176" fontId="0" fillId="0" borderId="2" xfId="3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0" fontId="0" fillId="6" borderId="5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42" fontId="0" fillId="6" borderId="4" xfId="3" applyFont="1" applyFill="1" applyBorder="1" applyAlignment="1">
      <alignment horizontal="center" vertical="center"/>
    </xf>
    <xf numFmtId="42" fontId="0" fillId="0" borderId="4" xfId="3" applyFont="1" applyBorder="1" applyAlignment="1">
      <alignment horizontal="center" vertical="center"/>
    </xf>
    <xf numFmtId="42" fontId="0" fillId="6" borderId="5" xfId="3" applyFont="1" applyFill="1" applyBorder="1" applyAlignment="1">
      <alignment horizontal="center" vertical="center"/>
    </xf>
    <xf numFmtId="42" fontId="0" fillId="0" borderId="5" xfId="3" applyFont="1" applyBorder="1" applyAlignment="1">
      <alignment horizontal="center" vertical="center"/>
    </xf>
    <xf numFmtId="42" fontId="0" fillId="0" borderId="3" xfId="3" applyFont="1" applyBorder="1" applyAlignment="1">
      <alignment horizontal="center" vertical="center"/>
    </xf>
    <xf numFmtId="0" fontId="0" fillId="6" borderId="4" xfId="3" applyNumberFormat="1" applyFont="1" applyFill="1" applyBorder="1" applyAlignment="1">
      <alignment horizontal="center" vertical="center"/>
    </xf>
    <xf numFmtId="0" fontId="0" fillId="0" borderId="4" xfId="3" applyNumberFormat="1" applyFont="1" applyBorder="1" applyAlignment="1">
      <alignment horizontal="center" vertical="center"/>
    </xf>
    <xf numFmtId="0" fontId="0" fillId="6" borderId="5" xfId="3" applyNumberFormat="1" applyFont="1" applyFill="1" applyBorder="1" applyAlignment="1">
      <alignment horizontal="center" vertical="center"/>
    </xf>
    <xf numFmtId="0" fontId="0" fillId="0" borderId="5" xfId="3" applyNumberFormat="1" applyFont="1" applyBorder="1" applyAlignment="1">
      <alignment horizontal="center" vertical="center"/>
    </xf>
    <xf numFmtId="0" fontId="0" fillId="0" borderId="3" xfId="3" applyNumberFormat="1" applyFont="1" applyBorder="1" applyAlignment="1">
      <alignment horizontal="center" vertical="center"/>
    </xf>
    <xf numFmtId="0" fontId="5" fillId="2" borderId="2" xfId="4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</cellXfs>
  <cellStyles count="5">
    <cellStyle name="강조색1" xfId="4" builtinId="29"/>
    <cellStyle name="쉼표 [0] 2" xfId="1"/>
    <cellStyle name="제목 5" xfId="2"/>
    <cellStyle name="통화 [0]" xfId="3" builtinId="7"/>
    <cellStyle name="표준" xfId="0" builtinId="0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"/>
  <sheetViews>
    <sheetView showGridLines="0" workbookViewId="0">
      <selection sqref="A1:G13"/>
    </sheetView>
  </sheetViews>
  <sheetFormatPr defaultRowHeight="16.5" x14ac:dyDescent="0.3"/>
  <cols>
    <col min="1" max="1" width="4.5" customWidth="1"/>
    <col min="2" max="2" width="7.375" bestFit="1" customWidth="1"/>
    <col min="3" max="3" width="7.375" customWidth="1"/>
    <col min="4" max="5" width="12.375" customWidth="1"/>
    <col min="6" max="6" width="7.375" bestFit="1" customWidth="1"/>
    <col min="7" max="7" width="8.5" bestFit="1" customWidth="1"/>
  </cols>
  <sheetData>
    <row r="1" spans="1:7" ht="18.75" customHeight="1" x14ac:dyDescent="0.3">
      <c r="A1" s="28" t="s">
        <v>18</v>
      </c>
      <c r="B1" s="28"/>
      <c r="C1" s="28"/>
      <c r="D1" s="28"/>
      <c r="E1" s="28"/>
      <c r="F1" s="28"/>
      <c r="G1" s="28"/>
    </row>
    <row r="3" spans="1:7" x14ac:dyDescent="0.3">
      <c r="A3" s="1" t="s">
        <v>0</v>
      </c>
      <c r="B3" s="2" t="s">
        <v>17</v>
      </c>
      <c r="C3" s="2" t="s">
        <v>29</v>
      </c>
      <c r="D3" s="2" t="s">
        <v>1</v>
      </c>
      <c r="E3" s="2" t="s">
        <v>3</v>
      </c>
      <c r="F3" s="2" t="s">
        <v>4</v>
      </c>
      <c r="G3" s="2" t="s">
        <v>2</v>
      </c>
    </row>
    <row r="4" spans="1:7" x14ac:dyDescent="0.3">
      <c r="A4" s="3">
        <v>1</v>
      </c>
      <c r="B4" s="4" t="s">
        <v>19</v>
      </c>
      <c r="C4" s="4" t="s">
        <v>30</v>
      </c>
      <c r="D4" s="5">
        <v>41852</v>
      </c>
      <c r="E4" s="5">
        <f>IF(D4="","",WORKDAY(D4,VLOOKUP(F4,운임표!$A$2:$C$9,3,0)))</f>
        <v>41857</v>
      </c>
      <c r="F4" s="4" t="s">
        <v>9</v>
      </c>
      <c r="G4" s="6">
        <f>VLOOKUP(F4,운임표!$A$2:$C$9,2,0)</f>
        <v>4000</v>
      </c>
    </row>
    <row r="5" spans="1:7" x14ac:dyDescent="0.3">
      <c r="A5" s="7">
        <v>2</v>
      </c>
      <c r="B5" s="8" t="s">
        <v>20</v>
      </c>
      <c r="C5" s="8" t="s">
        <v>31</v>
      </c>
      <c r="D5" s="9"/>
      <c r="E5" s="9" t="str">
        <f>IF(D5="","",WORKDAY(D5,VLOOKUP(F5,운임표!$A$2:$C$9,3,0)))</f>
        <v/>
      </c>
      <c r="F5" s="8" t="s">
        <v>5</v>
      </c>
      <c r="G5" s="10">
        <f>VLOOKUP(F5,운임표!$A$2:$C$9,2,0)</f>
        <v>3000</v>
      </c>
    </row>
    <row r="6" spans="1:7" x14ac:dyDescent="0.3">
      <c r="A6" s="3">
        <v>3</v>
      </c>
      <c r="B6" s="4" t="s">
        <v>21</v>
      </c>
      <c r="C6" s="4"/>
      <c r="D6" s="5">
        <v>41854</v>
      </c>
      <c r="E6" s="5" t="e">
        <f>IF(D6="","",WORKDAY(D6,VLOOKUP(F6,운임표!$A$2:$C$9,3,0)))</f>
        <v>#N/A</v>
      </c>
      <c r="F6" s="4" t="s">
        <v>16</v>
      </c>
      <c r="G6" s="6" t="e">
        <f>VLOOKUP(F6,운임표!$A$2:$C$9,2,0)</f>
        <v>#N/A</v>
      </c>
    </row>
    <row r="7" spans="1:7" x14ac:dyDescent="0.3">
      <c r="A7" s="7">
        <v>4</v>
      </c>
      <c r="B7" s="8" t="s">
        <v>22</v>
      </c>
      <c r="C7" s="8" t="s">
        <v>30</v>
      </c>
      <c r="D7" s="9">
        <v>41855</v>
      </c>
      <c r="E7" s="9">
        <f>IF(D7="","",WORKDAY(D7,VLOOKUP(F7,운임표!$A$2:$C$9,3,0)))</f>
        <v>41857</v>
      </c>
      <c r="F7" s="8" t="s">
        <v>7</v>
      </c>
      <c r="G7" s="10">
        <f>VLOOKUP(F7,운임표!$A$2:$C$9,2,0)</f>
        <v>3500</v>
      </c>
    </row>
    <row r="8" spans="1:7" x14ac:dyDescent="0.3">
      <c r="A8" s="3">
        <v>5</v>
      </c>
      <c r="B8" s="4" t="s">
        <v>23</v>
      </c>
      <c r="C8" s="4"/>
      <c r="D8" s="5">
        <v>41856</v>
      </c>
      <c r="E8" s="5">
        <f>IF(D8="","",WORKDAY(D8,VLOOKUP(F8,운임표!$A$2:$C$9,3,0)))</f>
        <v>41859</v>
      </c>
      <c r="F8" s="4" t="s">
        <v>10</v>
      </c>
      <c r="G8" s="6">
        <f>VLOOKUP(F8,운임표!$A$2:$C$9,2,0)</f>
        <v>4000</v>
      </c>
    </row>
    <row r="9" spans="1:7" x14ac:dyDescent="0.3">
      <c r="A9" s="7">
        <v>6</v>
      </c>
      <c r="B9" s="8" t="s">
        <v>24</v>
      </c>
      <c r="C9" s="8" t="s">
        <v>32</v>
      </c>
      <c r="D9" s="9">
        <v>41857</v>
      </c>
      <c r="E9" s="9">
        <f>IF(D9="","",WORKDAY(D9,VLOOKUP(F9,운임표!$A$2:$C$9,3,0)))</f>
        <v>41862</v>
      </c>
      <c r="F9" s="8" t="s">
        <v>8</v>
      </c>
      <c r="G9" s="10">
        <f>VLOOKUP(F9,운임표!$A$2:$C$9,2,0)</f>
        <v>4000</v>
      </c>
    </row>
    <row r="10" spans="1:7" x14ac:dyDescent="0.3">
      <c r="A10" s="3">
        <v>7</v>
      </c>
      <c r="B10" s="4" t="s">
        <v>25</v>
      </c>
      <c r="C10" s="4"/>
      <c r="D10" s="5">
        <v>41858</v>
      </c>
      <c r="E10" s="5">
        <f>IF(D10="","",WORKDAY(D10,VLOOKUP(F10,운임표!$A$2:$C$9,3,0)))</f>
        <v>41865</v>
      </c>
      <c r="F10" s="4" t="s">
        <v>11</v>
      </c>
      <c r="G10" s="6">
        <f>VLOOKUP(F10,운임표!$A$2:$C$9,2,0)</f>
        <v>6000</v>
      </c>
    </row>
    <row r="11" spans="1:7" x14ac:dyDescent="0.3">
      <c r="A11" s="7">
        <v>8</v>
      </c>
      <c r="B11" s="8" t="s">
        <v>26</v>
      </c>
      <c r="C11" s="8" t="s">
        <v>30</v>
      </c>
      <c r="D11" s="9">
        <v>41859</v>
      </c>
      <c r="E11" s="9">
        <f>IF(D11="","",WORKDAY(D11,VLOOKUP(F11,운임표!$A$2:$C$9,3,0)))</f>
        <v>41864</v>
      </c>
      <c r="F11" s="8" t="s">
        <v>12</v>
      </c>
      <c r="G11" s="10">
        <f>VLOOKUP(F11,운임표!$A$2:$C$9,2,0)</f>
        <v>4000</v>
      </c>
    </row>
    <row r="12" spans="1:7" x14ac:dyDescent="0.3">
      <c r="A12" s="3">
        <v>9</v>
      </c>
      <c r="B12" s="4" t="s">
        <v>27</v>
      </c>
      <c r="C12" s="4" t="s">
        <v>31</v>
      </c>
      <c r="D12" s="5"/>
      <c r="E12" s="5" t="str">
        <f>IF(D12="","",WORKDAY(D12,VLOOKUP(F12,운임표!$A$2:$C$9,3,0)))</f>
        <v/>
      </c>
      <c r="F12" s="4" t="s">
        <v>5</v>
      </c>
      <c r="G12" s="6">
        <f>VLOOKUP(F12,운임표!$A$2:$C$9,2,0)</f>
        <v>3000</v>
      </c>
    </row>
    <row r="13" spans="1:7" x14ac:dyDescent="0.3">
      <c r="A13" s="7">
        <v>10</v>
      </c>
      <c r="B13" s="8" t="s">
        <v>28</v>
      </c>
      <c r="C13" s="8"/>
      <c r="D13" s="9">
        <v>41866</v>
      </c>
      <c r="E13" s="9" t="e">
        <f>IF(D13="","",WORKDAY(D13,VLOOKUP(F13,운임표!$A$2:$C$9,3,0)))</f>
        <v>#N/A</v>
      </c>
      <c r="F13" s="8" t="s">
        <v>13</v>
      </c>
      <c r="G13" s="10" t="e">
        <f>VLOOKUP(F13,운임표!$A$2:$C$9,2,0)</f>
        <v>#N/A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"/>
  <sheetViews>
    <sheetView showGridLines="0" tabSelected="1" workbookViewId="0">
      <selection activeCell="I11" sqref="I11"/>
    </sheetView>
  </sheetViews>
  <sheetFormatPr defaultRowHeight="16.5" x14ac:dyDescent="0.3"/>
  <cols>
    <col min="1" max="1" width="4.5" customWidth="1"/>
    <col min="2" max="2" width="7.375" bestFit="1" customWidth="1"/>
    <col min="3" max="3" width="7.375" customWidth="1"/>
    <col min="4" max="5" width="12.375" customWidth="1"/>
    <col min="6" max="6" width="7.375" bestFit="1" customWidth="1"/>
    <col min="7" max="7" width="8.5" bestFit="1" customWidth="1"/>
  </cols>
  <sheetData>
    <row r="1" spans="1:7" ht="18.75" customHeight="1" x14ac:dyDescent="0.3">
      <c r="A1" s="28" t="s">
        <v>18</v>
      </c>
      <c r="B1" s="28"/>
      <c r="C1" s="28"/>
      <c r="D1" s="28"/>
      <c r="E1" s="28"/>
      <c r="F1" s="28"/>
      <c r="G1" s="28"/>
    </row>
    <row r="3" spans="1:7" x14ac:dyDescent="0.3">
      <c r="A3" s="1" t="s">
        <v>0</v>
      </c>
      <c r="B3" s="2" t="s">
        <v>17</v>
      </c>
      <c r="C3" s="2" t="s">
        <v>29</v>
      </c>
      <c r="D3" s="2" t="s">
        <v>1</v>
      </c>
      <c r="E3" s="2" t="s">
        <v>3</v>
      </c>
      <c r="F3" s="2" t="s">
        <v>4</v>
      </c>
      <c r="G3" s="2" t="s">
        <v>2</v>
      </c>
    </row>
    <row r="4" spans="1:7" x14ac:dyDescent="0.3">
      <c r="A4" s="3">
        <v>1</v>
      </c>
      <c r="B4" s="4" t="s">
        <v>34</v>
      </c>
      <c r="C4" s="4" t="s">
        <v>31</v>
      </c>
      <c r="D4" s="5">
        <v>41884</v>
      </c>
      <c r="E4" s="5">
        <f>IF(D4="","",WORKDAY(D4,VLOOKUP(F4,운임표!$A$2:$C$9,3,0)))</f>
        <v>41886</v>
      </c>
      <c r="F4" s="4" t="s">
        <v>6</v>
      </c>
      <c r="G4" s="6">
        <f>VLOOKUP(F4,운임표!$A$2:$C$9,2,0)</f>
        <v>3500</v>
      </c>
    </row>
    <row r="5" spans="1:7" x14ac:dyDescent="0.3">
      <c r="A5" s="7">
        <v>2</v>
      </c>
      <c r="B5" s="8" t="s">
        <v>35</v>
      </c>
      <c r="C5" s="27"/>
      <c r="D5" s="9">
        <v>41885</v>
      </c>
      <c r="E5" s="9" t="e">
        <f>IF(D5="","",WORKDAY(D5,VLOOKUP(F5,운임표!$A$2:$C$9,3,0)))</f>
        <v>#N/A</v>
      </c>
      <c r="F5" s="8" t="s">
        <v>33</v>
      </c>
      <c r="G5" s="10" t="e">
        <f>VLOOKUP(F5,운임표!$A$2:$C$9,2,0)</f>
        <v>#N/A</v>
      </c>
    </row>
    <row r="6" spans="1:7" x14ac:dyDescent="0.3">
      <c r="A6" s="3">
        <v>3</v>
      </c>
      <c r="B6" s="4" t="s">
        <v>36</v>
      </c>
      <c r="C6" s="4" t="s">
        <v>32</v>
      </c>
      <c r="D6" s="5">
        <v>41889</v>
      </c>
      <c r="E6" s="5">
        <f>IF(D6="","",WORKDAY(D6,VLOOKUP(F6,운임표!$A$2:$C$9,3,0)))</f>
        <v>41891</v>
      </c>
      <c r="F6" s="4" t="s">
        <v>5</v>
      </c>
      <c r="G6" s="6">
        <f>VLOOKUP(F6,운임표!$A$2:$C$9,2,0)</f>
        <v>3000</v>
      </c>
    </row>
    <row r="7" spans="1:7" x14ac:dyDescent="0.3">
      <c r="A7" s="7">
        <v>4</v>
      </c>
      <c r="B7" s="8" t="s">
        <v>37</v>
      </c>
      <c r="C7" s="8" t="s">
        <v>30</v>
      </c>
      <c r="D7" s="9">
        <v>41892</v>
      </c>
      <c r="E7" s="9">
        <f>IF(D7="","",WORKDAY(D7,VLOOKUP(F7,운임표!$A$2:$C$9,3,0)))</f>
        <v>41894</v>
      </c>
      <c r="F7" s="8" t="s">
        <v>7</v>
      </c>
      <c r="G7" s="10">
        <f>VLOOKUP(F7,운임표!$A$2:$C$9,2,0)</f>
        <v>3500</v>
      </c>
    </row>
    <row r="8" spans="1:7" x14ac:dyDescent="0.3">
      <c r="A8" s="3">
        <v>5</v>
      </c>
      <c r="B8" s="4" t="s">
        <v>38</v>
      </c>
      <c r="C8" s="27"/>
      <c r="D8" s="5">
        <v>41893</v>
      </c>
      <c r="E8" s="5">
        <f>IF(D8="","",WORKDAY(D8,VLOOKUP(F8,운임표!$A$2:$C$9,3,0)))</f>
        <v>41898</v>
      </c>
      <c r="F8" s="4" t="s">
        <v>12</v>
      </c>
      <c r="G8" s="6">
        <f>VLOOKUP(F8,운임표!$A$2:$C$9,2,0)</f>
        <v>4000</v>
      </c>
    </row>
    <row r="9" spans="1:7" x14ac:dyDescent="0.3">
      <c r="A9" s="7">
        <v>6</v>
      </c>
      <c r="B9" s="8" t="s">
        <v>39</v>
      </c>
      <c r="C9" s="8" t="s">
        <v>32</v>
      </c>
      <c r="D9" s="9">
        <v>41897</v>
      </c>
      <c r="E9" s="9" t="e">
        <f>IF(D9="","",WORKDAY(D9,VLOOKUP(F9,운임표!$A$2:$C$9,3,0)))</f>
        <v>#N/A</v>
      </c>
      <c r="F9" s="8" t="s">
        <v>13</v>
      </c>
      <c r="G9" s="10" t="e">
        <f>VLOOKUP(F9,운임표!$A$2:$C$9,2,0)</f>
        <v>#N/A</v>
      </c>
    </row>
    <row r="10" spans="1:7" x14ac:dyDescent="0.3">
      <c r="A10" s="3">
        <v>7</v>
      </c>
      <c r="B10" s="4" t="s">
        <v>28</v>
      </c>
      <c r="C10" s="27"/>
      <c r="D10" s="5">
        <v>41895</v>
      </c>
      <c r="E10" s="5">
        <f>IF(D10="","",WORKDAY(D10,VLOOKUP(F10,운임표!$A$2:$C$9,3,0)))</f>
        <v>41898</v>
      </c>
      <c r="F10" s="4" t="s">
        <v>5</v>
      </c>
      <c r="G10" s="6">
        <f>VLOOKUP(F10,운임표!$A$2:$C$9,2,0)</f>
        <v>3000</v>
      </c>
    </row>
    <row r="11" spans="1:7" x14ac:dyDescent="0.3">
      <c r="A11" s="7">
        <v>8</v>
      </c>
      <c r="B11" s="8" t="s">
        <v>27</v>
      </c>
      <c r="C11" s="8" t="s">
        <v>30</v>
      </c>
      <c r="D11" s="9">
        <v>41897</v>
      </c>
      <c r="E11" s="9">
        <f>IF(D11="","",WORKDAY(D11,VLOOKUP(F11,운임표!$A$2:$C$9,3,0)))</f>
        <v>41900</v>
      </c>
      <c r="F11" s="8" t="s">
        <v>9</v>
      </c>
      <c r="G11" s="10">
        <f>VLOOKUP(F11,운임표!$A$2:$C$9,2,0)</f>
        <v>4000</v>
      </c>
    </row>
    <row r="12" spans="1:7" x14ac:dyDescent="0.3">
      <c r="A12" s="3">
        <v>9</v>
      </c>
      <c r="B12" s="4" t="s">
        <v>19</v>
      </c>
      <c r="C12" s="4" t="s">
        <v>31</v>
      </c>
      <c r="D12" s="5">
        <v>41902</v>
      </c>
      <c r="E12" s="5">
        <f>IF(D12="","",WORKDAY(D12,VLOOKUP(F12,운임표!$A$2:$C$9,3,0)))</f>
        <v>41908</v>
      </c>
      <c r="F12" s="4" t="s">
        <v>11</v>
      </c>
      <c r="G12" s="6">
        <f>VLOOKUP(F12,운임표!$A$2:$C$9,2,0)</f>
        <v>6000</v>
      </c>
    </row>
    <row r="13" spans="1:7" x14ac:dyDescent="0.3">
      <c r="A13" s="7">
        <v>10</v>
      </c>
      <c r="B13" s="8" t="s">
        <v>40</v>
      </c>
      <c r="C13" s="27"/>
      <c r="D13" s="9">
        <v>41903</v>
      </c>
      <c r="E13" s="9" t="e">
        <f>IF(D13="","",WORKDAY(D13,VLOOKUP(F13,운임표!$A$2:$C$9,3,0)))</f>
        <v>#N/A</v>
      </c>
      <c r="F13" s="8" t="s">
        <v>13</v>
      </c>
      <c r="G13" s="10" t="e">
        <f>VLOOKUP(F13,운임표!$A$2:$C$9,2,0)</f>
        <v>#N/A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C9"/>
  <sheetViews>
    <sheetView workbookViewId="0">
      <selection activeCell="D13" sqref="D13"/>
    </sheetView>
  </sheetViews>
  <sheetFormatPr defaultRowHeight="16.5" x14ac:dyDescent="0.3"/>
  <cols>
    <col min="1" max="3" width="9" customWidth="1"/>
  </cols>
  <sheetData>
    <row r="1" spans="1:3" x14ac:dyDescent="0.3">
      <c r="A1" s="16" t="s">
        <v>4</v>
      </c>
      <c r="B1" s="16" t="s">
        <v>14</v>
      </c>
      <c r="C1" s="16" t="s">
        <v>15</v>
      </c>
    </row>
    <row r="2" spans="1:3" x14ac:dyDescent="0.3">
      <c r="A2" s="12" t="s">
        <v>5</v>
      </c>
      <c r="B2" s="17">
        <v>3000</v>
      </c>
      <c r="C2" s="22">
        <v>2</v>
      </c>
    </row>
    <row r="3" spans="1:3" x14ac:dyDescent="0.3">
      <c r="A3" s="11" t="s">
        <v>6</v>
      </c>
      <c r="B3" s="18">
        <v>3500</v>
      </c>
      <c r="C3" s="23">
        <v>2</v>
      </c>
    </row>
    <row r="4" spans="1:3" x14ac:dyDescent="0.3">
      <c r="A4" s="12" t="s">
        <v>7</v>
      </c>
      <c r="B4" s="17">
        <v>3500</v>
      </c>
      <c r="C4" s="22">
        <v>2</v>
      </c>
    </row>
    <row r="5" spans="1:3" x14ac:dyDescent="0.3">
      <c r="A5" s="11" t="s">
        <v>9</v>
      </c>
      <c r="B5" s="18">
        <v>4000</v>
      </c>
      <c r="C5" s="23">
        <v>3</v>
      </c>
    </row>
    <row r="6" spans="1:3" x14ac:dyDescent="0.3">
      <c r="A6" s="13" t="s">
        <v>10</v>
      </c>
      <c r="B6" s="19">
        <v>4000</v>
      </c>
      <c r="C6" s="24">
        <v>3</v>
      </c>
    </row>
    <row r="7" spans="1:3" x14ac:dyDescent="0.3">
      <c r="A7" s="14" t="s">
        <v>12</v>
      </c>
      <c r="B7" s="20">
        <v>4000</v>
      </c>
      <c r="C7" s="25">
        <v>3</v>
      </c>
    </row>
    <row r="8" spans="1:3" x14ac:dyDescent="0.3">
      <c r="A8" s="13" t="s">
        <v>8</v>
      </c>
      <c r="B8" s="19">
        <v>4000</v>
      </c>
      <c r="C8" s="24">
        <v>3</v>
      </c>
    </row>
    <row r="9" spans="1:3" x14ac:dyDescent="0.3">
      <c r="A9" s="15" t="s">
        <v>11</v>
      </c>
      <c r="B9" s="21">
        <v>6000</v>
      </c>
      <c r="C9" s="26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8월</vt:lpstr>
      <vt:lpstr>9월</vt:lpstr>
      <vt:lpstr>운임표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2014-05-11T09:34:27Z</dcterms:modified>
  <cp:category>엑셀 매크로</cp:category>
</cp:coreProperties>
</file>