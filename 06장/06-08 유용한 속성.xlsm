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06장\"/>
    </mc:Choice>
  </mc:AlternateContent>
  <bookViews>
    <workbookView xWindow="0" yWindow="0" windowWidth="25200" windowHeight="11550" tabRatio="732" activeTab="5"/>
  </bookViews>
  <sheets>
    <sheet name="피벗분석" sheetId="5" r:id="rId1"/>
    <sheet name="요약차트" sheetId="13" r:id="rId2"/>
    <sheet name="배송업체별차트" sheetId="7" r:id="rId3"/>
    <sheet name="전체자료" sheetId="3" r:id="rId4"/>
    <sheet name="기초자료" sheetId="4" r:id="rId5"/>
    <sheet name="Sheet1" sheetId="18" r:id="rId6"/>
  </sheets>
  <definedNames>
    <definedName name="_xlnm._FilterDatabase" localSheetId="3" hidden="1">전체자료!$A$3:$G$43</definedName>
    <definedName name="슬라이서_거래처명">#N/A</definedName>
  </definedNames>
  <calcPr calcId="152511"/>
  <pivotCaches>
    <pivotCache cacheId="10" r:id="rId7"/>
  </pivotCaches>
  <extLst>
    <ext xmlns:x14="http://schemas.microsoft.com/office/spreadsheetml/2009/9/main" uri="{BBE1A952-AA13-448e-AADC-164F8A28A991}">
      <x14:slicerCaches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4" l="1"/>
  <c r="B3" i="4"/>
  <c r="B4" i="4"/>
  <c r="B5" i="4"/>
  <c r="B6" i="4"/>
  <c r="E2" i="4"/>
  <c r="E3" i="4"/>
  <c r="E4" i="4"/>
  <c r="E5" i="4"/>
  <c r="E6" i="4"/>
  <c r="E7" i="4"/>
  <c r="E8" i="4"/>
  <c r="E9" i="4"/>
  <c r="E10" i="4"/>
  <c r="E11" i="4"/>
  <c r="H2" i="4" l="1"/>
  <c r="H3" i="4"/>
  <c r="H4" i="4"/>
  <c r="H5" i="4" l="1"/>
</calcChain>
</file>

<file path=xl/sharedStrings.xml><?xml version="1.0" encoding="utf-8"?>
<sst xmlns="http://schemas.openxmlformats.org/spreadsheetml/2006/main" count="217" uniqueCount="56">
  <si>
    <t>거래처명</t>
  </si>
  <si>
    <t>영업담당</t>
  </si>
  <si>
    <t>주문일</t>
  </si>
  <si>
    <t>배송업체</t>
  </si>
  <si>
    <t>운임</t>
  </si>
  <si>
    <t>배송 주소</t>
  </si>
  <si>
    <t>주문 현황 전체</t>
    <phoneticPr fontId="1" type="noConversion"/>
  </si>
  <si>
    <t>번호</t>
    <phoneticPr fontId="1" type="noConversion"/>
  </si>
  <si>
    <t>미성 백화점</t>
  </si>
  <si>
    <t>안정훈</t>
  </si>
  <si>
    <t>국제 특송</t>
  </si>
  <si>
    <t>유진 상사</t>
  </si>
  <si>
    <t>김찬진</t>
  </si>
  <si>
    <t>대륙 통운</t>
  </si>
  <si>
    <t>중구 원미 1동 120-16</t>
  </si>
  <si>
    <t>윤대현</t>
  </si>
  <si>
    <t>중구 답동 78</t>
  </si>
  <si>
    <t>최소라</t>
  </si>
  <si>
    <t>한일 특급</t>
  </si>
  <si>
    <t>용산구서빙고동 111-16</t>
  </si>
  <si>
    <t>한남 상사</t>
  </si>
  <si>
    <t>유가을</t>
  </si>
  <si>
    <t>서대문구 창천동 167-3</t>
  </si>
  <si>
    <t>부산진구 양정 1동 462-77</t>
  </si>
  <si>
    <t>김소미</t>
  </si>
  <si>
    <t>서구 연희동 400-16</t>
  </si>
  <si>
    <t>선하라</t>
  </si>
  <si>
    <t>도봉구 방학 3동 18</t>
  </si>
  <si>
    <t>남구 소사 3동 146</t>
  </si>
  <si>
    <t>중구 남산동 3가 43</t>
  </si>
  <si>
    <t>건입동 111-16</t>
  </si>
  <si>
    <t>구로구 오류 1동 101</t>
  </si>
  <si>
    <t>이화 무역</t>
  </si>
  <si>
    <t>오영수</t>
  </si>
  <si>
    <t>송파구 마천동 120</t>
  </si>
  <si>
    <t>덕진구 고랑동 290</t>
  </si>
  <si>
    <t>야탑동 77</t>
  </si>
  <si>
    <t>강정동 718-1</t>
  </si>
  <si>
    <t>도봉구 미아 7동 334-7</t>
  </si>
  <si>
    <t>비전 1동 118-36</t>
  </si>
  <si>
    <t>강서구 화곡 1동 77-3</t>
  </si>
  <si>
    <t>동대문구 신설동 721-11</t>
  </si>
  <si>
    <t>동대문구 전농1동 742-3</t>
  </si>
  <si>
    <t>금정구 청룡동 168-14</t>
  </si>
  <si>
    <t>김덕훈</t>
  </si>
  <si>
    <t>은행동 425-12</t>
  </si>
  <si>
    <t>행 레이블</t>
  </si>
  <si>
    <t>총합계</t>
  </si>
  <si>
    <t>열 레이블</t>
  </si>
  <si>
    <t>합계 : 운임</t>
  </si>
  <si>
    <t>2014년</t>
  </si>
  <si>
    <t>6월</t>
  </si>
  <si>
    <t>7월</t>
  </si>
  <si>
    <t>실적</t>
    <phoneticPr fontId="1" type="noConversion"/>
  </si>
  <si>
    <t>도봉구 창 1동 218-1</t>
    <phoneticPr fontId="1" type="noConversion"/>
  </si>
  <si>
    <t>실적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</si>
</sst>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176" formatCode="_(&quot;₩&quot;* #,##0_);_(&quot;₩&quot;* \(#,##0\);_(&quot;₩&quot;* &quot;-&quot;_);_(@_)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1"/>
      <color theme="0"/>
      <name val="맑은 고딕"/>
      <family val="2"/>
      <charset val="129"/>
      <scheme val="minor"/>
    </font>
    <font>
      <b/>
      <sz val="18"/>
      <color theme="9" tint="-0.499984740745262"/>
      <name val="HY크리스탈M"/>
      <family val="1"/>
      <charset val="129"/>
    </font>
  </fonts>
  <fills count="8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gradientFill degree="90">
        <stop position="0">
          <color theme="4" tint="0.40000610370189521"/>
        </stop>
        <stop position="0.5">
          <color theme="0"/>
        </stop>
        <stop position="1">
          <color theme="4" tint="0.40000610370189521"/>
        </stop>
      </gradientFill>
    </fill>
    <fill>
      <patternFill patternType="solid">
        <fgColor theme="4"/>
        <bgColor theme="4"/>
      </patternFill>
    </fill>
    <fill>
      <patternFill patternType="solid">
        <fgColor theme="7"/>
        <bgColor theme="7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</fills>
  <borders count="7">
    <border>
      <left/>
      <right/>
      <top/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5">
    <xf numFmtId="0" fontId="0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6" fontId="0" fillId="0" borderId="0" xfId="3" applyFont="1" applyAlignment="1">
      <alignment horizontal="center" vertical="center"/>
    </xf>
    <xf numFmtId="0" fontId="4" fillId="4" borderId="2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5" borderId="3" xfId="0" applyFont="1" applyFill="1" applyBorder="1">
      <alignment vertical="center"/>
    </xf>
    <xf numFmtId="0" fontId="0" fillId="6" borderId="2" xfId="0" applyFont="1" applyFill="1" applyBorder="1">
      <alignment vertical="center"/>
    </xf>
    <xf numFmtId="0" fontId="0" fillId="7" borderId="1" xfId="0" applyFont="1" applyFill="1" applyBorder="1">
      <alignment vertical="center"/>
    </xf>
    <xf numFmtId="0" fontId="0" fillId="0" borderId="3" xfId="0" applyFont="1" applyBorder="1">
      <alignment vertical="center"/>
    </xf>
    <xf numFmtId="0" fontId="0" fillId="0" borderId="2" xfId="0" applyFont="1" applyBorder="1">
      <alignment vertical="center"/>
    </xf>
    <xf numFmtId="0" fontId="0" fillId="0" borderId="1" xfId="0" applyFont="1" applyBorder="1">
      <alignment vertical="center"/>
    </xf>
    <xf numFmtId="0" fontId="0" fillId="0" borderId="4" xfId="0" applyFont="1" applyBorder="1">
      <alignment vertical="center"/>
    </xf>
    <xf numFmtId="0" fontId="0" fillId="6" borderId="5" xfId="0" applyFont="1" applyFill="1" applyBorder="1">
      <alignment vertical="center"/>
    </xf>
    <xf numFmtId="0" fontId="0" fillId="0" borderId="6" xfId="0" applyFont="1" applyBorder="1">
      <alignment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 wrapText="1"/>
    </xf>
    <xf numFmtId="41" fontId="0" fillId="0" borderId="0" xfId="0" applyNumberFormat="1">
      <alignment vertical="center"/>
    </xf>
    <xf numFmtId="41" fontId="0" fillId="0" borderId="3" xfId="4" applyFont="1" applyBorder="1">
      <alignment vertical="center"/>
    </xf>
    <xf numFmtId="41" fontId="0" fillId="0" borderId="4" xfId="4" applyFont="1" applyBorder="1">
      <alignment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 indent="1"/>
    </xf>
    <xf numFmtId="41" fontId="0" fillId="7" borderId="1" xfId="4" applyFont="1" applyFill="1" applyBorder="1">
      <alignment vertical="center"/>
    </xf>
    <xf numFmtId="41" fontId="0" fillId="0" borderId="1" xfId="4" applyFont="1" applyBorder="1">
      <alignment vertical="center"/>
    </xf>
    <xf numFmtId="41" fontId="0" fillId="0" borderId="6" xfId="4" applyFont="1" applyBorder="1">
      <alignment vertical="center"/>
    </xf>
    <xf numFmtId="41" fontId="0" fillId="6" borderId="2" xfId="4" applyFont="1" applyFill="1" applyBorder="1">
      <alignment vertical="center"/>
    </xf>
    <xf numFmtId="41" fontId="0" fillId="0" borderId="2" xfId="4" applyFont="1" applyBorder="1">
      <alignment vertical="center"/>
    </xf>
    <xf numFmtId="41" fontId="0" fillId="6" borderId="5" xfId="4" applyFont="1" applyFill="1" applyBorder="1">
      <alignment vertical="center"/>
    </xf>
    <xf numFmtId="0" fontId="5" fillId="3" borderId="0" xfId="0" applyFont="1" applyFill="1" applyAlignment="1">
      <alignment horizontal="center" vertical="center"/>
    </xf>
  </cellXfs>
  <cellStyles count="5">
    <cellStyle name="쉼표 [0]" xfId="4" builtinId="6"/>
    <cellStyle name="쉼표 [0] 2" xfId="1"/>
    <cellStyle name="제목 5" xfId="2"/>
    <cellStyle name="통화 [0]" xfId="3" builtinId="7"/>
    <cellStyle name="표준" xfId="0" builtinId="0"/>
  </cellStyles>
  <dxfs count="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3" formatCode="_-* #,##0_-;\-* #,##0_-;_-* &quot;-&quot;_-;_-@_-"/>
    </dxf>
    <dxf>
      <numFmt numFmtId="33" formatCode="_-* #,##0_-;\-* #,##0_-;_-* &quot;-&quot;_-;_-@_-"/>
    </dxf>
  </dxfs>
  <tableStyles count="0" defaultTableStyle="TableStyleMedium2" defaultPivotStyle="PivotStyleLight16"/>
  <colors>
    <mruColors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4.xml"/><Relationship Id="rId10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200"/>
              <a:t>거래처별 </a:t>
            </a:r>
            <a:r>
              <a:rPr lang="ko-KR" sz="1200"/>
              <a:t>실적</a:t>
            </a:r>
          </a:p>
        </c:rich>
      </c:tx>
      <c:layout>
        <c:manualLayout>
          <c:xMode val="edge"/>
          <c:yMode val="edge"/>
          <c:x val="3.4538145539906077E-2"/>
          <c:y val="5.1282051282051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0.19407335680751175"/>
          <c:y val="0.31694192072144828"/>
          <c:w val="0.79102053990610333"/>
          <c:h val="0.56090166666666652"/>
        </c:manualLayout>
      </c:layout>
      <c:barChart>
        <c:barDir val="bar"/>
        <c:grouping val="clustered"/>
        <c:varyColors val="1"/>
        <c:ser>
          <c:idx val="0"/>
          <c:order val="0"/>
          <c:tx>
            <c:strRef>
              <c:f>기초자료!$B$1</c:f>
              <c:strCache>
                <c:ptCount val="1"/>
                <c:pt idx="0">
                  <c:v>실적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2"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4"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6"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2">
                  <a:lumMod val="60000"/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기초자료!$A$2:$A$5</c:f>
              <c:strCache>
                <c:ptCount val="4"/>
                <c:pt idx="0">
                  <c:v>미성 백화점</c:v>
                </c:pt>
                <c:pt idx="1">
                  <c:v>유진 상사</c:v>
                </c:pt>
                <c:pt idx="2">
                  <c:v>한남 상사</c:v>
                </c:pt>
                <c:pt idx="3">
                  <c:v>이화 무역</c:v>
                </c:pt>
              </c:strCache>
            </c:strRef>
          </c:cat>
          <c:val>
            <c:numRef>
              <c:f>기초자료!$B$2:$B$5</c:f>
              <c:numCache>
                <c:formatCode>_(* #,##0_);_(* \(#,##0\);_(* "-"_);_(@_)</c:formatCode>
                <c:ptCount val="4"/>
                <c:pt idx="0">
                  <c:v>74000</c:v>
                </c:pt>
                <c:pt idx="1">
                  <c:v>73000</c:v>
                </c:pt>
                <c:pt idx="2">
                  <c:v>93000</c:v>
                </c:pt>
                <c:pt idx="3">
                  <c:v>109500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263562976"/>
        <c:axId val="263563368"/>
      </c:barChart>
      <c:catAx>
        <c:axId val="2635629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cap="all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63563368"/>
        <c:crosses val="autoZero"/>
        <c:auto val="1"/>
        <c:lblAlgn val="ctr"/>
        <c:lblOffset val="100"/>
        <c:tickLblSkip val="1"/>
        <c:noMultiLvlLbl val="0"/>
      </c:catAx>
      <c:valAx>
        <c:axId val="263563368"/>
        <c:scaling>
          <c:orientation val="minMax"/>
        </c:scaling>
        <c:delete val="1"/>
        <c:axPos val="t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crossAx val="263562976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>
      <a:outerShdw blurRad="76200" dir="18900000" sy="23000" kx="-1200000" algn="bl" rotWithShape="0">
        <a:prstClr val="black">
          <a:alpha val="20000"/>
        </a:prstClr>
      </a:outerShdw>
    </a:effectLst>
  </c:spPr>
  <c:txPr>
    <a:bodyPr/>
    <a:lstStyle/>
    <a:p>
      <a:pPr>
        <a:defRPr sz="105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200"/>
              <a:t>영업 담당자별 </a:t>
            </a:r>
            <a:r>
              <a:rPr lang="ko-KR" sz="1200"/>
              <a:t>실적</a:t>
            </a:r>
          </a:p>
        </c:rich>
      </c:tx>
      <c:layout>
        <c:manualLayout>
          <c:xMode val="edge"/>
          <c:yMode val="edge"/>
          <c:x val="2.2383607198748039E-2"/>
          <c:y val="2.82222222222222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3.7380868544600938E-2"/>
          <c:y val="0.13458722222222222"/>
          <c:w val="0.93517566510172168"/>
          <c:h val="0.67379055555555556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기초자료!$E$1</c:f>
              <c:strCache>
                <c:ptCount val="1"/>
                <c:pt idx="0">
                  <c:v>실적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2"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4"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6"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2">
                  <a:lumMod val="60000"/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chemeClr val="accent4">
                  <a:lumMod val="60000"/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chemeClr val="accent6">
                  <a:lumMod val="60000"/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chemeClr val="accent2">
                  <a:lumMod val="80000"/>
                  <a:lumOff val="20000"/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chemeClr val="accent4">
                  <a:lumMod val="80000"/>
                  <a:lumOff val="20000"/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chemeClr val="accent6">
                  <a:lumMod val="80000"/>
                  <a:lumOff val="20000"/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기초자료!$D$2:$D$10</c:f>
              <c:strCache>
                <c:ptCount val="9"/>
                <c:pt idx="0">
                  <c:v>안정훈</c:v>
                </c:pt>
                <c:pt idx="1">
                  <c:v>김찬진</c:v>
                </c:pt>
                <c:pt idx="2">
                  <c:v>윤대현</c:v>
                </c:pt>
                <c:pt idx="3">
                  <c:v>최소라</c:v>
                </c:pt>
                <c:pt idx="4">
                  <c:v>유가을</c:v>
                </c:pt>
                <c:pt idx="5">
                  <c:v>김소미</c:v>
                </c:pt>
                <c:pt idx="6">
                  <c:v>선하라</c:v>
                </c:pt>
                <c:pt idx="7">
                  <c:v>오영수</c:v>
                </c:pt>
                <c:pt idx="8">
                  <c:v>김덕훈</c:v>
                </c:pt>
              </c:strCache>
            </c:strRef>
          </c:cat>
          <c:val>
            <c:numRef>
              <c:f>기초자료!$E$2:$E$10</c:f>
              <c:numCache>
                <c:formatCode>_(* #,##0_);_(* \(#,##0\);_(* "-"_);_(@_)</c:formatCode>
                <c:ptCount val="9"/>
                <c:pt idx="0">
                  <c:v>48000</c:v>
                </c:pt>
                <c:pt idx="1">
                  <c:v>6500</c:v>
                </c:pt>
                <c:pt idx="2">
                  <c:v>64000</c:v>
                </c:pt>
                <c:pt idx="3">
                  <c:v>84000</c:v>
                </c:pt>
                <c:pt idx="4">
                  <c:v>25000</c:v>
                </c:pt>
                <c:pt idx="5">
                  <c:v>27500</c:v>
                </c:pt>
                <c:pt idx="6">
                  <c:v>70500</c:v>
                </c:pt>
                <c:pt idx="7">
                  <c:v>21500</c:v>
                </c:pt>
                <c:pt idx="8">
                  <c:v>2500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261346176"/>
        <c:axId val="261344608"/>
      </c:barChart>
      <c:catAx>
        <c:axId val="261346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61344608"/>
        <c:crosses val="autoZero"/>
        <c:auto val="1"/>
        <c:lblAlgn val="ctr"/>
        <c:lblOffset val="100"/>
        <c:noMultiLvlLbl val="0"/>
      </c:catAx>
      <c:valAx>
        <c:axId val="26134460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crossAx val="261346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blipFill>
      <a:blip xmlns:r="http://schemas.openxmlformats.org/officeDocument/2006/relationships" r:embed="rId3"/>
      <a:tile tx="0" ty="0" sx="100000" sy="100000" flip="none" algn="tl"/>
    </a:blipFill>
    <a:ln w="9525" cap="flat" cmpd="sng" algn="ctr">
      <a:solidFill>
        <a:schemeClr val="dk1">
          <a:lumMod val="25000"/>
          <a:lumOff val="75000"/>
        </a:schemeClr>
      </a:solidFill>
      <a:round/>
    </a:ln>
    <a:effectLst>
      <a:outerShdw blurRad="76200" dir="18900000" sy="23000" kx="-1200000" algn="bl" rotWithShape="0">
        <a:prstClr val="black">
          <a:alpha val="20000"/>
        </a:prstClr>
      </a:outerShdw>
    </a:effectLst>
  </c:spPr>
  <c:txPr>
    <a:bodyPr/>
    <a:lstStyle/>
    <a:p>
      <a:pPr>
        <a:defRPr sz="105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배송 업체별 실적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1.5021725048882436E-2"/>
          <c:y val="0.12047618324852294"/>
          <c:w val="0.96995654990223512"/>
          <c:h val="0.75845733732539411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기초자료!$H$1</c:f>
              <c:strCache>
                <c:ptCount val="1"/>
                <c:pt idx="0">
                  <c:v>실적</c:v>
                </c:pt>
              </c:strCache>
            </c:strRef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 w="114300" prst="artDeco"/>
            </a:sp3d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14300" prst="artDeco"/>
              </a:sp3d>
            </c:spPr>
          </c:dPt>
          <c:dPt>
            <c:idx val="1"/>
            <c:invertIfNegative val="0"/>
            <c:bubble3D val="0"/>
            <c:spPr>
              <a:solidFill>
                <a:schemeClr val="accent2"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14300" prst="artDeco"/>
              </a:sp3d>
            </c:spPr>
          </c:dPt>
          <c:dPt>
            <c:idx val="2"/>
            <c:invertIfNegative val="0"/>
            <c:bubble3D val="0"/>
            <c:spPr>
              <a:solidFill>
                <a:schemeClr val="accent3"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14300" prst="artDeco"/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기초자료!$G$2:$G$4</c:f>
              <c:strCache>
                <c:ptCount val="3"/>
                <c:pt idx="0">
                  <c:v>국제 특송</c:v>
                </c:pt>
                <c:pt idx="1">
                  <c:v>대륙 통운</c:v>
                </c:pt>
                <c:pt idx="2">
                  <c:v>한일 특급</c:v>
                </c:pt>
              </c:strCache>
            </c:strRef>
          </c:cat>
          <c:val>
            <c:numRef>
              <c:f>기초자료!$H$2:$H$4</c:f>
              <c:numCache>
                <c:formatCode>_(* #,##0_);_(* \(#,##0\);_(* "-"_);_(@_)</c:formatCode>
                <c:ptCount val="3"/>
                <c:pt idx="0">
                  <c:v>94000</c:v>
                </c:pt>
                <c:pt idx="1">
                  <c:v>68500</c:v>
                </c:pt>
                <c:pt idx="2">
                  <c:v>187000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261343040"/>
        <c:axId val="261343432"/>
      </c:barChart>
      <c:catAx>
        <c:axId val="261343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61343432"/>
        <c:crosses val="autoZero"/>
        <c:auto val="1"/>
        <c:lblAlgn val="ctr"/>
        <c:lblOffset val="100"/>
        <c:noMultiLvlLbl val="0"/>
      </c:catAx>
      <c:valAx>
        <c:axId val="261343432"/>
        <c:scaling>
          <c:orientation val="minMax"/>
        </c:scaling>
        <c:delete val="1"/>
        <c:axPos val="l"/>
        <c:numFmt formatCode="_(* #,##0_);_(* \(#,##0\);_(* &quot;-&quot;_);_(@_)" sourceLinked="1"/>
        <c:majorTickMark val="none"/>
        <c:minorTickMark val="none"/>
        <c:tickLblPos val="nextTo"/>
        <c:crossAx val="26134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 sz="2000"/>
      </a:pPr>
      <a:endParaRPr lang="ko-K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차트1"/>
  <sheetViews>
    <sheetView zoomScale="55" workbookViewId="0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19049</xdr:colOff>
      <xdr:row>0</xdr:row>
      <xdr:rowOff>123825</xdr:rowOff>
    </xdr:from>
    <xdr:to>
      <xdr:col>5</xdr:col>
      <xdr:colOff>466725</xdr:colOff>
      <xdr:row>4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거래처명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거래처명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2874" y="123825"/>
              <a:ext cx="4114801" cy="714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슬라이서를 나타냅니다. 슬라이서는 Excel 2010 이상에서 지원됩니다.
이 도형이 이전 버전의 Excel에서 수정되었거나 통합 문서가 Excel 2003 또는 이전 버전에서 저장된 경우 슬라이서를 사용할 수 없습니다.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209550" y="190500"/>
    <xdr:ext cx="5112000" cy="1485900"/>
    <xdr:graphicFrame macro="">
      <xdr:nvGraphicFramePr>
        <xdr:cNvPr id="3" name="차트 2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219075" y="1781175"/>
    <xdr:ext cx="5112000" cy="1800000"/>
    <xdr:graphicFrame macro="">
      <xdr:nvGraphicFramePr>
        <xdr:cNvPr id="4" name="차트 3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9864" cy="6061364"/>
    <xdr:graphicFrame macro="">
      <xdr:nvGraphicFramePr>
        <xdr:cNvPr id="2" name="차트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SLee" refreshedDate="41651.772274421295" createdVersion="5" refreshedVersion="5" minRefreshableVersion="3" recordCount="40">
  <cacheSource type="worksheet">
    <worksheetSource name="주문현황표"/>
  </cacheSource>
  <cacheFields count="8">
    <cacheField name="번호" numFmtId="0">
      <sharedItems containsSemiMixedTypes="0" containsString="0" containsNumber="1" containsInteger="1" minValue="1" maxValue="40"/>
    </cacheField>
    <cacheField name="거래처명" numFmtId="0">
      <sharedItems count="4">
        <s v="미성 백화점"/>
        <s v="유진 상사"/>
        <s v="한남 상사"/>
        <s v="이화 무역"/>
      </sharedItems>
    </cacheField>
    <cacheField name="영업담당" numFmtId="0">
      <sharedItems count="9">
        <s v="안정훈"/>
        <s v="김찬진"/>
        <s v="윤대현"/>
        <s v="최소라"/>
        <s v="유가을"/>
        <s v="김소미"/>
        <s v="선하라"/>
        <s v="오영수"/>
        <s v="김덕훈"/>
      </sharedItems>
    </cacheField>
    <cacheField name="주문일" numFmtId="14">
      <sharedItems containsSemiMixedTypes="0" containsNonDate="0" containsDate="1" containsString="0" minDate="2014-06-30T00:00:00" maxDate="2014-07-24T00:00:00" count="15">
        <d v="2014-06-30T00:00:00"/>
        <d v="2014-07-01T00:00:00"/>
        <d v="2014-07-02T00:00:00"/>
        <d v="2014-07-05T00:00:00"/>
        <d v="2014-07-06T00:00:00"/>
        <d v="2014-07-07T00:00:00"/>
        <d v="2014-07-08T00:00:00"/>
        <d v="2014-07-10T00:00:00"/>
        <d v="2014-07-13T00:00:00"/>
        <d v="2014-07-14T00:00:00"/>
        <d v="2014-07-16T00:00:00"/>
        <d v="2014-07-17T00:00:00"/>
        <d v="2014-07-18T00:00:00"/>
        <d v="2014-07-19T00:00:00"/>
        <d v="2014-07-23T00:00:00"/>
      </sharedItems>
      <fieldGroup par="7" base="3">
        <rangePr groupBy="months" startDate="2014-06-30T00:00:00" endDate="2014-07-24T00:00:00"/>
        <groupItems count="14">
          <s v="&lt;2014-06-3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14-07-24"/>
        </groupItems>
      </fieldGroup>
    </cacheField>
    <cacheField name="배송업체" numFmtId="0">
      <sharedItems/>
    </cacheField>
    <cacheField name="운임" numFmtId="176">
      <sharedItems containsSemiMixedTypes="0" containsString="0" containsNumber="1" containsInteger="1" minValue="2500" maxValue="15000"/>
    </cacheField>
    <cacheField name="배송 주소" numFmtId="0">
      <sharedItems/>
    </cacheField>
    <cacheField name="연" numFmtId="0" databaseField="0">
      <fieldGroup base="3">
        <rangePr groupBy="years" startDate="2014-06-30T00:00:00" endDate="2014-07-24T00:00:00"/>
        <groupItems count="3">
          <s v="&lt;2014-06-30"/>
          <s v="2014년"/>
          <s v="&gt;2014-07-24"/>
        </groupItems>
      </fieldGroup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">
  <r>
    <n v="1"/>
    <x v="0"/>
    <x v="0"/>
    <x v="0"/>
    <s v="국제 특송"/>
    <n v="10000"/>
    <s v="도봉구 창 1동 218-1"/>
  </r>
  <r>
    <n v="2"/>
    <x v="1"/>
    <x v="1"/>
    <x v="1"/>
    <s v="대륙 통운"/>
    <n v="2500"/>
    <s v="중구 원미 1동 120-16"/>
  </r>
  <r>
    <n v="3"/>
    <x v="1"/>
    <x v="2"/>
    <x v="2"/>
    <s v="대륙 통운"/>
    <n v="10000"/>
    <s v="중구 답동 78"/>
  </r>
  <r>
    <n v="4"/>
    <x v="1"/>
    <x v="3"/>
    <x v="3"/>
    <s v="한일 특급"/>
    <n v="10000"/>
    <s v="용산구서빙고동 111-16"/>
  </r>
  <r>
    <n v="5"/>
    <x v="2"/>
    <x v="4"/>
    <x v="4"/>
    <s v="국제 특송"/>
    <n v="15000"/>
    <s v="서대문구 창천동 167-3"/>
  </r>
  <r>
    <n v="6"/>
    <x v="0"/>
    <x v="2"/>
    <x v="5"/>
    <s v="한일 특급"/>
    <n v="4000"/>
    <s v="부산진구 양정 1동 462-77"/>
  </r>
  <r>
    <n v="7"/>
    <x v="0"/>
    <x v="5"/>
    <x v="6"/>
    <s v="한일 특급"/>
    <n v="15000"/>
    <s v="서구 연희동 400-16"/>
  </r>
  <r>
    <n v="8"/>
    <x v="2"/>
    <x v="6"/>
    <x v="7"/>
    <s v="한일 특급"/>
    <n v="2500"/>
    <s v="도봉구 방학 3동 18"/>
  </r>
  <r>
    <n v="9"/>
    <x v="0"/>
    <x v="6"/>
    <x v="7"/>
    <s v="한일 특급"/>
    <n v="15000"/>
    <s v="남구 소사 3동 146"/>
  </r>
  <r>
    <n v="10"/>
    <x v="2"/>
    <x v="0"/>
    <x v="7"/>
    <s v="한일 특급"/>
    <n v="15000"/>
    <s v="중구 남산동 3가 43"/>
  </r>
  <r>
    <n v="11"/>
    <x v="0"/>
    <x v="5"/>
    <x v="8"/>
    <s v="국제 특송"/>
    <n v="2500"/>
    <s v="건입동 111-16"/>
  </r>
  <r>
    <n v="12"/>
    <x v="2"/>
    <x v="3"/>
    <x v="8"/>
    <s v="대륙 통운"/>
    <n v="4000"/>
    <s v="도봉구 방학 3동 18"/>
  </r>
  <r>
    <n v="13"/>
    <x v="2"/>
    <x v="3"/>
    <x v="8"/>
    <s v="한일 특급"/>
    <n v="10000"/>
    <s v="구로구 오류 1동 101"/>
  </r>
  <r>
    <n v="14"/>
    <x v="3"/>
    <x v="7"/>
    <x v="8"/>
    <s v="대륙 통운"/>
    <n v="2500"/>
    <s v="송파구 마천동 120"/>
  </r>
  <r>
    <n v="15"/>
    <x v="0"/>
    <x v="2"/>
    <x v="9"/>
    <s v="한일 특급"/>
    <n v="2500"/>
    <s v="남구 소사 3동 146"/>
  </r>
  <r>
    <n v="16"/>
    <x v="3"/>
    <x v="2"/>
    <x v="9"/>
    <s v="국제 특송"/>
    <n v="15000"/>
    <s v="덕진구 고랑동 290"/>
  </r>
  <r>
    <n v="17"/>
    <x v="3"/>
    <x v="6"/>
    <x v="9"/>
    <s v="대륙 통운"/>
    <n v="4000"/>
    <s v="야탑동 77"/>
  </r>
  <r>
    <n v="18"/>
    <x v="1"/>
    <x v="2"/>
    <x v="9"/>
    <s v="한일 특급"/>
    <n v="2500"/>
    <s v="중구 원미 1동 120-16"/>
  </r>
  <r>
    <n v="19"/>
    <x v="3"/>
    <x v="3"/>
    <x v="9"/>
    <s v="한일 특급"/>
    <n v="15000"/>
    <s v="강정동 718-1"/>
  </r>
  <r>
    <n v="20"/>
    <x v="3"/>
    <x v="2"/>
    <x v="10"/>
    <s v="한일 특급"/>
    <n v="15000"/>
    <s v="도봉구 미아 7동 334-7"/>
  </r>
  <r>
    <n v="21"/>
    <x v="3"/>
    <x v="6"/>
    <x v="10"/>
    <s v="대륙 통운"/>
    <n v="4000"/>
    <s v="송파구 마천동 120"/>
  </r>
  <r>
    <n v="22"/>
    <x v="1"/>
    <x v="1"/>
    <x v="10"/>
    <s v="대륙 통운"/>
    <n v="4000"/>
    <s v="중구 원미 1동 120-16"/>
  </r>
  <r>
    <n v="23"/>
    <x v="3"/>
    <x v="3"/>
    <x v="10"/>
    <s v="한일 특급"/>
    <n v="10000"/>
    <s v="비전 1동 118-36"/>
  </r>
  <r>
    <n v="24"/>
    <x v="0"/>
    <x v="3"/>
    <x v="10"/>
    <s v="한일 특급"/>
    <n v="10000"/>
    <s v="강서구 화곡 1동 77-3"/>
  </r>
  <r>
    <n v="25"/>
    <x v="1"/>
    <x v="6"/>
    <x v="11"/>
    <s v="한일 특급"/>
    <n v="2500"/>
    <s v="중구 답동 78"/>
  </r>
  <r>
    <n v="26"/>
    <x v="0"/>
    <x v="3"/>
    <x v="11"/>
    <s v="국제 특송"/>
    <n v="15000"/>
    <s v="서구 연희동 400-16"/>
  </r>
  <r>
    <n v="27"/>
    <x v="3"/>
    <x v="6"/>
    <x v="11"/>
    <s v="대륙 통운"/>
    <n v="15000"/>
    <s v="강정동 718-1"/>
  </r>
  <r>
    <n v="28"/>
    <x v="3"/>
    <x v="6"/>
    <x v="11"/>
    <s v="한일 특급"/>
    <n v="15000"/>
    <s v="야탑동 77"/>
  </r>
  <r>
    <n v="29"/>
    <x v="1"/>
    <x v="7"/>
    <x v="12"/>
    <s v="국제 특송"/>
    <n v="15000"/>
    <s v="용산구서빙고동 111-16"/>
  </r>
  <r>
    <n v="30"/>
    <x v="1"/>
    <x v="3"/>
    <x v="12"/>
    <s v="한일 특급"/>
    <n v="10000"/>
    <s v="중구 답동 78"/>
  </r>
  <r>
    <n v="31"/>
    <x v="1"/>
    <x v="0"/>
    <x v="12"/>
    <s v="국제 특송"/>
    <n v="4000"/>
    <s v="용산구서빙고동 111-16"/>
  </r>
  <r>
    <n v="32"/>
    <x v="2"/>
    <x v="5"/>
    <x v="12"/>
    <s v="대륙 통운"/>
    <n v="10000"/>
    <s v="동대문구 신설동 721-11"/>
  </r>
  <r>
    <n v="33"/>
    <x v="2"/>
    <x v="6"/>
    <x v="12"/>
    <s v="대륙 통운"/>
    <n v="2500"/>
    <s v="동대문구 전농1동 742-3"/>
  </r>
  <r>
    <n v="34"/>
    <x v="2"/>
    <x v="0"/>
    <x v="13"/>
    <s v="한일 특급"/>
    <n v="15000"/>
    <s v="금정구 청룡동 168-14"/>
  </r>
  <r>
    <n v="35"/>
    <x v="1"/>
    <x v="4"/>
    <x v="13"/>
    <s v="대륙 통운"/>
    <n v="10000"/>
    <s v="용산구서빙고동 111-16"/>
  </r>
  <r>
    <n v="36"/>
    <x v="3"/>
    <x v="0"/>
    <x v="13"/>
    <s v="한일 특급"/>
    <n v="4000"/>
    <s v="덕진구 고랑동 290"/>
  </r>
  <r>
    <n v="37"/>
    <x v="1"/>
    <x v="8"/>
    <x v="13"/>
    <s v="국제 특송"/>
    <n v="2500"/>
    <s v="중구 답동 78"/>
  </r>
  <r>
    <n v="38"/>
    <x v="2"/>
    <x v="2"/>
    <x v="13"/>
    <s v="국제 특송"/>
    <n v="15000"/>
    <s v="은행동 425-12"/>
  </r>
  <r>
    <n v="39"/>
    <x v="3"/>
    <x v="6"/>
    <x v="14"/>
    <s v="한일 특급"/>
    <n v="10000"/>
    <s v="비전 1동 118-36"/>
  </r>
  <r>
    <n v="40"/>
    <x v="2"/>
    <x v="7"/>
    <x v="14"/>
    <s v="한일 특급"/>
    <n v="4000"/>
    <s v="동대문구 신설동 721-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사원별분석" cacheId="10" applyNumberFormats="0" applyBorderFormats="0" applyFontFormats="0" applyPatternFormats="0" applyAlignmentFormats="0" applyWidthHeightFormats="1" dataCaption="값" updatedVersion="5" minRefreshableVersion="3" useAutoFormatting="1" rowGrandTotals="0" itemPrintTitles="1" mergeItem="1" createdVersion="5" indent="0" outline="1" outlineData="1" multipleFieldFilters="0" chartFormat="2">
  <location ref="B6:L10" firstHeaderRow="1" firstDataRow="2" firstDataCol="1"/>
  <pivotFields count="8">
    <pivotField showAll="0"/>
    <pivotField showAll="0">
      <items count="5">
        <item x="0"/>
        <item x="1"/>
        <item x="3"/>
        <item x="2"/>
        <item t="default"/>
      </items>
    </pivotField>
    <pivotField axis="axisCol" showAll="0">
      <items count="10">
        <item x="8"/>
        <item x="5"/>
        <item x="1"/>
        <item x="6"/>
        <item x="0"/>
        <item x="7"/>
        <item x="4"/>
        <item x="2"/>
        <item x="3"/>
        <item t="default"/>
      </items>
    </pivotField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dataField="1" numFmtId="176" showAll="0"/>
    <pivotField showAll="0"/>
    <pivotField axis="axisRow" showAll="0">
      <items count="4">
        <item x="0"/>
        <item x="1"/>
        <item x="2"/>
        <item t="default"/>
      </items>
    </pivotField>
  </pivotFields>
  <rowFields count="2">
    <field x="7"/>
    <field x="3"/>
  </rowFields>
  <rowItems count="3">
    <i>
      <x v="1"/>
    </i>
    <i r="1">
      <x v="6"/>
    </i>
    <i r="1">
      <x v="7"/>
    </i>
  </rowItems>
  <colFields count="1">
    <field x="2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합계 : 운임" fld="5" baseField="0" baseItem="0" numFmtId="41"/>
  </dataFields>
  <formats count="1">
    <format dxfId="6">
      <pivotArea outline="0" collapsedLevelsAreSubtotals="1" fieldPosition="0"/>
    </format>
  </formats>
  <pivotTableStyleInfo name="PivotStyleMedium13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거래처별분석" cacheId="10" applyNumberFormats="0" applyBorderFormats="0" applyFontFormats="0" applyPatternFormats="0" applyAlignmentFormats="0" applyWidthHeightFormats="1" dataCaption="값" updatedVersion="5" minRefreshableVersion="3" useAutoFormatting="1" rowGrandTotals="0" itemPrintTitles="1" mergeItem="1" createdVersion="5" indent="0" outline="1" outlineData="1" multipleFieldFilters="0" chartFormat="2">
  <location ref="B14:G18" firstHeaderRow="1" firstDataRow="2" firstDataCol="1"/>
  <pivotFields count="8">
    <pivotField showAll="0"/>
    <pivotField axis="axisCol" showAll="0">
      <items count="5">
        <item x="0"/>
        <item x="1"/>
        <item x="3"/>
        <item x="2"/>
        <item t="default"/>
      </items>
    </pivotField>
    <pivotField showAll="0">
      <items count="10">
        <item x="8"/>
        <item x="5"/>
        <item x="1"/>
        <item x="6"/>
        <item x="0"/>
        <item x="7"/>
        <item x="4"/>
        <item x="2"/>
        <item x="3"/>
        <item t="default"/>
      </items>
    </pivotField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dataField="1" numFmtId="176" showAll="0"/>
    <pivotField showAll="0"/>
    <pivotField axis="axisRow" showAll="0">
      <items count="4">
        <item x="0"/>
        <item x="1"/>
        <item x="2"/>
        <item t="default"/>
      </items>
    </pivotField>
  </pivotFields>
  <rowFields count="2">
    <field x="7"/>
    <field x="3"/>
  </rowFields>
  <rowItems count="3">
    <i>
      <x v="1"/>
    </i>
    <i r="1">
      <x v="6"/>
    </i>
    <i r="1">
      <x v="7"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dataFields count="1">
    <dataField name="합계 : 운임" fld="5" baseField="0" baseItem="0" numFmtId="41"/>
  </dataFields>
  <formats count="1">
    <format dxfId="7">
      <pivotArea outline="0" collapsedLevelsAreSubtotals="1" fieldPosition="0"/>
    </format>
  </formats>
  <pivotTableStyleInfo name="PivotStyleMedium10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슬라이서_거래처명" sourceName="거래처명">
  <pivotTables>
    <pivotTable tabId="5" name="사원별분석"/>
    <pivotTable tabId="5" name="거래처별분석"/>
  </pivotTables>
  <data>
    <tabular pivotCacheId="1">
      <items count="4">
        <i x="0" s="1"/>
        <i x="1" s="1"/>
        <i x="3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거래처명" cache="슬라이서_거래처명" caption="조회할 [거래처]를 선택하세요." columnCount="4" style="SlicerStyleDark5" rowHeight="252000"/>
</slicers>
</file>

<file path=xl/tables/table1.xml><?xml version="1.0" encoding="utf-8"?>
<table xmlns="http://schemas.openxmlformats.org/spreadsheetml/2006/main" id="1" name="주문현황표" displayName="주문현황표" ref="A3:G43" totalsRowShown="0">
  <tableColumns count="7">
    <tableColumn id="1" name="번호" dataDxfId="5"/>
    <tableColumn id="2" name="거래처명" dataDxfId="4"/>
    <tableColumn id="3" name="영업담당" dataDxfId="3"/>
    <tableColumn id="4" name="주문일" dataDxfId="2"/>
    <tableColumn id="6" name="배송업체" dataDxfId="1"/>
    <tableColumn id="7" name="운임" dataDxfId="0" dataCellStyle="통화 [0]"/>
    <tableColumn id="8" name="배송 주소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6:L18"/>
  <sheetViews>
    <sheetView showGridLines="0" workbookViewId="0">
      <selection activeCell="J14" sqref="J14"/>
    </sheetView>
  </sheetViews>
  <sheetFormatPr defaultRowHeight="16.5" x14ac:dyDescent="0.3"/>
  <cols>
    <col min="1" max="1" width="1.625" customWidth="1"/>
    <col min="2" max="3" width="13.875" customWidth="1"/>
    <col min="4" max="4" width="9.875" customWidth="1"/>
    <col min="5" max="5" width="10.5" customWidth="1"/>
    <col min="6" max="6" width="9.875" customWidth="1"/>
    <col min="7" max="7" width="10.5" customWidth="1"/>
    <col min="8" max="8" width="9.875" customWidth="1"/>
    <col min="9" max="10" width="11.875" customWidth="1"/>
    <col min="11" max="13" width="9.875" customWidth="1"/>
    <col min="14" max="15" width="11.875" customWidth="1"/>
    <col min="16" max="18" width="9.875" customWidth="1"/>
    <col min="19" max="19" width="11.875" customWidth="1"/>
    <col min="20" max="22" width="9.875" customWidth="1"/>
    <col min="23" max="23" width="11.875" customWidth="1"/>
    <col min="24" max="25" width="9.875" customWidth="1"/>
    <col min="26" max="27" width="11.875" customWidth="1"/>
    <col min="28" max="30" width="9.875" customWidth="1"/>
    <col min="31" max="32" width="11.875" customWidth="1"/>
    <col min="33" max="35" width="9.875" bestFit="1" customWidth="1"/>
    <col min="36" max="36" width="11.875" bestFit="1" customWidth="1"/>
    <col min="37" max="37" width="10.5" bestFit="1" customWidth="1"/>
  </cols>
  <sheetData>
    <row r="6" spans="2:12" x14ac:dyDescent="0.3">
      <c r="B6" s="15" t="s">
        <v>49</v>
      </c>
      <c r="C6" s="15" t="s">
        <v>48</v>
      </c>
      <c r="D6" s="1"/>
      <c r="E6" s="1"/>
      <c r="F6" s="1"/>
      <c r="G6" s="1"/>
      <c r="H6" s="1"/>
      <c r="I6" s="1"/>
      <c r="J6" s="1"/>
      <c r="K6" s="1"/>
      <c r="L6" s="1"/>
    </row>
    <row r="7" spans="2:12" x14ac:dyDescent="0.3">
      <c r="B7" s="15" t="s">
        <v>46</v>
      </c>
      <c r="C7" s="16" t="s">
        <v>44</v>
      </c>
      <c r="D7" s="16" t="s">
        <v>24</v>
      </c>
      <c r="E7" s="16" t="s">
        <v>12</v>
      </c>
      <c r="F7" s="16" t="s">
        <v>26</v>
      </c>
      <c r="G7" s="16" t="s">
        <v>9</v>
      </c>
      <c r="H7" s="16" t="s">
        <v>33</v>
      </c>
      <c r="I7" s="16" t="s">
        <v>21</v>
      </c>
      <c r="J7" s="16" t="s">
        <v>15</v>
      </c>
      <c r="K7" s="16" t="s">
        <v>17</v>
      </c>
      <c r="L7" s="16" t="s">
        <v>47</v>
      </c>
    </row>
    <row r="8" spans="2:12" x14ac:dyDescent="0.3">
      <c r="B8" s="20" t="s">
        <v>50</v>
      </c>
      <c r="C8" s="17">
        <v>2500</v>
      </c>
      <c r="D8" s="17">
        <v>27500</v>
      </c>
      <c r="E8" s="17">
        <v>6500</v>
      </c>
      <c r="F8" s="17">
        <v>70500</v>
      </c>
      <c r="G8" s="17">
        <v>48000</v>
      </c>
      <c r="H8" s="17">
        <v>21500</v>
      </c>
      <c r="I8" s="17">
        <v>25000</v>
      </c>
      <c r="J8" s="17">
        <v>64000</v>
      </c>
      <c r="K8" s="17">
        <v>84000</v>
      </c>
      <c r="L8" s="17">
        <v>349500</v>
      </c>
    </row>
    <row r="9" spans="2:12" x14ac:dyDescent="0.3">
      <c r="B9" s="21" t="s">
        <v>51</v>
      </c>
      <c r="C9" s="17"/>
      <c r="D9" s="17"/>
      <c r="E9" s="17"/>
      <c r="F9" s="17"/>
      <c r="G9" s="17">
        <v>10000</v>
      </c>
      <c r="H9" s="17"/>
      <c r="I9" s="17"/>
      <c r="J9" s="17"/>
      <c r="K9" s="17"/>
      <c r="L9" s="17">
        <v>10000</v>
      </c>
    </row>
    <row r="10" spans="2:12" x14ac:dyDescent="0.3">
      <c r="B10" s="21" t="s">
        <v>52</v>
      </c>
      <c r="C10" s="17">
        <v>2500</v>
      </c>
      <c r="D10" s="17">
        <v>27500</v>
      </c>
      <c r="E10" s="17">
        <v>6500</v>
      </c>
      <c r="F10" s="17">
        <v>70500</v>
      </c>
      <c r="G10" s="17">
        <v>38000</v>
      </c>
      <c r="H10" s="17">
        <v>21500</v>
      </c>
      <c r="I10" s="17">
        <v>25000</v>
      </c>
      <c r="J10" s="17">
        <v>64000</v>
      </c>
      <c r="K10" s="17">
        <v>84000</v>
      </c>
      <c r="L10" s="17">
        <v>339500</v>
      </c>
    </row>
    <row r="14" spans="2:12" x14ac:dyDescent="0.3">
      <c r="B14" s="15" t="s">
        <v>49</v>
      </c>
      <c r="C14" s="15" t="s">
        <v>48</v>
      </c>
      <c r="D14" s="1"/>
      <c r="E14" s="1"/>
      <c r="F14" s="1"/>
      <c r="G14" s="1"/>
    </row>
    <row r="15" spans="2:12" x14ac:dyDescent="0.3">
      <c r="B15" s="15" t="s">
        <v>46</v>
      </c>
      <c r="C15" s="16" t="s">
        <v>8</v>
      </c>
      <c r="D15" s="16" t="s">
        <v>11</v>
      </c>
      <c r="E15" s="16" t="s">
        <v>32</v>
      </c>
      <c r="F15" s="16" t="s">
        <v>20</v>
      </c>
      <c r="G15" s="16" t="s">
        <v>47</v>
      </c>
    </row>
    <row r="16" spans="2:12" x14ac:dyDescent="0.3">
      <c r="B16" s="20" t="s">
        <v>50</v>
      </c>
      <c r="C16" s="17">
        <v>74000</v>
      </c>
      <c r="D16" s="17">
        <v>73000</v>
      </c>
      <c r="E16" s="17">
        <v>109500</v>
      </c>
      <c r="F16" s="17">
        <v>93000</v>
      </c>
      <c r="G16" s="17">
        <v>349500</v>
      </c>
    </row>
    <row r="17" spans="2:7" x14ac:dyDescent="0.3">
      <c r="B17" s="21" t="s">
        <v>51</v>
      </c>
      <c r="C17" s="17">
        <v>10000</v>
      </c>
      <c r="D17" s="17"/>
      <c r="E17" s="17"/>
      <c r="F17" s="17"/>
      <c r="G17" s="17">
        <v>10000</v>
      </c>
    </row>
    <row r="18" spans="2:7" x14ac:dyDescent="0.3">
      <c r="B18" s="21" t="s">
        <v>52</v>
      </c>
      <c r="C18" s="17">
        <v>64000</v>
      </c>
      <c r="D18" s="17">
        <v>73000</v>
      </c>
      <c r="E18" s="17">
        <v>109500</v>
      </c>
      <c r="F18" s="17">
        <v>93000</v>
      </c>
      <c r="G18" s="17">
        <v>339500</v>
      </c>
    </row>
  </sheetData>
  <phoneticPr fontId="1" type="noConversion"/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showGridLines="0" workbookViewId="0">
      <selection activeCell="J3" sqref="J3"/>
    </sheetView>
  </sheetViews>
  <sheetFormatPr defaultRowHeight="16.5" x14ac:dyDescent="0.3"/>
  <cols>
    <col min="1" max="1" width="2.75" customWidth="1"/>
  </cols>
  <sheetData/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G43"/>
  <sheetViews>
    <sheetView topLeftCell="A4" workbookViewId="0">
      <selection activeCell="A4" sqref="A4:G43"/>
    </sheetView>
  </sheetViews>
  <sheetFormatPr defaultRowHeight="16.5" x14ac:dyDescent="0.3"/>
  <cols>
    <col min="1" max="1" width="7" customWidth="1"/>
    <col min="2" max="2" width="11.625" customWidth="1"/>
    <col min="3" max="3" width="11.25" customWidth="1"/>
    <col min="4" max="4" width="11.125" customWidth="1"/>
    <col min="5" max="5" width="11.25" customWidth="1"/>
    <col min="6" max="6" width="12.125" customWidth="1"/>
    <col min="7" max="7" width="24.75" customWidth="1"/>
  </cols>
  <sheetData>
    <row r="1" spans="1:7" ht="27.75" customHeight="1" x14ac:dyDescent="0.3">
      <c r="A1" s="28" t="s">
        <v>6</v>
      </c>
      <c r="B1" s="28"/>
      <c r="C1" s="28"/>
      <c r="D1" s="28"/>
      <c r="E1" s="28"/>
      <c r="F1" s="28"/>
      <c r="G1" s="28"/>
    </row>
    <row r="2" spans="1:7" ht="10.5" customHeight="1" x14ac:dyDescent="0.3"/>
    <row r="3" spans="1:7" x14ac:dyDescent="0.3">
      <c r="A3" s="1" t="s">
        <v>7</v>
      </c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t="s">
        <v>5</v>
      </c>
    </row>
    <row r="4" spans="1:7" x14ac:dyDescent="0.3">
      <c r="A4" s="1">
        <v>1</v>
      </c>
      <c r="B4" s="1" t="s">
        <v>8</v>
      </c>
      <c r="C4" s="1" t="s">
        <v>9</v>
      </c>
      <c r="D4" s="2">
        <v>41820</v>
      </c>
      <c r="E4" s="1" t="s">
        <v>10</v>
      </c>
      <c r="F4" s="3">
        <v>10000</v>
      </c>
      <c r="G4" t="s">
        <v>54</v>
      </c>
    </row>
    <row r="5" spans="1:7" x14ac:dyDescent="0.3">
      <c r="A5" s="1">
        <v>2</v>
      </c>
      <c r="B5" s="1" t="s">
        <v>11</v>
      </c>
      <c r="C5" s="1" t="s">
        <v>12</v>
      </c>
      <c r="D5" s="2">
        <v>41821</v>
      </c>
      <c r="E5" s="1" t="s">
        <v>13</v>
      </c>
      <c r="F5" s="3">
        <v>2500</v>
      </c>
      <c r="G5" t="s">
        <v>14</v>
      </c>
    </row>
    <row r="6" spans="1:7" x14ac:dyDescent="0.3">
      <c r="A6" s="1">
        <v>3</v>
      </c>
      <c r="B6" s="1" t="s">
        <v>11</v>
      </c>
      <c r="C6" s="1" t="s">
        <v>15</v>
      </c>
      <c r="D6" s="2">
        <v>41822</v>
      </c>
      <c r="E6" s="1" t="s">
        <v>13</v>
      </c>
      <c r="F6" s="3">
        <v>10000</v>
      </c>
      <c r="G6" t="s">
        <v>16</v>
      </c>
    </row>
    <row r="7" spans="1:7" x14ac:dyDescent="0.3">
      <c r="A7" s="1">
        <v>4</v>
      </c>
      <c r="B7" s="1" t="s">
        <v>11</v>
      </c>
      <c r="C7" s="1" t="s">
        <v>17</v>
      </c>
      <c r="D7" s="2">
        <v>41825</v>
      </c>
      <c r="E7" s="1" t="s">
        <v>18</v>
      </c>
      <c r="F7" s="3">
        <v>10000</v>
      </c>
      <c r="G7" t="s">
        <v>19</v>
      </c>
    </row>
    <row r="8" spans="1:7" x14ac:dyDescent="0.3">
      <c r="A8" s="1">
        <v>5</v>
      </c>
      <c r="B8" s="1" t="s">
        <v>20</v>
      </c>
      <c r="C8" s="1" t="s">
        <v>21</v>
      </c>
      <c r="D8" s="2">
        <v>41826</v>
      </c>
      <c r="E8" s="1" t="s">
        <v>10</v>
      </c>
      <c r="F8" s="3">
        <v>15000</v>
      </c>
      <c r="G8" t="s">
        <v>22</v>
      </c>
    </row>
    <row r="9" spans="1:7" x14ac:dyDescent="0.3">
      <c r="A9" s="1">
        <v>6</v>
      </c>
      <c r="B9" s="1" t="s">
        <v>8</v>
      </c>
      <c r="C9" s="1" t="s">
        <v>15</v>
      </c>
      <c r="D9" s="2">
        <v>41827</v>
      </c>
      <c r="E9" s="1" t="s">
        <v>18</v>
      </c>
      <c r="F9" s="3">
        <v>4000</v>
      </c>
      <c r="G9" t="s">
        <v>23</v>
      </c>
    </row>
    <row r="10" spans="1:7" x14ac:dyDescent="0.3">
      <c r="A10" s="1">
        <v>7</v>
      </c>
      <c r="B10" s="1" t="s">
        <v>8</v>
      </c>
      <c r="C10" s="1" t="s">
        <v>24</v>
      </c>
      <c r="D10" s="2">
        <v>41828</v>
      </c>
      <c r="E10" s="1" t="s">
        <v>18</v>
      </c>
      <c r="F10" s="3">
        <v>15000</v>
      </c>
      <c r="G10" t="s">
        <v>25</v>
      </c>
    </row>
    <row r="11" spans="1:7" x14ac:dyDescent="0.3">
      <c r="A11" s="1">
        <v>8</v>
      </c>
      <c r="B11" s="1" t="s">
        <v>20</v>
      </c>
      <c r="C11" s="1" t="s">
        <v>26</v>
      </c>
      <c r="D11" s="2">
        <v>41830</v>
      </c>
      <c r="E11" s="1" t="s">
        <v>18</v>
      </c>
      <c r="F11" s="3">
        <v>2500</v>
      </c>
      <c r="G11" t="s">
        <v>27</v>
      </c>
    </row>
    <row r="12" spans="1:7" x14ac:dyDescent="0.3">
      <c r="A12" s="1">
        <v>9</v>
      </c>
      <c r="B12" s="1" t="s">
        <v>8</v>
      </c>
      <c r="C12" s="1" t="s">
        <v>26</v>
      </c>
      <c r="D12" s="2">
        <v>41830</v>
      </c>
      <c r="E12" s="1" t="s">
        <v>18</v>
      </c>
      <c r="F12" s="3">
        <v>15000</v>
      </c>
      <c r="G12" t="s">
        <v>28</v>
      </c>
    </row>
    <row r="13" spans="1:7" x14ac:dyDescent="0.3">
      <c r="A13" s="1">
        <v>10</v>
      </c>
      <c r="B13" s="1" t="s">
        <v>20</v>
      </c>
      <c r="C13" s="1" t="s">
        <v>9</v>
      </c>
      <c r="D13" s="2">
        <v>41830</v>
      </c>
      <c r="E13" s="1" t="s">
        <v>18</v>
      </c>
      <c r="F13" s="3">
        <v>15000</v>
      </c>
      <c r="G13" t="s">
        <v>29</v>
      </c>
    </row>
    <row r="14" spans="1:7" x14ac:dyDescent="0.3">
      <c r="A14" s="1">
        <v>11</v>
      </c>
      <c r="B14" s="1" t="s">
        <v>8</v>
      </c>
      <c r="C14" s="1" t="s">
        <v>24</v>
      </c>
      <c r="D14" s="2">
        <v>41833</v>
      </c>
      <c r="E14" s="1" t="s">
        <v>10</v>
      </c>
      <c r="F14" s="3">
        <v>2500</v>
      </c>
      <c r="G14" t="s">
        <v>30</v>
      </c>
    </row>
    <row r="15" spans="1:7" x14ac:dyDescent="0.3">
      <c r="A15" s="1">
        <v>12</v>
      </c>
      <c r="B15" s="1" t="s">
        <v>20</v>
      </c>
      <c r="C15" s="1" t="s">
        <v>17</v>
      </c>
      <c r="D15" s="2">
        <v>41833</v>
      </c>
      <c r="E15" s="1" t="s">
        <v>13</v>
      </c>
      <c r="F15" s="3">
        <v>4000</v>
      </c>
      <c r="G15" t="s">
        <v>27</v>
      </c>
    </row>
    <row r="16" spans="1:7" x14ac:dyDescent="0.3">
      <c r="A16" s="1">
        <v>13</v>
      </c>
      <c r="B16" s="1" t="s">
        <v>20</v>
      </c>
      <c r="C16" s="1" t="s">
        <v>17</v>
      </c>
      <c r="D16" s="2">
        <v>41833</v>
      </c>
      <c r="E16" s="1" t="s">
        <v>18</v>
      </c>
      <c r="F16" s="3">
        <v>10000</v>
      </c>
      <c r="G16" t="s">
        <v>31</v>
      </c>
    </row>
    <row r="17" spans="1:7" x14ac:dyDescent="0.3">
      <c r="A17" s="1">
        <v>14</v>
      </c>
      <c r="B17" s="1" t="s">
        <v>32</v>
      </c>
      <c r="C17" s="1" t="s">
        <v>33</v>
      </c>
      <c r="D17" s="2">
        <v>41833</v>
      </c>
      <c r="E17" s="1" t="s">
        <v>13</v>
      </c>
      <c r="F17" s="3">
        <v>2500</v>
      </c>
      <c r="G17" t="s">
        <v>34</v>
      </c>
    </row>
    <row r="18" spans="1:7" x14ac:dyDescent="0.3">
      <c r="A18" s="1">
        <v>15</v>
      </c>
      <c r="B18" s="1" t="s">
        <v>8</v>
      </c>
      <c r="C18" s="1" t="s">
        <v>15</v>
      </c>
      <c r="D18" s="2">
        <v>41834</v>
      </c>
      <c r="E18" s="1" t="s">
        <v>18</v>
      </c>
      <c r="F18" s="3">
        <v>2500</v>
      </c>
      <c r="G18" t="s">
        <v>28</v>
      </c>
    </row>
    <row r="19" spans="1:7" x14ac:dyDescent="0.3">
      <c r="A19" s="1">
        <v>16</v>
      </c>
      <c r="B19" s="1" t="s">
        <v>32</v>
      </c>
      <c r="C19" s="1" t="s">
        <v>15</v>
      </c>
      <c r="D19" s="2">
        <v>41834</v>
      </c>
      <c r="E19" s="1" t="s">
        <v>10</v>
      </c>
      <c r="F19" s="3">
        <v>15000</v>
      </c>
      <c r="G19" t="s">
        <v>35</v>
      </c>
    </row>
    <row r="20" spans="1:7" x14ac:dyDescent="0.3">
      <c r="A20" s="1">
        <v>17</v>
      </c>
      <c r="B20" s="1" t="s">
        <v>32</v>
      </c>
      <c r="C20" s="1" t="s">
        <v>26</v>
      </c>
      <c r="D20" s="2">
        <v>41834</v>
      </c>
      <c r="E20" s="1" t="s">
        <v>13</v>
      </c>
      <c r="F20" s="3">
        <v>4000</v>
      </c>
      <c r="G20" t="s">
        <v>36</v>
      </c>
    </row>
    <row r="21" spans="1:7" x14ac:dyDescent="0.3">
      <c r="A21" s="1">
        <v>18</v>
      </c>
      <c r="B21" s="1" t="s">
        <v>11</v>
      </c>
      <c r="C21" s="1" t="s">
        <v>15</v>
      </c>
      <c r="D21" s="2">
        <v>41834</v>
      </c>
      <c r="E21" s="1" t="s">
        <v>18</v>
      </c>
      <c r="F21" s="3">
        <v>2500</v>
      </c>
      <c r="G21" t="s">
        <v>14</v>
      </c>
    </row>
    <row r="22" spans="1:7" x14ac:dyDescent="0.3">
      <c r="A22" s="1">
        <v>19</v>
      </c>
      <c r="B22" s="1" t="s">
        <v>32</v>
      </c>
      <c r="C22" s="1" t="s">
        <v>17</v>
      </c>
      <c r="D22" s="2">
        <v>41834</v>
      </c>
      <c r="E22" s="1" t="s">
        <v>18</v>
      </c>
      <c r="F22" s="3">
        <v>15000</v>
      </c>
      <c r="G22" t="s">
        <v>37</v>
      </c>
    </row>
    <row r="23" spans="1:7" x14ac:dyDescent="0.3">
      <c r="A23" s="1">
        <v>20</v>
      </c>
      <c r="B23" s="1" t="s">
        <v>32</v>
      </c>
      <c r="C23" s="1" t="s">
        <v>15</v>
      </c>
      <c r="D23" s="2">
        <v>41836</v>
      </c>
      <c r="E23" s="1" t="s">
        <v>18</v>
      </c>
      <c r="F23" s="3">
        <v>15000</v>
      </c>
      <c r="G23" t="s">
        <v>38</v>
      </c>
    </row>
    <row r="24" spans="1:7" x14ac:dyDescent="0.3">
      <c r="A24" s="1">
        <v>21</v>
      </c>
      <c r="B24" s="1" t="s">
        <v>32</v>
      </c>
      <c r="C24" s="1" t="s">
        <v>26</v>
      </c>
      <c r="D24" s="2">
        <v>41836</v>
      </c>
      <c r="E24" s="1" t="s">
        <v>13</v>
      </c>
      <c r="F24" s="3">
        <v>4000</v>
      </c>
      <c r="G24" t="s">
        <v>34</v>
      </c>
    </row>
    <row r="25" spans="1:7" x14ac:dyDescent="0.3">
      <c r="A25" s="1">
        <v>22</v>
      </c>
      <c r="B25" s="1" t="s">
        <v>11</v>
      </c>
      <c r="C25" s="1" t="s">
        <v>12</v>
      </c>
      <c r="D25" s="2">
        <v>41836</v>
      </c>
      <c r="E25" s="1" t="s">
        <v>13</v>
      </c>
      <c r="F25" s="3">
        <v>4000</v>
      </c>
      <c r="G25" t="s">
        <v>14</v>
      </c>
    </row>
    <row r="26" spans="1:7" x14ac:dyDescent="0.3">
      <c r="A26" s="1">
        <v>23</v>
      </c>
      <c r="B26" s="1" t="s">
        <v>32</v>
      </c>
      <c r="C26" s="1" t="s">
        <v>17</v>
      </c>
      <c r="D26" s="2">
        <v>41836</v>
      </c>
      <c r="E26" s="1" t="s">
        <v>18</v>
      </c>
      <c r="F26" s="3">
        <v>10000</v>
      </c>
      <c r="G26" t="s">
        <v>39</v>
      </c>
    </row>
    <row r="27" spans="1:7" x14ac:dyDescent="0.3">
      <c r="A27" s="1">
        <v>24</v>
      </c>
      <c r="B27" s="1" t="s">
        <v>8</v>
      </c>
      <c r="C27" s="1" t="s">
        <v>17</v>
      </c>
      <c r="D27" s="2">
        <v>41836</v>
      </c>
      <c r="E27" s="1" t="s">
        <v>18</v>
      </c>
      <c r="F27" s="3">
        <v>10000</v>
      </c>
      <c r="G27" t="s">
        <v>40</v>
      </c>
    </row>
    <row r="28" spans="1:7" x14ac:dyDescent="0.3">
      <c r="A28" s="1">
        <v>25</v>
      </c>
      <c r="B28" s="1" t="s">
        <v>11</v>
      </c>
      <c r="C28" s="1" t="s">
        <v>26</v>
      </c>
      <c r="D28" s="2">
        <v>41837</v>
      </c>
      <c r="E28" s="1" t="s">
        <v>18</v>
      </c>
      <c r="F28" s="3">
        <v>2500</v>
      </c>
      <c r="G28" t="s">
        <v>16</v>
      </c>
    </row>
    <row r="29" spans="1:7" x14ac:dyDescent="0.3">
      <c r="A29" s="1">
        <v>26</v>
      </c>
      <c r="B29" s="1" t="s">
        <v>8</v>
      </c>
      <c r="C29" s="1" t="s">
        <v>17</v>
      </c>
      <c r="D29" s="2">
        <v>41837</v>
      </c>
      <c r="E29" s="1" t="s">
        <v>10</v>
      </c>
      <c r="F29" s="3">
        <v>15000</v>
      </c>
      <c r="G29" t="s">
        <v>25</v>
      </c>
    </row>
    <row r="30" spans="1:7" x14ac:dyDescent="0.3">
      <c r="A30" s="1">
        <v>27</v>
      </c>
      <c r="B30" s="1" t="s">
        <v>32</v>
      </c>
      <c r="C30" s="1" t="s">
        <v>26</v>
      </c>
      <c r="D30" s="2">
        <v>41837</v>
      </c>
      <c r="E30" s="1" t="s">
        <v>13</v>
      </c>
      <c r="F30" s="3">
        <v>15000</v>
      </c>
      <c r="G30" t="s">
        <v>37</v>
      </c>
    </row>
    <row r="31" spans="1:7" x14ac:dyDescent="0.3">
      <c r="A31" s="1">
        <v>28</v>
      </c>
      <c r="B31" s="1" t="s">
        <v>32</v>
      </c>
      <c r="C31" s="1" t="s">
        <v>26</v>
      </c>
      <c r="D31" s="2">
        <v>41837</v>
      </c>
      <c r="E31" s="1" t="s">
        <v>18</v>
      </c>
      <c r="F31" s="3">
        <v>15000</v>
      </c>
      <c r="G31" t="s">
        <v>36</v>
      </c>
    </row>
    <row r="32" spans="1:7" x14ac:dyDescent="0.3">
      <c r="A32" s="1">
        <v>29</v>
      </c>
      <c r="B32" s="1" t="s">
        <v>11</v>
      </c>
      <c r="C32" s="1" t="s">
        <v>33</v>
      </c>
      <c r="D32" s="2">
        <v>41838</v>
      </c>
      <c r="E32" s="1" t="s">
        <v>10</v>
      </c>
      <c r="F32" s="3">
        <v>15000</v>
      </c>
      <c r="G32" t="s">
        <v>19</v>
      </c>
    </row>
    <row r="33" spans="1:7" x14ac:dyDescent="0.3">
      <c r="A33" s="1">
        <v>30</v>
      </c>
      <c r="B33" s="1" t="s">
        <v>11</v>
      </c>
      <c r="C33" s="1" t="s">
        <v>17</v>
      </c>
      <c r="D33" s="2">
        <v>41838</v>
      </c>
      <c r="E33" s="1" t="s">
        <v>18</v>
      </c>
      <c r="F33" s="3">
        <v>10000</v>
      </c>
      <c r="G33" t="s">
        <v>16</v>
      </c>
    </row>
    <row r="34" spans="1:7" x14ac:dyDescent="0.3">
      <c r="A34" s="1">
        <v>31</v>
      </c>
      <c r="B34" s="1" t="s">
        <v>11</v>
      </c>
      <c r="C34" s="1" t="s">
        <v>9</v>
      </c>
      <c r="D34" s="2">
        <v>41838</v>
      </c>
      <c r="E34" s="1" t="s">
        <v>10</v>
      </c>
      <c r="F34" s="3">
        <v>4000</v>
      </c>
      <c r="G34" t="s">
        <v>19</v>
      </c>
    </row>
    <row r="35" spans="1:7" x14ac:dyDescent="0.3">
      <c r="A35" s="1">
        <v>32</v>
      </c>
      <c r="B35" s="1" t="s">
        <v>20</v>
      </c>
      <c r="C35" s="1" t="s">
        <v>24</v>
      </c>
      <c r="D35" s="2">
        <v>41838</v>
      </c>
      <c r="E35" s="1" t="s">
        <v>13</v>
      </c>
      <c r="F35" s="3">
        <v>10000</v>
      </c>
      <c r="G35" t="s">
        <v>41</v>
      </c>
    </row>
    <row r="36" spans="1:7" x14ac:dyDescent="0.3">
      <c r="A36" s="1">
        <v>33</v>
      </c>
      <c r="B36" s="1" t="s">
        <v>20</v>
      </c>
      <c r="C36" s="1" t="s">
        <v>26</v>
      </c>
      <c r="D36" s="2">
        <v>41838</v>
      </c>
      <c r="E36" s="1" t="s">
        <v>13</v>
      </c>
      <c r="F36" s="3">
        <v>2500</v>
      </c>
      <c r="G36" t="s">
        <v>42</v>
      </c>
    </row>
    <row r="37" spans="1:7" x14ac:dyDescent="0.3">
      <c r="A37" s="1">
        <v>34</v>
      </c>
      <c r="B37" s="1" t="s">
        <v>20</v>
      </c>
      <c r="C37" s="1" t="s">
        <v>9</v>
      </c>
      <c r="D37" s="2">
        <v>41839</v>
      </c>
      <c r="E37" s="1" t="s">
        <v>18</v>
      </c>
      <c r="F37" s="3">
        <v>15000</v>
      </c>
      <c r="G37" t="s">
        <v>43</v>
      </c>
    </row>
    <row r="38" spans="1:7" x14ac:dyDescent="0.3">
      <c r="A38" s="1">
        <v>35</v>
      </c>
      <c r="B38" s="1" t="s">
        <v>11</v>
      </c>
      <c r="C38" s="1" t="s">
        <v>21</v>
      </c>
      <c r="D38" s="2">
        <v>41839</v>
      </c>
      <c r="E38" s="1" t="s">
        <v>13</v>
      </c>
      <c r="F38" s="3">
        <v>10000</v>
      </c>
      <c r="G38" t="s">
        <v>19</v>
      </c>
    </row>
    <row r="39" spans="1:7" x14ac:dyDescent="0.3">
      <c r="A39" s="1">
        <v>36</v>
      </c>
      <c r="B39" s="1" t="s">
        <v>32</v>
      </c>
      <c r="C39" s="1" t="s">
        <v>9</v>
      </c>
      <c r="D39" s="2">
        <v>41839</v>
      </c>
      <c r="E39" s="1" t="s">
        <v>18</v>
      </c>
      <c r="F39" s="3">
        <v>4000</v>
      </c>
      <c r="G39" t="s">
        <v>35</v>
      </c>
    </row>
    <row r="40" spans="1:7" x14ac:dyDescent="0.3">
      <c r="A40" s="1">
        <v>37</v>
      </c>
      <c r="B40" s="1" t="s">
        <v>11</v>
      </c>
      <c r="C40" s="1" t="s">
        <v>44</v>
      </c>
      <c r="D40" s="2">
        <v>41839</v>
      </c>
      <c r="E40" s="1" t="s">
        <v>10</v>
      </c>
      <c r="F40" s="3">
        <v>2500</v>
      </c>
      <c r="G40" t="s">
        <v>16</v>
      </c>
    </row>
    <row r="41" spans="1:7" x14ac:dyDescent="0.3">
      <c r="A41" s="1">
        <v>38</v>
      </c>
      <c r="B41" s="1" t="s">
        <v>20</v>
      </c>
      <c r="C41" s="1" t="s">
        <v>15</v>
      </c>
      <c r="D41" s="2">
        <v>41839</v>
      </c>
      <c r="E41" s="1" t="s">
        <v>10</v>
      </c>
      <c r="F41" s="3">
        <v>15000</v>
      </c>
      <c r="G41" t="s">
        <v>45</v>
      </c>
    </row>
    <row r="42" spans="1:7" x14ac:dyDescent="0.3">
      <c r="A42" s="1">
        <v>39</v>
      </c>
      <c r="B42" s="1" t="s">
        <v>32</v>
      </c>
      <c r="C42" s="1" t="s">
        <v>26</v>
      </c>
      <c r="D42" s="2">
        <v>41843</v>
      </c>
      <c r="E42" s="1" t="s">
        <v>18</v>
      </c>
      <c r="F42" s="3">
        <v>10000</v>
      </c>
      <c r="G42" t="s">
        <v>39</v>
      </c>
    </row>
    <row r="43" spans="1:7" x14ac:dyDescent="0.3">
      <c r="A43" s="1">
        <v>40</v>
      </c>
      <c r="B43" s="1" t="s">
        <v>20</v>
      </c>
      <c r="C43" s="1" t="s">
        <v>33</v>
      </c>
      <c r="D43" s="2">
        <v>41843</v>
      </c>
      <c r="E43" s="1" t="s">
        <v>18</v>
      </c>
      <c r="F43" s="3">
        <v>4000</v>
      </c>
      <c r="G43" t="s">
        <v>41</v>
      </c>
    </row>
  </sheetData>
  <mergeCells count="1">
    <mergeCell ref="A1:G1"/>
  </mergeCells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90" fitToHeight="0" orientation="portrait" verticalDpi="0" r:id="rId1"/>
  <headerFooter>
    <oddFooter>&amp;C&amp;P / &amp;N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1"/>
  <sheetViews>
    <sheetView workbookViewId="0">
      <selection sqref="A1:B2"/>
    </sheetView>
  </sheetViews>
  <sheetFormatPr defaultRowHeight="16.5" x14ac:dyDescent="0.3"/>
  <cols>
    <col min="1" max="2" width="11.625" customWidth="1"/>
    <col min="4" max="5" width="12.125" customWidth="1"/>
    <col min="7" max="7" width="12.125" customWidth="1"/>
    <col min="8" max="8" width="11.25" customWidth="1"/>
  </cols>
  <sheetData>
    <row r="1" spans="1:8" x14ac:dyDescent="0.3">
      <c r="A1" s="4" t="s">
        <v>0</v>
      </c>
      <c r="B1" s="4" t="s">
        <v>55</v>
      </c>
      <c r="D1" s="5" t="s">
        <v>1</v>
      </c>
      <c r="E1" s="5" t="s">
        <v>55</v>
      </c>
      <c r="G1" s="6" t="s">
        <v>3</v>
      </c>
      <c r="H1" s="6" t="s">
        <v>53</v>
      </c>
    </row>
    <row r="2" spans="1:8" x14ac:dyDescent="0.3">
      <c r="A2" s="7" t="s">
        <v>8</v>
      </c>
      <c r="B2" s="25">
        <f>IFERROR(SUMIF(주문현황표[거래처명],기초자료!A2,주문현황표[운임]),"")</f>
        <v>74000</v>
      </c>
      <c r="D2" s="8" t="s">
        <v>9</v>
      </c>
      <c r="E2" s="22">
        <f>IFERROR(SUMIF(주문현황표[영업담당],기초자료!D2,주문현황표[운임]),"")</f>
        <v>48000</v>
      </c>
      <c r="G2" s="9" t="s">
        <v>10</v>
      </c>
      <c r="H2" s="18">
        <f>IFERROR(SUMIF(주문현황표[배송업체],기초자료!G2,주문현황표[운임]),"")</f>
        <v>94000</v>
      </c>
    </row>
    <row r="3" spans="1:8" x14ac:dyDescent="0.3">
      <c r="A3" s="10" t="s">
        <v>11</v>
      </c>
      <c r="B3" s="26">
        <f>IFERROR(SUMIF(주문현황표[거래처명],기초자료!A3,주문현황표[운임]),"")</f>
        <v>73000</v>
      </c>
      <c r="D3" s="11" t="s">
        <v>12</v>
      </c>
      <c r="E3" s="23">
        <f>IFERROR(SUMIF(주문현황표[영업담당],기초자료!D3,주문현황표[운임]),"")</f>
        <v>6500</v>
      </c>
      <c r="G3" s="9" t="s">
        <v>13</v>
      </c>
      <c r="H3" s="18">
        <f>IFERROR(SUMIF(주문현황표[배송업체],기초자료!G3,주문현황표[운임]),"")</f>
        <v>68500</v>
      </c>
    </row>
    <row r="4" spans="1:8" x14ac:dyDescent="0.3">
      <c r="A4" s="7" t="s">
        <v>20</v>
      </c>
      <c r="B4" s="25">
        <f>IFERROR(SUMIF(주문현황표[거래처명],기초자료!A4,주문현황표[운임]),"")</f>
        <v>93000</v>
      </c>
      <c r="D4" s="8" t="s">
        <v>15</v>
      </c>
      <c r="E4" s="22">
        <f>IFERROR(SUMIF(주문현황표[영업담당],기초자료!D4,주문현황표[운임]),"")</f>
        <v>64000</v>
      </c>
      <c r="G4" s="9" t="s">
        <v>18</v>
      </c>
      <c r="H4" s="18">
        <f>IFERROR(SUMIF(주문현황표[배송업체],기초자료!G4,주문현황표[운임]),"")</f>
        <v>187000</v>
      </c>
    </row>
    <row r="5" spans="1:8" x14ac:dyDescent="0.3">
      <c r="A5" s="10" t="s">
        <v>32</v>
      </c>
      <c r="B5" s="26">
        <f>IFERROR(SUMIF(주문현황표[거래처명],기초자료!A5,주문현황표[운임]),"")</f>
        <v>109500</v>
      </c>
      <c r="D5" s="11" t="s">
        <v>17</v>
      </c>
      <c r="E5" s="23">
        <f>IFERROR(SUMIF(주문현황표[영업담당],기초자료!D5,주문현황표[운임]),"")</f>
        <v>84000</v>
      </c>
      <c r="G5" s="12"/>
      <c r="H5" s="19">
        <f>IFERROR(SUMIF(주문현황표[배송업체],기초자료!G5,주문현황표[운임]),"")</f>
        <v>0</v>
      </c>
    </row>
    <row r="6" spans="1:8" x14ac:dyDescent="0.3">
      <c r="A6" s="13"/>
      <c r="B6" s="27">
        <f>IFERROR(SUMIF(주문현황표[거래처명],기초자료!A6,주문현황표[운임]),"")</f>
        <v>0</v>
      </c>
      <c r="D6" s="8" t="s">
        <v>21</v>
      </c>
      <c r="E6" s="22">
        <f>IFERROR(SUMIF(주문현황표[영업담당],기초자료!D6,주문현황표[운임]),"")</f>
        <v>25000</v>
      </c>
    </row>
    <row r="7" spans="1:8" x14ac:dyDescent="0.3">
      <c r="D7" s="11" t="s">
        <v>24</v>
      </c>
      <c r="E7" s="23">
        <f>IFERROR(SUMIF(주문현황표[영업담당],기초자료!D7,주문현황표[운임]),"")</f>
        <v>27500</v>
      </c>
    </row>
    <row r="8" spans="1:8" x14ac:dyDescent="0.3">
      <c r="D8" s="8" t="s">
        <v>26</v>
      </c>
      <c r="E8" s="22">
        <f>IFERROR(SUMIF(주문현황표[영업담당],기초자료!D8,주문현황표[운임]),"")</f>
        <v>70500</v>
      </c>
    </row>
    <row r="9" spans="1:8" x14ac:dyDescent="0.3">
      <c r="D9" s="11" t="s">
        <v>33</v>
      </c>
      <c r="E9" s="23">
        <f>IFERROR(SUMIF(주문현황표[영업담당],기초자료!D9,주문현황표[운임]),"")</f>
        <v>21500</v>
      </c>
    </row>
    <row r="10" spans="1:8" x14ac:dyDescent="0.3">
      <c r="D10" s="8" t="s">
        <v>44</v>
      </c>
      <c r="E10" s="22">
        <f>IFERROR(SUMIF(주문현황표[영업담당],기초자료!D10,주문현황표[운임]),"")</f>
        <v>2500</v>
      </c>
    </row>
    <row r="11" spans="1:8" x14ac:dyDescent="0.3">
      <c r="D11" s="14"/>
      <c r="E11" s="24">
        <f>IFERROR(SUMIF(주문현황표[영업담당],기초자료!D11,주문현황표[운임]),"")</f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tabSelected="1" workbookViewId="0">
      <selection activeCell="G3" sqref="G3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차트</vt:lpstr>
      </vt:variant>
      <vt:variant>
        <vt:i4>1</vt:i4>
      </vt:variant>
    </vt:vector>
  </HeadingPairs>
  <TitlesOfParts>
    <vt:vector size="6" baseType="lpstr">
      <vt:lpstr>피벗분석</vt:lpstr>
      <vt:lpstr>요약차트</vt:lpstr>
      <vt:lpstr>전체자료</vt:lpstr>
      <vt:lpstr>기초자료</vt:lpstr>
      <vt:lpstr>Sheet1</vt:lpstr>
      <vt:lpstr>배송업체별차트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2014-05-11T10:05:26Z</dcterms:modified>
  <cp:category>엑셀 매크로</cp:category>
</cp:coreProperties>
</file>