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 tabRatio="746"/>
  </bookViews>
  <sheets>
    <sheet name="거래처별" sheetId="5" r:id="rId1"/>
    <sheet name="배송업체별차트" sheetId="7" r:id="rId2"/>
    <sheet name="전체자료" sheetId="3" r:id="rId3"/>
    <sheet name="기초자료" sheetId="4" r:id="rId4"/>
  </sheets>
  <definedNames>
    <definedName name="_xlnm._FilterDatabase" localSheetId="2" hidden="1">전체자료!$A$3:$G$43</definedName>
    <definedName name="슬라이서_영업담당">#N/A</definedName>
  </definedNames>
  <calcPr calcId="152511"/>
  <pivotCaches>
    <pivotCache cacheId="4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4" l="1"/>
  <c r="F3" i="4"/>
  <c r="F4" i="4"/>
  <c r="F5" i="4" l="1"/>
</calcChain>
</file>

<file path=xl/sharedStrings.xml><?xml version="1.0" encoding="utf-8"?>
<sst xmlns="http://schemas.openxmlformats.org/spreadsheetml/2006/main" count="199" uniqueCount="55">
  <si>
    <t>거래처명</t>
  </si>
  <si>
    <t>영업담당</t>
  </si>
  <si>
    <t>주문일</t>
  </si>
  <si>
    <t>배송업체</t>
  </si>
  <si>
    <t>운임</t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</si>
  <si>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</si>
  <si>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</si>
  <si>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</si>
  <si>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</si>
  <si>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</si>
  <si>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</si>
  <si>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</si>
  <si>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</si>
  <si>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</si>
  <si>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</si>
  <si>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</si>
  <si>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</si>
  <si>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</si>
  <si>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</si>
  <si>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</si>
  <si>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</si>
  <si>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</si>
  <si>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</si>
  <si>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</si>
  <si>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</si>
  <si>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</si>
  <si>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</si>
  <si>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</si>
  <si>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</si>
  <si>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</si>
  <si>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</si>
  <si>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</si>
  <si>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</si>
  <si>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</si>
  <si>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</si>
  <si>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</si>
  <si>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</si>
  <si>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</si>
  <si>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</si>
  <si>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</si>
  <si>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</si>
  <si>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</si>
  <si>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</si>
  <si>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</si>
  <si>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</si>
  <si>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</si>
  <si>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</si>
  <si>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행 레이블</t>
  </si>
  <si>
    <t>총합계</t>
  </si>
  <si>
    <t>열 레이블</t>
  </si>
  <si>
    <t>합계 : 운임</t>
  </si>
  <si>
    <t>2014년</t>
  </si>
  <si>
    <t>6월</t>
  </si>
  <si>
    <t>7월</t>
  </si>
  <si>
    <t>실적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</si>
</sst>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_(&quot;₩&quot;* #,##0_);_(&quot;₩&quot;* \(#,##0\);_(&quot;₩&quot;* &quot;-&quot;_);_(@_)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8"/>
      <color theme="9" tint="-0.499984740745262"/>
      <name val="HY크리스탈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7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5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0" fillId="6" borderId="2" xfId="0" applyFont="1" applyFill="1" applyBorder="1">
      <alignment vertical="center"/>
    </xf>
    <xf numFmtId="0" fontId="0" fillId="7" borderId="1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4" xfId="0" applyFont="1" applyBorder="1">
      <alignment vertical="center"/>
    </xf>
    <xf numFmtId="0" fontId="0" fillId="6" borderId="5" xfId="0" applyFont="1" applyFill="1" applyBorder="1">
      <alignment vertical="center"/>
    </xf>
    <xf numFmtId="0" fontId="0" fillId="0" borderId="6" xfId="0" applyFont="1" applyBorder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41" fontId="0" fillId="0" borderId="0" xfId="0" applyNumberFormat="1" applyAlignment="1">
      <alignment horizontal="left" vertical="center"/>
    </xf>
    <xf numFmtId="41" fontId="0" fillId="0" borderId="0" xfId="0" applyNumberFormat="1" applyAlignment="1">
      <alignment horizontal="left" vertical="center" indent="1"/>
    </xf>
    <xf numFmtId="41" fontId="0" fillId="0" borderId="3" xfId="4" applyFont="1" applyBorder="1">
      <alignment vertical="center"/>
    </xf>
    <xf numFmtId="41" fontId="0" fillId="0" borderId="4" xfId="4" applyFont="1" applyBorder="1">
      <alignment vertical="center"/>
    </xf>
    <xf numFmtId="0" fontId="5" fillId="3" borderId="0" xfId="0" applyFont="1" applyFill="1" applyAlignment="1">
      <alignment horizontal="center" vertical="center"/>
    </xf>
  </cellXfs>
  <cellStyles count="5">
    <cellStyle name="쉼표 [0]" xfId="4" builtinId="6"/>
    <cellStyle name="쉼표 [0] 2" xfId="1"/>
    <cellStyle name="제목 5" xfId="2"/>
    <cellStyle name="통화 [0]" xfId="3" builtinId="7"/>
    <cellStyle name="표준" xfId="0" builtinId="0"/>
  </cellStyles>
  <dxfs count="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배송 업체별 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1.5021725048882436E-2"/>
          <c:y val="0.12047618324852294"/>
          <c:w val="0.96995654990223512"/>
          <c:h val="0.75845733732539411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기초자료!$F$1</c:f>
              <c:strCache>
                <c:ptCount val="1"/>
                <c:pt idx="0">
                  <c:v>실적</c:v>
                </c:pt>
              </c:strCache>
            </c:strRef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14300" prst="artDeco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14300" prst="artDeco"/>
              </a:sp3d>
            </c:spPr>
          </c:dPt>
          <c:dPt>
            <c:idx val="1"/>
            <c:invertIfNegative val="0"/>
            <c:bubble3D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14300" prst="artDeco"/>
              </a:sp3d>
            </c:spPr>
          </c:dPt>
          <c:dPt>
            <c:idx val="2"/>
            <c:invertIfNegative val="0"/>
            <c:bubble3D val="0"/>
            <c:spPr>
              <a:solidFill>
                <a:schemeClr val="accent3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14300" prst="artDeco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기초자료!$E$2:$E$4</c:f>
              <c:strCache>
                <c:ptCount val="3"/>
                <c:pt idx="0">
                  <c:v>국제 특송</c:v>
                </c:pt>
                <c:pt idx="1">
                  <c:v>대륙 통운</c:v>
                </c:pt>
                <c:pt idx="2">
                  <c:v>한일 특급</c:v>
                </c:pt>
              </c:strCache>
            </c:strRef>
          </c:cat>
          <c:val>
            <c:numRef>
              <c:f>기초자료!$F$2:$F$4</c:f>
              <c:numCache>
                <c:formatCode>_(* #,##0_);_(* \(#,##0\);_(* "-"_);_(@_)</c:formatCode>
                <c:ptCount val="3"/>
                <c:pt idx="0">
                  <c:v>94000</c:v>
                </c:pt>
                <c:pt idx="1">
                  <c:v>68500</c:v>
                </c:pt>
                <c:pt idx="2">
                  <c:v>187000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63639008"/>
        <c:axId val="263637440"/>
      </c:barChart>
      <c:catAx>
        <c:axId val="26363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3637440"/>
        <c:crosses val="autoZero"/>
        <c:auto val="1"/>
        <c:lblAlgn val="ctr"/>
        <c:lblOffset val="100"/>
        <c:noMultiLvlLbl val="0"/>
      </c:catAx>
      <c:valAx>
        <c:axId val="263637440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26363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2000"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1"/>
  <sheetViews>
    <sheetView zoomScale="5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msdn.microsoft.com/ko-kr/library/office/ff839916(v=office.15).aspx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752475</xdr:colOff>
      <xdr:row>0</xdr:row>
      <xdr:rowOff>85724</xdr:rowOff>
    </xdr:from>
    <xdr:to>
      <xdr:col>6</xdr:col>
      <xdr:colOff>1050225</xdr:colOff>
      <xdr:row>4</xdr:row>
      <xdr:rowOff>147524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영업담당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영업담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00375" y="85724"/>
              <a:ext cx="35553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>
    <xdr:from>
      <xdr:col>1</xdr:col>
      <xdr:colOff>66675</xdr:colOff>
      <xdr:row>12</xdr:row>
      <xdr:rowOff>19051</xdr:rowOff>
    </xdr:from>
    <xdr:to>
      <xdr:col>3</xdr:col>
      <xdr:colOff>666750</xdr:colOff>
      <xdr:row>14</xdr:row>
      <xdr:rowOff>19051</xdr:rowOff>
    </xdr:to>
    <xdr:sp macro="" textlink="">
      <xdr:nvSpPr>
        <xdr:cNvPr id="3" name="오른쪽 화살표 2">
          <a:hlinkClick xmlns:r="http://schemas.openxmlformats.org/officeDocument/2006/relationships" r:id="rId1" tooltip="통합문서 이벤트 종류 보기"/>
        </xdr:cNvPr>
        <xdr:cNvSpPr/>
      </xdr:nvSpPr>
      <xdr:spPr>
        <a:xfrm>
          <a:off x="190500" y="2533651"/>
          <a:ext cx="2724150" cy="419100"/>
        </a:xfrm>
        <a:prstGeom prst="rightArrow">
          <a:avLst>
            <a:gd name="adj1" fmla="val 72222"/>
            <a:gd name="adj2" fmla="val 46826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통합문서 이벤트 종류 자세히 보기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864" cy="6061364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SLee" refreshedDate="41651.638336805554" createdVersion="5" refreshedVersion="5" minRefreshableVersion="3" recordCount="40">
  <cacheSource type="worksheet">
    <worksheetSource name="주문현황표"/>
  </cacheSource>
  <cacheFields count="8">
    <cacheField name="번호" numFmtId="0">
      <sharedItems containsSemiMixedTypes="0" containsString="0" containsNumber="1" containsInteger="1" minValue="1" maxValue="40"/>
    </cacheField>
    <cacheField name="거래처명" numFmtId="0">
      <sharedItems count="4">
        <s v="미성 백화점"/>
        <s v="유진 상사"/>
        <s v="한남 상사"/>
        <s v="이화 무역"/>
      </sharedItems>
    </cacheField>
    <cacheField name="영업담당" numFmtId="0">
      <sharedItems count="9">
        <s v="안정훈"/>
        <s v="김찬진"/>
        <s v="윤대현"/>
        <s v="최소라"/>
        <s v="유가을"/>
        <s v="김소미"/>
        <s v="선하라"/>
        <s v="오영수"/>
        <s v="김덕훈"/>
      </sharedItems>
    </cacheField>
    <cacheField name="주문일" numFmtId="14">
      <sharedItems containsSemiMixedTypes="0" containsNonDate="0" containsDate="1" containsString="0" minDate="2014-06-30T00:00:00" maxDate="2014-07-24T00:00:00" count="15">
        <d v="2014-06-30T00:00:00"/>
        <d v="2014-07-01T00:00:00"/>
        <d v="2014-07-02T00:00:00"/>
        <d v="2014-07-05T00:00:00"/>
        <d v="2014-07-06T00:00:00"/>
        <d v="2014-07-07T00:00:00"/>
        <d v="2014-07-08T00:00:00"/>
        <d v="2014-07-10T00:00:00"/>
        <d v="2014-07-13T00:00:00"/>
        <d v="2014-07-14T00:00:00"/>
        <d v="2014-07-16T00:00:00"/>
        <d v="2014-07-17T00:00:00"/>
        <d v="2014-07-18T00:00:00"/>
        <d v="2014-07-19T00:00:00"/>
        <d v="2014-07-23T00:00:00"/>
      </sharedItems>
      <fieldGroup par="7" base="3">
        <rangePr groupBy="months" startDate="2014-06-30T00:00:00" endDate="2014-07-24T00:00:00"/>
        <groupItems count="14">
          <s v="&lt;2014-06-3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4-07-24"/>
        </groupItems>
      </fieldGroup>
    </cacheField>
    <cacheField name="배송업체" numFmtId="0">
      <sharedItems/>
    </cacheField>
    <cacheField name="운임" numFmtId="176">
      <sharedItems containsSemiMixedTypes="0" containsString="0" containsNumber="1" containsInteger="1" minValue="2500" maxValue="15000"/>
    </cacheField>
    <cacheField name="배송 주소" numFmtId="0">
      <sharedItems/>
    </cacheField>
    <cacheField name="연" numFmtId="0" databaseField="0">
      <fieldGroup base="3">
        <rangePr groupBy="years" startDate="2014-06-30T00:00:00" endDate="2014-07-24T00:00:00"/>
        <groupItems count="3">
          <s v="&lt;2014-06-30"/>
          <s v="2014년"/>
          <s v="&gt;2014-07-24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n v="1"/>
    <x v="0"/>
    <x v="0"/>
    <x v="0"/>
    <s v="국제 특송"/>
    <n v="10000"/>
    <s v="도봉구 창 1동 218-16"/>
  </r>
  <r>
    <n v="2"/>
    <x v="1"/>
    <x v="1"/>
    <x v="1"/>
    <s v="대륙 통운"/>
    <n v="2500"/>
    <s v="중구 원미 1동 120-16"/>
  </r>
  <r>
    <n v="3"/>
    <x v="1"/>
    <x v="2"/>
    <x v="2"/>
    <s v="대륙 통운"/>
    <n v="10000"/>
    <s v="중구 답동 78"/>
  </r>
  <r>
    <n v="4"/>
    <x v="1"/>
    <x v="3"/>
    <x v="3"/>
    <s v="한일 특급"/>
    <n v="10000"/>
    <s v="용산구서빙고동 111-16"/>
  </r>
  <r>
    <n v="5"/>
    <x v="2"/>
    <x v="4"/>
    <x v="4"/>
    <s v="국제 특송"/>
    <n v="15000"/>
    <s v="서대문구 창천동 167-3"/>
  </r>
  <r>
    <n v="6"/>
    <x v="0"/>
    <x v="2"/>
    <x v="5"/>
    <s v="한일 특급"/>
    <n v="4000"/>
    <s v="부산진구 양정 1동 462-77"/>
  </r>
  <r>
    <n v="7"/>
    <x v="0"/>
    <x v="5"/>
    <x v="6"/>
    <s v="한일 특급"/>
    <n v="15000"/>
    <s v="서구 연희동 400-16"/>
  </r>
  <r>
    <n v="8"/>
    <x v="2"/>
    <x v="6"/>
    <x v="7"/>
    <s v="한일 특급"/>
    <n v="2500"/>
    <s v="도봉구 방학 3동 18"/>
  </r>
  <r>
    <n v="9"/>
    <x v="0"/>
    <x v="6"/>
    <x v="7"/>
    <s v="한일 특급"/>
    <n v="15000"/>
    <s v="남구 소사 3동 146"/>
  </r>
  <r>
    <n v="10"/>
    <x v="2"/>
    <x v="0"/>
    <x v="7"/>
    <s v="한일 특급"/>
    <n v="15000"/>
    <s v="중구 남산동 3가 43"/>
  </r>
  <r>
    <n v="11"/>
    <x v="0"/>
    <x v="5"/>
    <x v="8"/>
    <s v="국제 특송"/>
    <n v="2500"/>
    <s v="건입동 111-16"/>
  </r>
  <r>
    <n v="12"/>
    <x v="2"/>
    <x v="3"/>
    <x v="8"/>
    <s v="대륙 통운"/>
    <n v="4000"/>
    <s v="도봉구 방학 3동 18"/>
  </r>
  <r>
    <n v="13"/>
    <x v="2"/>
    <x v="3"/>
    <x v="8"/>
    <s v="한일 특급"/>
    <n v="10000"/>
    <s v="구로구 오류 1동 101"/>
  </r>
  <r>
    <n v="14"/>
    <x v="3"/>
    <x v="7"/>
    <x v="8"/>
    <s v="대륙 통운"/>
    <n v="2500"/>
    <s v="송파구 마천동 120"/>
  </r>
  <r>
    <n v="15"/>
    <x v="0"/>
    <x v="2"/>
    <x v="9"/>
    <s v="한일 특급"/>
    <n v="2500"/>
    <s v="남구 소사 3동 146"/>
  </r>
  <r>
    <n v="16"/>
    <x v="3"/>
    <x v="2"/>
    <x v="9"/>
    <s v="국제 특송"/>
    <n v="15000"/>
    <s v="덕진구 고랑동 290"/>
  </r>
  <r>
    <n v="17"/>
    <x v="3"/>
    <x v="6"/>
    <x v="9"/>
    <s v="대륙 통운"/>
    <n v="4000"/>
    <s v="야탑동 77"/>
  </r>
  <r>
    <n v="18"/>
    <x v="1"/>
    <x v="2"/>
    <x v="9"/>
    <s v="한일 특급"/>
    <n v="2500"/>
    <s v="중구 원미 1동 120-16"/>
  </r>
  <r>
    <n v="19"/>
    <x v="3"/>
    <x v="3"/>
    <x v="9"/>
    <s v="한일 특급"/>
    <n v="15000"/>
    <s v="강정동 718-1"/>
  </r>
  <r>
    <n v="20"/>
    <x v="3"/>
    <x v="2"/>
    <x v="10"/>
    <s v="한일 특급"/>
    <n v="15000"/>
    <s v="도봉구 미아 7동 334-7"/>
  </r>
  <r>
    <n v="21"/>
    <x v="3"/>
    <x v="6"/>
    <x v="10"/>
    <s v="대륙 통운"/>
    <n v="4000"/>
    <s v="송파구 마천동 120"/>
  </r>
  <r>
    <n v="22"/>
    <x v="1"/>
    <x v="1"/>
    <x v="10"/>
    <s v="대륙 통운"/>
    <n v="4000"/>
    <s v="중구 원미 1동 120-16"/>
  </r>
  <r>
    <n v="23"/>
    <x v="3"/>
    <x v="3"/>
    <x v="10"/>
    <s v="한일 특급"/>
    <n v="10000"/>
    <s v="비전 1동 118-36"/>
  </r>
  <r>
    <n v="24"/>
    <x v="0"/>
    <x v="3"/>
    <x v="10"/>
    <s v="한일 특급"/>
    <n v="10000"/>
    <s v="강서구 화곡 1동 77-3"/>
  </r>
  <r>
    <n v="25"/>
    <x v="1"/>
    <x v="6"/>
    <x v="11"/>
    <s v="한일 특급"/>
    <n v="2500"/>
    <s v="중구 답동 78"/>
  </r>
  <r>
    <n v="26"/>
    <x v="0"/>
    <x v="3"/>
    <x v="11"/>
    <s v="국제 특송"/>
    <n v="15000"/>
    <s v="서구 연희동 400-16"/>
  </r>
  <r>
    <n v="27"/>
    <x v="3"/>
    <x v="6"/>
    <x v="11"/>
    <s v="대륙 통운"/>
    <n v="15000"/>
    <s v="강정동 718-1"/>
  </r>
  <r>
    <n v="28"/>
    <x v="3"/>
    <x v="6"/>
    <x v="11"/>
    <s v="한일 특급"/>
    <n v="15000"/>
    <s v="야탑동 77"/>
  </r>
  <r>
    <n v="29"/>
    <x v="1"/>
    <x v="7"/>
    <x v="12"/>
    <s v="국제 특송"/>
    <n v="15000"/>
    <s v="용산구서빙고동 111-16"/>
  </r>
  <r>
    <n v="30"/>
    <x v="1"/>
    <x v="3"/>
    <x v="12"/>
    <s v="한일 특급"/>
    <n v="10000"/>
    <s v="중구 답동 78"/>
  </r>
  <r>
    <n v="31"/>
    <x v="1"/>
    <x v="0"/>
    <x v="12"/>
    <s v="국제 특송"/>
    <n v="4000"/>
    <s v="용산구서빙고동 111-16"/>
  </r>
  <r>
    <n v="32"/>
    <x v="2"/>
    <x v="5"/>
    <x v="12"/>
    <s v="대륙 통운"/>
    <n v="10000"/>
    <s v="동대문구 신설동 721-11"/>
  </r>
  <r>
    <n v="33"/>
    <x v="2"/>
    <x v="6"/>
    <x v="12"/>
    <s v="대륙 통운"/>
    <n v="2500"/>
    <s v="동대문구 전농1동 742-3"/>
  </r>
  <r>
    <n v="34"/>
    <x v="2"/>
    <x v="0"/>
    <x v="13"/>
    <s v="한일 특급"/>
    <n v="15000"/>
    <s v="금정구 청룡동 168-14"/>
  </r>
  <r>
    <n v="35"/>
    <x v="1"/>
    <x v="4"/>
    <x v="13"/>
    <s v="대륙 통운"/>
    <n v="10000"/>
    <s v="용산구서빙고동 111-16"/>
  </r>
  <r>
    <n v="36"/>
    <x v="3"/>
    <x v="0"/>
    <x v="13"/>
    <s v="한일 특급"/>
    <n v="4000"/>
    <s v="덕진구 고랑동 290"/>
  </r>
  <r>
    <n v="37"/>
    <x v="1"/>
    <x v="8"/>
    <x v="13"/>
    <s v="국제 특송"/>
    <n v="2500"/>
    <s v="중구 답동 78"/>
  </r>
  <r>
    <n v="38"/>
    <x v="2"/>
    <x v="2"/>
    <x v="13"/>
    <s v="국제 특송"/>
    <n v="15000"/>
    <s v="은행동 425-12"/>
  </r>
  <r>
    <n v="39"/>
    <x v="3"/>
    <x v="6"/>
    <x v="14"/>
    <s v="한일 특급"/>
    <n v="10000"/>
    <s v="비전 1동 118-36"/>
  </r>
  <r>
    <n v="40"/>
    <x v="2"/>
    <x v="7"/>
    <x v="14"/>
    <s v="한일 특급"/>
    <n v="4000"/>
    <s v="동대문구 신설동 721-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거래처별분석" cacheId="4" applyNumberFormats="0" applyBorderFormats="0" applyFontFormats="0" applyPatternFormats="0" applyAlignmentFormats="0" applyWidthHeightFormats="1" dataCaption="값" updatedVersion="5" minRefreshableVersion="3" useAutoFormatting="1" rowGrandTotals="0" itemPrintTitles="1" mergeItem="1" createdVersion="5" indent="0" outline="1" outlineData="1" multipleFieldFilters="0">
  <location ref="B6:G10" firstHeaderRow="1" firstDataRow="2" firstDataCol="1"/>
  <pivotFields count="8">
    <pivotField showAll="0"/>
    <pivotField axis="axisCol" showAll="0">
      <items count="5">
        <item x="0"/>
        <item x="1"/>
        <item x="3"/>
        <item x="2"/>
        <item t="default"/>
      </items>
    </pivotField>
    <pivotField showAll="0">
      <items count="10">
        <item x="8"/>
        <item x="5"/>
        <item x="1"/>
        <item x="6"/>
        <item x="0"/>
        <item x="7"/>
        <item x="4"/>
        <item x="2"/>
        <item x="3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76" showAll="0"/>
    <pivotField showAll="0"/>
    <pivotField axis="axisRow" showAll="0" sumSubtotal="1">
      <items count="4">
        <item x="0"/>
        <item x="1"/>
        <item x="2"/>
        <item t="sum"/>
      </items>
    </pivotField>
  </pivotFields>
  <rowFields count="2">
    <field x="7"/>
    <field x="3"/>
  </rowFields>
  <rowItems count="3">
    <i>
      <x v="1"/>
    </i>
    <i r="1">
      <x v="6"/>
    </i>
    <i r="1">
      <x v="7"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합계 : 운임" fld="5" baseField="0" baseItem="0" numFmtId="41"/>
  </dataFields>
  <formats count="3">
    <format dxfId="8">
      <pivotArea outline="0" collapsedLevelsAreSubtotals="1" fieldPosition="0"/>
    </format>
    <format dxfId="7">
      <pivotArea dataOnly="0" labelOnly="1" outline="0" fieldPosition="0">
        <references count="1">
          <reference field="7" count="1">
            <x v="1"/>
          </reference>
        </references>
      </pivotArea>
    </format>
    <format dxfId="6">
      <pivotArea dataOnly="0" labelOnly="1" outline="0" fieldPosition="0">
        <references count="2">
          <reference field="3" count="2">
            <x v="6"/>
            <x v="7"/>
          </reference>
          <reference field="7" count="1" selected="0">
            <x v="1"/>
          </reference>
        </references>
      </pivotArea>
    </format>
  </formats>
  <pivotTableStyleInfo name="PivotStyleMedium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슬라이서_영업담당" sourceName="영업담당">
  <pivotTables>
    <pivotTable tabId="5" name="거래처별분석"/>
  </pivotTables>
  <data>
    <tabular pivotCacheId="1">
      <items count="9">
        <i x="8" s="1"/>
        <i x="5" s="1"/>
        <i x="1" s="1"/>
        <i x="6" s="1"/>
        <i x="0" s="1"/>
        <i x="7" s="1"/>
        <i x="4" s="1"/>
        <i x="2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영업담당" cache="슬라이서_영업담당" caption="영업담당" columnCount="5" rowHeight="216000"/>
</slicers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6:G10"/>
  <sheetViews>
    <sheetView showGridLines="0" tabSelected="1" workbookViewId="0">
      <selection activeCell="F12" sqref="F12"/>
    </sheetView>
  </sheetViews>
  <sheetFormatPr defaultRowHeight="16.5" x14ac:dyDescent="0.3"/>
  <cols>
    <col min="1" max="1" width="1.625" customWidth="1"/>
    <col min="2" max="2" width="13.625" customWidth="1"/>
    <col min="3" max="7" width="14.25" customWidth="1"/>
    <col min="8" max="8" width="9.375" customWidth="1"/>
  </cols>
  <sheetData>
    <row r="6" spans="2:7" x14ac:dyDescent="0.3">
      <c r="B6" s="15" t="s">
        <v>50</v>
      </c>
      <c r="C6" s="15" t="s">
        <v>49</v>
      </c>
      <c r="D6" s="1"/>
      <c r="E6" s="1"/>
      <c r="F6" s="1"/>
      <c r="G6" s="1"/>
    </row>
    <row r="7" spans="2:7" x14ac:dyDescent="0.3">
      <c r="B7" s="15" t="s">
        <v>47</v>
      </c>
      <c r="C7" s="16" t="s">
        <v>8</v>
      </c>
      <c r="D7" s="16" t="s">
        <v>12</v>
      </c>
      <c r="E7" s="16" t="s">
        <v>33</v>
      </c>
      <c r="F7" s="16" t="s">
        <v>21</v>
      </c>
      <c r="G7" s="16" t="s">
        <v>48</v>
      </c>
    </row>
    <row r="8" spans="2:7" x14ac:dyDescent="0.3">
      <c r="B8" s="18" t="s">
        <v>51</v>
      </c>
      <c r="C8" s="17">
        <v>74000</v>
      </c>
      <c r="D8" s="17">
        <v>73000</v>
      </c>
      <c r="E8" s="17">
        <v>109500</v>
      </c>
      <c r="F8" s="17">
        <v>93000</v>
      </c>
      <c r="G8" s="17">
        <v>349500</v>
      </c>
    </row>
    <row r="9" spans="2:7" x14ac:dyDescent="0.3">
      <c r="B9" s="19" t="s">
        <v>52</v>
      </c>
      <c r="C9" s="17">
        <v>10000</v>
      </c>
      <c r="D9" s="17"/>
      <c r="E9" s="17"/>
      <c r="F9" s="17"/>
      <c r="G9" s="17">
        <v>10000</v>
      </c>
    </row>
    <row r="10" spans="2:7" x14ac:dyDescent="0.3">
      <c r="B10" s="19" t="s">
        <v>53</v>
      </c>
      <c r="C10" s="17">
        <v>64000</v>
      </c>
      <c r="D10" s="17">
        <v>73000</v>
      </c>
      <c r="E10" s="17">
        <v>109500</v>
      </c>
      <c r="F10" s="17">
        <v>93000</v>
      </c>
      <c r="G10" s="17">
        <v>339500</v>
      </c>
    </row>
  </sheetData>
  <phoneticPr fontId="1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22" t="s">
        <v>6</v>
      </c>
      <c r="B1" s="22"/>
      <c r="C1" s="22"/>
      <c r="D1" s="22"/>
      <c r="E1" s="22"/>
      <c r="F1" s="22"/>
      <c r="G1" s="22"/>
    </row>
    <row r="2" spans="1:7" ht="10.5" customHeight="1" x14ac:dyDescent="0.3"/>
    <row r="3" spans="1:7" x14ac:dyDescent="0.3">
      <c r="A3" s="1" t="s">
        <v>7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t="s">
        <v>5</v>
      </c>
    </row>
    <row r="4" spans="1:7" x14ac:dyDescent="0.3">
      <c r="A4" s="1">
        <v>1</v>
      </c>
      <c r="B4" s="1" t="s">
        <v>8</v>
      </c>
      <c r="C4" s="1" t="s">
        <v>9</v>
      </c>
      <c r="D4" s="2">
        <v>41820</v>
      </c>
      <c r="E4" s="1" t="s">
        <v>10</v>
      </c>
      <c r="F4" s="3">
        <v>10000</v>
      </c>
      <c r="G4" t="s">
        <v>11</v>
      </c>
    </row>
    <row r="5" spans="1:7" x14ac:dyDescent="0.3">
      <c r="A5" s="1">
        <v>2</v>
      </c>
      <c r="B5" s="1" t="s">
        <v>12</v>
      </c>
      <c r="C5" s="1" t="s">
        <v>13</v>
      </c>
      <c r="D5" s="2">
        <v>41821</v>
      </c>
      <c r="E5" s="1" t="s">
        <v>14</v>
      </c>
      <c r="F5" s="3">
        <v>2500</v>
      </c>
      <c r="G5" t="s">
        <v>15</v>
      </c>
    </row>
    <row r="6" spans="1:7" x14ac:dyDescent="0.3">
      <c r="A6" s="1">
        <v>3</v>
      </c>
      <c r="B6" s="1" t="s">
        <v>12</v>
      </c>
      <c r="C6" s="1" t="s">
        <v>16</v>
      </c>
      <c r="D6" s="2">
        <v>41822</v>
      </c>
      <c r="E6" s="1" t="s">
        <v>14</v>
      </c>
      <c r="F6" s="3">
        <v>10000</v>
      </c>
      <c r="G6" t="s">
        <v>17</v>
      </c>
    </row>
    <row r="7" spans="1:7" x14ac:dyDescent="0.3">
      <c r="A7" s="1">
        <v>4</v>
      </c>
      <c r="B7" s="1" t="s">
        <v>12</v>
      </c>
      <c r="C7" s="1" t="s">
        <v>18</v>
      </c>
      <c r="D7" s="2">
        <v>41825</v>
      </c>
      <c r="E7" s="1" t="s">
        <v>19</v>
      </c>
      <c r="F7" s="3">
        <v>10000</v>
      </c>
      <c r="G7" t="s">
        <v>20</v>
      </c>
    </row>
    <row r="8" spans="1:7" x14ac:dyDescent="0.3">
      <c r="A8" s="1">
        <v>5</v>
      </c>
      <c r="B8" s="1" t="s">
        <v>21</v>
      </c>
      <c r="C8" s="1" t="s">
        <v>22</v>
      </c>
      <c r="D8" s="2">
        <v>41826</v>
      </c>
      <c r="E8" s="1" t="s">
        <v>10</v>
      </c>
      <c r="F8" s="3">
        <v>15000</v>
      </c>
      <c r="G8" t="s">
        <v>23</v>
      </c>
    </row>
    <row r="9" spans="1:7" x14ac:dyDescent="0.3">
      <c r="A9" s="1">
        <v>6</v>
      </c>
      <c r="B9" s="1" t="s">
        <v>8</v>
      </c>
      <c r="C9" s="1" t="s">
        <v>16</v>
      </c>
      <c r="D9" s="2">
        <v>41827</v>
      </c>
      <c r="E9" s="1" t="s">
        <v>19</v>
      </c>
      <c r="F9" s="3">
        <v>4000</v>
      </c>
      <c r="G9" t="s">
        <v>24</v>
      </c>
    </row>
    <row r="10" spans="1:7" x14ac:dyDescent="0.3">
      <c r="A10" s="1">
        <v>7</v>
      </c>
      <c r="B10" s="1" t="s">
        <v>8</v>
      </c>
      <c r="C10" s="1" t="s">
        <v>25</v>
      </c>
      <c r="D10" s="2">
        <v>41828</v>
      </c>
      <c r="E10" s="1" t="s">
        <v>19</v>
      </c>
      <c r="F10" s="3">
        <v>15000</v>
      </c>
      <c r="G10" t="s">
        <v>26</v>
      </c>
    </row>
    <row r="11" spans="1:7" x14ac:dyDescent="0.3">
      <c r="A11" s="1">
        <v>8</v>
      </c>
      <c r="B11" s="1" t="s">
        <v>21</v>
      </c>
      <c r="C11" s="1" t="s">
        <v>27</v>
      </c>
      <c r="D11" s="2">
        <v>41830</v>
      </c>
      <c r="E11" s="1" t="s">
        <v>19</v>
      </c>
      <c r="F11" s="3">
        <v>2500</v>
      </c>
      <c r="G11" t="s">
        <v>28</v>
      </c>
    </row>
    <row r="12" spans="1:7" x14ac:dyDescent="0.3">
      <c r="A12" s="1">
        <v>9</v>
      </c>
      <c r="B12" s="1" t="s">
        <v>8</v>
      </c>
      <c r="C12" s="1" t="s">
        <v>27</v>
      </c>
      <c r="D12" s="2">
        <v>41830</v>
      </c>
      <c r="E12" s="1" t="s">
        <v>19</v>
      </c>
      <c r="F12" s="3">
        <v>15000</v>
      </c>
      <c r="G12" t="s">
        <v>29</v>
      </c>
    </row>
    <row r="13" spans="1:7" x14ac:dyDescent="0.3">
      <c r="A13" s="1">
        <v>10</v>
      </c>
      <c r="B13" s="1" t="s">
        <v>21</v>
      </c>
      <c r="C13" s="1" t="s">
        <v>9</v>
      </c>
      <c r="D13" s="2">
        <v>41830</v>
      </c>
      <c r="E13" s="1" t="s">
        <v>19</v>
      </c>
      <c r="F13" s="3">
        <v>15000</v>
      </c>
      <c r="G13" t="s">
        <v>30</v>
      </c>
    </row>
    <row r="14" spans="1:7" x14ac:dyDescent="0.3">
      <c r="A14" s="1">
        <v>11</v>
      </c>
      <c r="B14" s="1" t="s">
        <v>8</v>
      </c>
      <c r="C14" s="1" t="s">
        <v>25</v>
      </c>
      <c r="D14" s="2">
        <v>41833</v>
      </c>
      <c r="E14" s="1" t="s">
        <v>10</v>
      </c>
      <c r="F14" s="3">
        <v>2500</v>
      </c>
      <c r="G14" t="s">
        <v>31</v>
      </c>
    </row>
    <row r="15" spans="1:7" x14ac:dyDescent="0.3">
      <c r="A15" s="1">
        <v>12</v>
      </c>
      <c r="B15" s="1" t="s">
        <v>21</v>
      </c>
      <c r="C15" s="1" t="s">
        <v>18</v>
      </c>
      <c r="D15" s="2">
        <v>41833</v>
      </c>
      <c r="E15" s="1" t="s">
        <v>14</v>
      </c>
      <c r="F15" s="3">
        <v>4000</v>
      </c>
      <c r="G15" t="s">
        <v>28</v>
      </c>
    </row>
    <row r="16" spans="1:7" x14ac:dyDescent="0.3">
      <c r="A16" s="1">
        <v>13</v>
      </c>
      <c r="B16" s="1" t="s">
        <v>21</v>
      </c>
      <c r="C16" s="1" t="s">
        <v>18</v>
      </c>
      <c r="D16" s="2">
        <v>41833</v>
      </c>
      <c r="E16" s="1" t="s">
        <v>19</v>
      </c>
      <c r="F16" s="3">
        <v>10000</v>
      </c>
      <c r="G16" t="s">
        <v>32</v>
      </c>
    </row>
    <row r="17" spans="1:7" x14ac:dyDescent="0.3">
      <c r="A17" s="1">
        <v>14</v>
      </c>
      <c r="B17" s="1" t="s">
        <v>33</v>
      </c>
      <c r="C17" s="1" t="s">
        <v>34</v>
      </c>
      <c r="D17" s="2">
        <v>41833</v>
      </c>
      <c r="E17" s="1" t="s">
        <v>14</v>
      </c>
      <c r="F17" s="3">
        <v>2500</v>
      </c>
      <c r="G17" t="s">
        <v>35</v>
      </c>
    </row>
    <row r="18" spans="1:7" x14ac:dyDescent="0.3">
      <c r="A18" s="1">
        <v>15</v>
      </c>
      <c r="B18" s="1" t="s">
        <v>8</v>
      </c>
      <c r="C18" s="1" t="s">
        <v>16</v>
      </c>
      <c r="D18" s="2">
        <v>41834</v>
      </c>
      <c r="E18" s="1" t="s">
        <v>19</v>
      </c>
      <c r="F18" s="3">
        <v>2500</v>
      </c>
      <c r="G18" t="s">
        <v>29</v>
      </c>
    </row>
    <row r="19" spans="1:7" x14ac:dyDescent="0.3">
      <c r="A19" s="1">
        <v>16</v>
      </c>
      <c r="B19" s="1" t="s">
        <v>33</v>
      </c>
      <c r="C19" s="1" t="s">
        <v>16</v>
      </c>
      <c r="D19" s="2">
        <v>41834</v>
      </c>
      <c r="E19" s="1" t="s">
        <v>10</v>
      </c>
      <c r="F19" s="3">
        <v>15000</v>
      </c>
      <c r="G19" t="s">
        <v>36</v>
      </c>
    </row>
    <row r="20" spans="1:7" x14ac:dyDescent="0.3">
      <c r="A20" s="1">
        <v>17</v>
      </c>
      <c r="B20" s="1" t="s">
        <v>33</v>
      </c>
      <c r="C20" s="1" t="s">
        <v>27</v>
      </c>
      <c r="D20" s="2">
        <v>41834</v>
      </c>
      <c r="E20" s="1" t="s">
        <v>14</v>
      </c>
      <c r="F20" s="3">
        <v>4000</v>
      </c>
      <c r="G20" t="s">
        <v>37</v>
      </c>
    </row>
    <row r="21" spans="1:7" x14ac:dyDescent="0.3">
      <c r="A21" s="1">
        <v>18</v>
      </c>
      <c r="B21" s="1" t="s">
        <v>12</v>
      </c>
      <c r="C21" s="1" t="s">
        <v>16</v>
      </c>
      <c r="D21" s="2">
        <v>41834</v>
      </c>
      <c r="E21" s="1" t="s">
        <v>19</v>
      </c>
      <c r="F21" s="3">
        <v>2500</v>
      </c>
      <c r="G21" t="s">
        <v>15</v>
      </c>
    </row>
    <row r="22" spans="1:7" x14ac:dyDescent="0.3">
      <c r="A22" s="1">
        <v>19</v>
      </c>
      <c r="B22" s="1" t="s">
        <v>33</v>
      </c>
      <c r="C22" s="1" t="s">
        <v>18</v>
      </c>
      <c r="D22" s="2">
        <v>41834</v>
      </c>
      <c r="E22" s="1" t="s">
        <v>19</v>
      </c>
      <c r="F22" s="3">
        <v>15000</v>
      </c>
      <c r="G22" t="s">
        <v>38</v>
      </c>
    </row>
    <row r="23" spans="1:7" x14ac:dyDescent="0.3">
      <c r="A23" s="1">
        <v>20</v>
      </c>
      <c r="B23" s="1" t="s">
        <v>33</v>
      </c>
      <c r="C23" s="1" t="s">
        <v>16</v>
      </c>
      <c r="D23" s="2">
        <v>41836</v>
      </c>
      <c r="E23" s="1" t="s">
        <v>19</v>
      </c>
      <c r="F23" s="3">
        <v>15000</v>
      </c>
      <c r="G23" t="s">
        <v>39</v>
      </c>
    </row>
    <row r="24" spans="1:7" x14ac:dyDescent="0.3">
      <c r="A24" s="1">
        <v>21</v>
      </c>
      <c r="B24" s="1" t="s">
        <v>33</v>
      </c>
      <c r="C24" s="1" t="s">
        <v>27</v>
      </c>
      <c r="D24" s="2">
        <v>41836</v>
      </c>
      <c r="E24" s="1" t="s">
        <v>14</v>
      </c>
      <c r="F24" s="3">
        <v>4000</v>
      </c>
      <c r="G24" t="s">
        <v>35</v>
      </c>
    </row>
    <row r="25" spans="1:7" x14ac:dyDescent="0.3">
      <c r="A25" s="1">
        <v>22</v>
      </c>
      <c r="B25" s="1" t="s">
        <v>12</v>
      </c>
      <c r="C25" s="1" t="s">
        <v>13</v>
      </c>
      <c r="D25" s="2">
        <v>41836</v>
      </c>
      <c r="E25" s="1" t="s">
        <v>14</v>
      </c>
      <c r="F25" s="3">
        <v>4000</v>
      </c>
      <c r="G25" t="s">
        <v>15</v>
      </c>
    </row>
    <row r="26" spans="1:7" x14ac:dyDescent="0.3">
      <c r="A26" s="1">
        <v>23</v>
      </c>
      <c r="B26" s="1" t="s">
        <v>33</v>
      </c>
      <c r="C26" s="1" t="s">
        <v>18</v>
      </c>
      <c r="D26" s="2">
        <v>41836</v>
      </c>
      <c r="E26" s="1" t="s">
        <v>19</v>
      </c>
      <c r="F26" s="3">
        <v>10000</v>
      </c>
      <c r="G26" t="s">
        <v>40</v>
      </c>
    </row>
    <row r="27" spans="1:7" x14ac:dyDescent="0.3">
      <c r="A27" s="1">
        <v>24</v>
      </c>
      <c r="B27" s="1" t="s">
        <v>8</v>
      </c>
      <c r="C27" s="1" t="s">
        <v>18</v>
      </c>
      <c r="D27" s="2">
        <v>41836</v>
      </c>
      <c r="E27" s="1" t="s">
        <v>19</v>
      </c>
      <c r="F27" s="3">
        <v>10000</v>
      </c>
      <c r="G27" t="s">
        <v>41</v>
      </c>
    </row>
    <row r="28" spans="1:7" x14ac:dyDescent="0.3">
      <c r="A28" s="1">
        <v>25</v>
      </c>
      <c r="B28" s="1" t="s">
        <v>12</v>
      </c>
      <c r="C28" s="1" t="s">
        <v>27</v>
      </c>
      <c r="D28" s="2">
        <v>41837</v>
      </c>
      <c r="E28" s="1" t="s">
        <v>19</v>
      </c>
      <c r="F28" s="3">
        <v>2500</v>
      </c>
      <c r="G28" t="s">
        <v>17</v>
      </c>
    </row>
    <row r="29" spans="1:7" x14ac:dyDescent="0.3">
      <c r="A29" s="1">
        <v>26</v>
      </c>
      <c r="B29" s="1" t="s">
        <v>8</v>
      </c>
      <c r="C29" s="1" t="s">
        <v>18</v>
      </c>
      <c r="D29" s="2">
        <v>41837</v>
      </c>
      <c r="E29" s="1" t="s">
        <v>10</v>
      </c>
      <c r="F29" s="3">
        <v>15000</v>
      </c>
      <c r="G29" t="s">
        <v>26</v>
      </c>
    </row>
    <row r="30" spans="1:7" x14ac:dyDescent="0.3">
      <c r="A30" s="1">
        <v>27</v>
      </c>
      <c r="B30" s="1" t="s">
        <v>33</v>
      </c>
      <c r="C30" s="1" t="s">
        <v>27</v>
      </c>
      <c r="D30" s="2">
        <v>41837</v>
      </c>
      <c r="E30" s="1" t="s">
        <v>14</v>
      </c>
      <c r="F30" s="3">
        <v>15000</v>
      </c>
      <c r="G30" t="s">
        <v>38</v>
      </c>
    </row>
    <row r="31" spans="1:7" x14ac:dyDescent="0.3">
      <c r="A31" s="1">
        <v>28</v>
      </c>
      <c r="B31" s="1" t="s">
        <v>33</v>
      </c>
      <c r="C31" s="1" t="s">
        <v>27</v>
      </c>
      <c r="D31" s="2">
        <v>41837</v>
      </c>
      <c r="E31" s="1" t="s">
        <v>19</v>
      </c>
      <c r="F31" s="3">
        <v>15000</v>
      </c>
      <c r="G31" t="s">
        <v>37</v>
      </c>
    </row>
    <row r="32" spans="1:7" x14ac:dyDescent="0.3">
      <c r="A32" s="1">
        <v>29</v>
      </c>
      <c r="B32" s="1" t="s">
        <v>12</v>
      </c>
      <c r="C32" s="1" t="s">
        <v>34</v>
      </c>
      <c r="D32" s="2">
        <v>41838</v>
      </c>
      <c r="E32" s="1" t="s">
        <v>10</v>
      </c>
      <c r="F32" s="3">
        <v>15000</v>
      </c>
      <c r="G32" t="s">
        <v>20</v>
      </c>
    </row>
    <row r="33" spans="1:7" x14ac:dyDescent="0.3">
      <c r="A33" s="1">
        <v>30</v>
      </c>
      <c r="B33" s="1" t="s">
        <v>12</v>
      </c>
      <c r="C33" s="1" t="s">
        <v>18</v>
      </c>
      <c r="D33" s="2">
        <v>41838</v>
      </c>
      <c r="E33" s="1" t="s">
        <v>19</v>
      </c>
      <c r="F33" s="3">
        <v>10000</v>
      </c>
      <c r="G33" t="s">
        <v>17</v>
      </c>
    </row>
    <row r="34" spans="1:7" x14ac:dyDescent="0.3">
      <c r="A34" s="1">
        <v>31</v>
      </c>
      <c r="B34" s="1" t="s">
        <v>12</v>
      </c>
      <c r="C34" s="1" t="s">
        <v>9</v>
      </c>
      <c r="D34" s="2">
        <v>41838</v>
      </c>
      <c r="E34" s="1" t="s">
        <v>10</v>
      </c>
      <c r="F34" s="3">
        <v>4000</v>
      </c>
      <c r="G34" t="s">
        <v>20</v>
      </c>
    </row>
    <row r="35" spans="1:7" x14ac:dyDescent="0.3">
      <c r="A35" s="1">
        <v>32</v>
      </c>
      <c r="B35" s="1" t="s">
        <v>21</v>
      </c>
      <c r="C35" s="1" t="s">
        <v>25</v>
      </c>
      <c r="D35" s="2">
        <v>41838</v>
      </c>
      <c r="E35" s="1" t="s">
        <v>14</v>
      </c>
      <c r="F35" s="3">
        <v>10000</v>
      </c>
      <c r="G35" t="s">
        <v>42</v>
      </c>
    </row>
    <row r="36" spans="1:7" x14ac:dyDescent="0.3">
      <c r="A36" s="1">
        <v>33</v>
      </c>
      <c r="B36" s="1" t="s">
        <v>21</v>
      </c>
      <c r="C36" s="1" t="s">
        <v>27</v>
      </c>
      <c r="D36" s="2">
        <v>41838</v>
      </c>
      <c r="E36" s="1" t="s">
        <v>14</v>
      </c>
      <c r="F36" s="3">
        <v>2500</v>
      </c>
      <c r="G36" t="s">
        <v>43</v>
      </c>
    </row>
    <row r="37" spans="1:7" x14ac:dyDescent="0.3">
      <c r="A37" s="1">
        <v>34</v>
      </c>
      <c r="B37" s="1" t="s">
        <v>21</v>
      </c>
      <c r="C37" s="1" t="s">
        <v>9</v>
      </c>
      <c r="D37" s="2">
        <v>41839</v>
      </c>
      <c r="E37" s="1" t="s">
        <v>19</v>
      </c>
      <c r="F37" s="3">
        <v>15000</v>
      </c>
      <c r="G37" t="s">
        <v>44</v>
      </c>
    </row>
    <row r="38" spans="1:7" x14ac:dyDescent="0.3">
      <c r="A38" s="1">
        <v>35</v>
      </c>
      <c r="B38" s="1" t="s">
        <v>12</v>
      </c>
      <c r="C38" s="1" t="s">
        <v>22</v>
      </c>
      <c r="D38" s="2">
        <v>41839</v>
      </c>
      <c r="E38" s="1" t="s">
        <v>14</v>
      </c>
      <c r="F38" s="3">
        <v>10000</v>
      </c>
      <c r="G38" t="s">
        <v>20</v>
      </c>
    </row>
    <row r="39" spans="1:7" x14ac:dyDescent="0.3">
      <c r="A39" s="1">
        <v>36</v>
      </c>
      <c r="B39" s="1" t="s">
        <v>33</v>
      </c>
      <c r="C39" s="1" t="s">
        <v>9</v>
      </c>
      <c r="D39" s="2">
        <v>41839</v>
      </c>
      <c r="E39" s="1" t="s">
        <v>19</v>
      </c>
      <c r="F39" s="3">
        <v>4000</v>
      </c>
      <c r="G39" t="s">
        <v>36</v>
      </c>
    </row>
    <row r="40" spans="1:7" x14ac:dyDescent="0.3">
      <c r="A40" s="1">
        <v>37</v>
      </c>
      <c r="B40" s="1" t="s">
        <v>12</v>
      </c>
      <c r="C40" s="1" t="s">
        <v>45</v>
      </c>
      <c r="D40" s="2">
        <v>41839</v>
      </c>
      <c r="E40" s="1" t="s">
        <v>10</v>
      </c>
      <c r="F40" s="3">
        <v>2500</v>
      </c>
      <c r="G40" t="s">
        <v>17</v>
      </c>
    </row>
    <row r="41" spans="1:7" x14ac:dyDescent="0.3">
      <c r="A41" s="1">
        <v>38</v>
      </c>
      <c r="B41" s="1" t="s">
        <v>21</v>
      </c>
      <c r="C41" s="1" t="s">
        <v>16</v>
      </c>
      <c r="D41" s="2">
        <v>41839</v>
      </c>
      <c r="E41" s="1" t="s">
        <v>10</v>
      </c>
      <c r="F41" s="3">
        <v>15000</v>
      </c>
      <c r="G41" t="s">
        <v>46</v>
      </c>
    </row>
    <row r="42" spans="1:7" x14ac:dyDescent="0.3">
      <c r="A42" s="1">
        <v>39</v>
      </c>
      <c r="B42" s="1" t="s">
        <v>33</v>
      </c>
      <c r="C42" s="1" t="s">
        <v>27</v>
      </c>
      <c r="D42" s="2">
        <v>41843</v>
      </c>
      <c r="E42" s="1" t="s">
        <v>19</v>
      </c>
      <c r="F42" s="3">
        <v>10000</v>
      </c>
      <c r="G42" t="s">
        <v>40</v>
      </c>
    </row>
    <row r="43" spans="1:7" x14ac:dyDescent="0.3">
      <c r="A43" s="1">
        <v>40</v>
      </c>
      <c r="B43" s="1" t="s">
        <v>21</v>
      </c>
      <c r="C43" s="1" t="s">
        <v>34</v>
      </c>
      <c r="D43" s="2">
        <v>41843</v>
      </c>
      <c r="E43" s="1" t="s">
        <v>19</v>
      </c>
      <c r="F43" s="3">
        <v>4000</v>
      </c>
      <c r="G43" t="s">
        <v>42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showGridLines="0" topLeftCell="E1" workbookViewId="0">
      <selection activeCell="J8" sqref="J8"/>
    </sheetView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  <col min="6" max="6" width="12.75" customWidth="1"/>
  </cols>
  <sheetData>
    <row r="1" spans="1:6" x14ac:dyDescent="0.3">
      <c r="A1" s="4" t="s">
        <v>0</v>
      </c>
      <c r="C1" s="5" t="s">
        <v>1</v>
      </c>
      <c r="E1" s="6" t="s">
        <v>3</v>
      </c>
      <c r="F1" s="6" t="s">
        <v>54</v>
      </c>
    </row>
    <row r="2" spans="1:6" x14ac:dyDescent="0.3">
      <c r="A2" s="7" t="s">
        <v>8</v>
      </c>
      <c r="C2" s="8" t="s">
        <v>9</v>
      </c>
      <c r="E2" s="9" t="s">
        <v>10</v>
      </c>
      <c r="F2" s="20">
        <f>IFERROR(SUMIF(주문현황표[배송업체],기초자료!E2,주문현황표[운임]),"")</f>
        <v>94000</v>
      </c>
    </row>
    <row r="3" spans="1:6" x14ac:dyDescent="0.3">
      <c r="A3" s="10" t="s">
        <v>12</v>
      </c>
      <c r="C3" s="11" t="s">
        <v>13</v>
      </c>
      <c r="E3" s="9" t="s">
        <v>14</v>
      </c>
      <c r="F3" s="20">
        <f>IFERROR(SUMIF(주문현황표[배송업체],기초자료!E3,주문현황표[운임]),"")</f>
        <v>68500</v>
      </c>
    </row>
    <row r="4" spans="1:6" x14ac:dyDescent="0.3">
      <c r="A4" s="7" t="s">
        <v>21</v>
      </c>
      <c r="C4" s="8" t="s">
        <v>16</v>
      </c>
      <c r="E4" s="9" t="s">
        <v>19</v>
      </c>
      <c r="F4" s="20">
        <f>IFERROR(SUMIF(주문현황표[배송업체],기초자료!E4,주문현황표[운임]),"")</f>
        <v>187000</v>
      </c>
    </row>
    <row r="5" spans="1:6" x14ac:dyDescent="0.3">
      <c r="A5" s="10" t="s">
        <v>33</v>
      </c>
      <c r="C5" s="11" t="s">
        <v>18</v>
      </c>
      <c r="E5" s="12"/>
      <c r="F5" s="21">
        <f>IFERROR(SUMIF(주문현황표[배송업체],기초자료!E5,주문현황표[운임]),"")</f>
        <v>0</v>
      </c>
    </row>
    <row r="6" spans="1:6" x14ac:dyDescent="0.3">
      <c r="A6" s="13"/>
      <c r="C6" s="8" t="s">
        <v>22</v>
      </c>
    </row>
    <row r="7" spans="1:6" x14ac:dyDescent="0.3">
      <c r="C7" s="11" t="s">
        <v>25</v>
      </c>
    </row>
    <row r="8" spans="1:6" x14ac:dyDescent="0.3">
      <c r="C8" s="8" t="s">
        <v>27</v>
      </c>
    </row>
    <row r="9" spans="1:6" x14ac:dyDescent="0.3">
      <c r="C9" s="11" t="s">
        <v>34</v>
      </c>
    </row>
    <row r="10" spans="1:6" x14ac:dyDescent="0.3">
      <c r="C10" s="8" t="s">
        <v>45</v>
      </c>
    </row>
    <row r="11" spans="1:6" x14ac:dyDescent="0.3">
      <c r="C11" s="1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차트</vt:lpstr>
      </vt:variant>
      <vt:variant>
        <vt:i4>1</vt:i4>
      </vt:variant>
    </vt:vector>
  </HeadingPairs>
  <TitlesOfParts>
    <vt:vector size="4" baseType="lpstr">
      <vt:lpstr>거래처별</vt:lpstr>
      <vt:lpstr>전체자료</vt:lpstr>
      <vt:lpstr>기초자료</vt:lpstr>
      <vt:lpstr>배송업체별차트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2014-05-11T06:08:20Z</dcterms:modified>
  <cp:category>엑셀 매크로</cp:category>
</cp:coreProperties>
</file>