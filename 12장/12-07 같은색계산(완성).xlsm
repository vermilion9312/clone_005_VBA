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01_매크로2013\VBA 2013 예제\B12\"/>
    </mc:Choice>
  </mc:AlternateContent>
  <bookViews>
    <workbookView xWindow="0" yWindow="0" windowWidth="25200" windowHeight="10890"/>
  </bookViews>
  <sheets>
    <sheet name="글꼴색별합계" sheetId="2" r:id="rId1"/>
    <sheet name="Sheet1" sheetId="1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8" i="2" l="1"/>
  <c r="H4" i="2"/>
  <c r="I4" i="2"/>
  <c r="I5" i="2"/>
  <c r="I6" i="2"/>
  <c r="H5" i="2"/>
  <c r="H6" i="2"/>
  <c r="H8" i="2" l="1"/>
</calcChain>
</file>

<file path=xl/comments1.xml><?xml version="1.0" encoding="utf-8"?>
<comments xmlns="http://schemas.openxmlformats.org/spreadsheetml/2006/main">
  <authors>
    <author>DSLee</author>
  </authors>
  <commentList>
    <comment ref="H4" authorId="0" shapeId="0">
      <text>
        <r>
          <rPr>
            <b/>
            <sz val="10"/>
            <color indexed="81"/>
            <rFont val="돋움"/>
            <family val="3"/>
            <charset val="129"/>
          </rPr>
          <t>수식</t>
        </r>
        <r>
          <rPr>
            <b/>
            <sz val="10"/>
            <color indexed="81"/>
            <rFont val="Tahoma"/>
            <family val="2"/>
          </rPr>
          <t xml:space="preserve"> : </t>
        </r>
        <r>
          <rPr>
            <b/>
            <sz val="11"/>
            <color indexed="81"/>
            <rFont val="맑은 고딕"/>
            <family val="3"/>
            <charset val="129"/>
          </rPr>
          <t>=fn같은색계산($D$4:$D$17,G4)</t>
        </r>
      </text>
    </comment>
    <comment ref="I4" authorId="0" shapeId="0">
      <text>
        <r>
          <rPr>
            <b/>
            <sz val="10"/>
            <color indexed="81"/>
            <rFont val="돋움"/>
            <family val="3"/>
            <charset val="129"/>
          </rPr>
          <t>수식</t>
        </r>
        <r>
          <rPr>
            <b/>
            <sz val="10"/>
            <color indexed="81"/>
            <rFont val="Tahoma"/>
            <family val="2"/>
          </rPr>
          <t xml:space="preserve"> : </t>
        </r>
        <r>
          <rPr>
            <b/>
            <sz val="11"/>
            <color indexed="81"/>
            <rFont val="맑은 고딕"/>
            <family val="3"/>
            <charset val="129"/>
          </rPr>
          <t>=fn같은색계산($D$4:$D$17,G4,"Count")</t>
        </r>
      </text>
    </comment>
  </commentList>
</comments>
</file>

<file path=xl/sharedStrings.xml><?xml version="1.0" encoding="utf-8"?>
<sst xmlns="http://schemas.openxmlformats.org/spreadsheetml/2006/main" count="41" uniqueCount="28">
  <si>
    <t>글꼴 색이 같은 셀 값의 합계 구하기</t>
    <phoneticPr fontId="4" type="noConversion"/>
  </si>
  <si>
    <t>주문일자</t>
  </si>
  <si>
    <t>제품명</t>
  </si>
  <si>
    <t>대리점명</t>
  </si>
  <si>
    <t>주문수</t>
  </si>
  <si>
    <t>주문금액</t>
  </si>
  <si>
    <t>글꼴색</t>
    <phoneticPr fontId="4" type="noConversion"/>
  </si>
  <si>
    <t>대추차</t>
  </si>
  <si>
    <t>안산점</t>
  </si>
  <si>
    <t>파랑색</t>
    <phoneticPr fontId="4" type="noConversion"/>
  </si>
  <si>
    <t>순천점</t>
  </si>
  <si>
    <t>빨강색</t>
    <phoneticPr fontId="4" type="noConversion"/>
  </si>
  <si>
    <t>광주점</t>
  </si>
  <si>
    <t>전체합계</t>
    <phoneticPr fontId="4" type="noConversion"/>
  </si>
  <si>
    <t>데미소다</t>
  </si>
  <si>
    <t>익산점</t>
  </si>
  <si>
    <t>강릉점</t>
  </si>
  <si>
    <t>레드</t>
  </si>
  <si>
    <t>경주점</t>
  </si>
  <si>
    <t>무주점</t>
  </si>
  <si>
    <t>부천점</t>
  </si>
  <si>
    <t>미스틱망고</t>
  </si>
  <si>
    <t>서교동점</t>
  </si>
  <si>
    <t>비락식혜</t>
  </si>
  <si>
    <t>청평점</t>
  </si>
  <si>
    <t>검정색</t>
    <phoneticPr fontId="4" type="noConversion"/>
  </si>
  <si>
    <t>합계</t>
    <phoneticPr fontId="4" type="noConversion"/>
  </si>
  <si>
    <t>개수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</si>
</sst>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_(* #,##0_);_(* \(#,##0\);_(* &quot;-&quot;_);_(@_)"/>
    <numFmt numFmtId="177" formatCode="yy/mm/dd"/>
  </numFmts>
  <fonts count="13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4"/>
      <color indexed="18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맑은 고딕"/>
      <family val="3"/>
      <charset val="129"/>
      <scheme val="minor"/>
    </font>
    <font>
      <sz val="10"/>
      <name val="돋움체"/>
      <family val="3"/>
    </font>
    <font>
      <b/>
      <sz val="11"/>
      <color indexed="12"/>
      <name val="맑은 고딕"/>
      <family val="3"/>
      <charset val="129"/>
      <scheme val="minor"/>
    </font>
    <font>
      <b/>
      <sz val="11"/>
      <color indexed="10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0"/>
      <color indexed="81"/>
      <name val="돋움"/>
      <family val="3"/>
      <charset val="129"/>
    </font>
    <font>
      <b/>
      <sz val="10"/>
      <color indexed="81"/>
      <name val="Tahoma"/>
      <family val="2"/>
    </font>
    <font>
      <b/>
      <sz val="11"/>
      <color indexed="81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</borders>
  <cellStyleXfs count="4">
    <xf numFmtId="0" fontId="0" fillId="0" borderId="0">
      <alignment vertical="center"/>
    </xf>
    <xf numFmtId="0" fontId="2" fillId="0" borderId="0">
      <alignment vertical="center"/>
    </xf>
    <xf numFmtId="0" fontId="6" fillId="0" borderId="0"/>
    <xf numFmtId="176" fontId="2" fillId="0" borderId="0" applyFont="0" applyFill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3" fillId="0" borderId="0" xfId="1" applyFont="1" applyAlignment="1">
      <alignment vertical="center"/>
    </xf>
    <xf numFmtId="0" fontId="5" fillId="0" borderId="0" xfId="1" applyFont="1" applyAlignment="1">
      <alignment vertical="center"/>
    </xf>
    <xf numFmtId="177" fontId="5" fillId="0" borderId="1" xfId="2" quotePrefix="1" applyNumberFormat="1" applyFont="1" applyBorder="1" applyAlignment="1">
      <alignment horizontal="center" vertical="center"/>
    </xf>
    <xf numFmtId="0" fontId="5" fillId="0" borderId="1" xfId="2" quotePrefix="1" applyNumberFormat="1" applyFont="1" applyBorder="1" applyAlignment="1">
      <alignment horizontal="center" vertical="center"/>
    </xf>
    <xf numFmtId="0" fontId="7" fillId="0" borderId="1" xfId="2" quotePrefix="1" applyNumberFormat="1" applyFont="1" applyBorder="1" applyAlignment="1">
      <alignment horizontal="center" vertical="center"/>
    </xf>
    <xf numFmtId="176" fontId="5" fillId="0" borderId="1" xfId="3" quotePrefix="1" applyFont="1" applyBorder="1" applyAlignment="1">
      <alignment horizontal="center" vertical="center"/>
    </xf>
    <xf numFmtId="0" fontId="7" fillId="0" borderId="1" xfId="2" applyNumberFormat="1" applyFont="1" applyFill="1" applyBorder="1" applyAlignment="1">
      <alignment horizontal="center" vertical="center"/>
    </xf>
    <xf numFmtId="0" fontId="5" fillId="0" borderId="1" xfId="1" applyFont="1" applyBorder="1" applyAlignment="1">
      <alignment vertical="center"/>
    </xf>
    <xf numFmtId="0" fontId="8" fillId="0" borderId="1" xfId="2" applyNumberFormat="1" applyFont="1" applyFill="1" applyBorder="1" applyAlignment="1">
      <alignment horizontal="center" vertical="center"/>
    </xf>
    <xf numFmtId="0" fontId="8" fillId="0" borderId="1" xfId="2" quotePrefix="1" applyNumberFormat="1" applyFont="1" applyBorder="1" applyAlignment="1">
      <alignment horizontal="center" vertical="center"/>
    </xf>
    <xf numFmtId="0" fontId="9" fillId="3" borderId="1" xfId="2" applyNumberFormat="1" applyFont="1" applyFill="1" applyBorder="1" applyAlignment="1">
      <alignment horizontal="center" vertical="center"/>
    </xf>
    <xf numFmtId="0" fontId="9" fillId="2" borderId="1" xfId="2" quotePrefix="1" applyNumberFormat="1" applyFont="1" applyFill="1" applyBorder="1" applyAlignment="1">
      <alignment horizontal="center" vertical="center"/>
    </xf>
    <xf numFmtId="0" fontId="9" fillId="4" borderId="1" xfId="2" applyNumberFormat="1" applyFont="1" applyFill="1" applyBorder="1" applyAlignment="1">
      <alignment horizontal="center" vertical="center"/>
    </xf>
  </cellXfs>
  <cellStyles count="4">
    <cellStyle name="쉼표 [0] 2" xfId="3"/>
    <cellStyle name="표준" xfId="0" builtinId="0"/>
    <cellStyle name="표준 2" xfId="1"/>
    <cellStyle name="표준_주문현황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17"/>
  <sheetViews>
    <sheetView showGridLines="0" tabSelected="1" workbookViewId="0">
      <selection activeCell="G16" sqref="G16"/>
    </sheetView>
  </sheetViews>
  <sheetFormatPr defaultRowHeight="16.5"/>
  <cols>
    <col min="1" max="1" width="9" style="2"/>
    <col min="2" max="2" width="11" style="2" bestFit="1" customWidth="1"/>
    <col min="3" max="3" width="9.25" style="2" bestFit="1" customWidth="1"/>
    <col min="4" max="5" width="9" style="2"/>
    <col min="6" max="6" width="3" style="2" customWidth="1"/>
    <col min="7" max="7" width="9" style="2"/>
    <col min="8" max="9" width="10.75" style="2" customWidth="1"/>
    <col min="10" max="257" width="9" style="2"/>
    <col min="258" max="258" width="15.25" style="2" bestFit="1" customWidth="1"/>
    <col min="259" max="259" width="9.25" style="2" bestFit="1" customWidth="1"/>
    <col min="260" max="513" width="9" style="2"/>
    <col min="514" max="514" width="15.25" style="2" bestFit="1" customWidth="1"/>
    <col min="515" max="515" width="9.25" style="2" bestFit="1" customWidth="1"/>
    <col min="516" max="769" width="9" style="2"/>
    <col min="770" max="770" width="15.25" style="2" bestFit="1" customWidth="1"/>
    <col min="771" max="771" width="9.25" style="2" bestFit="1" customWidth="1"/>
    <col min="772" max="1025" width="9" style="2"/>
    <col min="1026" max="1026" width="15.25" style="2" bestFit="1" customWidth="1"/>
    <col min="1027" max="1027" width="9.25" style="2" bestFit="1" customWidth="1"/>
    <col min="1028" max="1281" width="9" style="2"/>
    <col min="1282" max="1282" width="15.25" style="2" bestFit="1" customWidth="1"/>
    <col min="1283" max="1283" width="9.25" style="2" bestFit="1" customWidth="1"/>
    <col min="1284" max="1537" width="9" style="2"/>
    <col min="1538" max="1538" width="15.25" style="2" bestFit="1" customWidth="1"/>
    <col min="1539" max="1539" width="9.25" style="2" bestFit="1" customWidth="1"/>
    <col min="1540" max="1793" width="9" style="2"/>
    <col min="1794" max="1794" width="15.25" style="2" bestFit="1" customWidth="1"/>
    <col min="1795" max="1795" width="9.25" style="2" bestFit="1" customWidth="1"/>
    <col min="1796" max="2049" width="9" style="2"/>
    <col min="2050" max="2050" width="15.25" style="2" bestFit="1" customWidth="1"/>
    <col min="2051" max="2051" width="9.25" style="2" bestFit="1" customWidth="1"/>
    <col min="2052" max="2305" width="9" style="2"/>
    <col min="2306" max="2306" width="15.25" style="2" bestFit="1" customWidth="1"/>
    <col min="2307" max="2307" width="9.25" style="2" bestFit="1" customWidth="1"/>
    <col min="2308" max="2561" width="9" style="2"/>
    <col min="2562" max="2562" width="15.25" style="2" bestFit="1" customWidth="1"/>
    <col min="2563" max="2563" width="9.25" style="2" bestFit="1" customWidth="1"/>
    <col min="2564" max="2817" width="9" style="2"/>
    <col min="2818" max="2818" width="15.25" style="2" bestFit="1" customWidth="1"/>
    <col min="2819" max="2819" width="9.25" style="2" bestFit="1" customWidth="1"/>
    <col min="2820" max="3073" width="9" style="2"/>
    <col min="3074" max="3074" width="15.25" style="2" bestFit="1" customWidth="1"/>
    <col min="3075" max="3075" width="9.25" style="2" bestFit="1" customWidth="1"/>
    <col min="3076" max="3329" width="9" style="2"/>
    <col min="3330" max="3330" width="15.25" style="2" bestFit="1" customWidth="1"/>
    <col min="3331" max="3331" width="9.25" style="2" bestFit="1" customWidth="1"/>
    <col min="3332" max="3585" width="9" style="2"/>
    <col min="3586" max="3586" width="15.25" style="2" bestFit="1" customWidth="1"/>
    <col min="3587" max="3587" width="9.25" style="2" bestFit="1" customWidth="1"/>
    <col min="3588" max="3841" width="9" style="2"/>
    <col min="3842" max="3842" width="15.25" style="2" bestFit="1" customWidth="1"/>
    <col min="3843" max="3843" width="9.25" style="2" bestFit="1" customWidth="1"/>
    <col min="3844" max="4097" width="9" style="2"/>
    <col min="4098" max="4098" width="15.25" style="2" bestFit="1" customWidth="1"/>
    <col min="4099" max="4099" width="9.25" style="2" bestFit="1" customWidth="1"/>
    <col min="4100" max="4353" width="9" style="2"/>
    <col min="4354" max="4354" width="15.25" style="2" bestFit="1" customWidth="1"/>
    <col min="4355" max="4355" width="9.25" style="2" bestFit="1" customWidth="1"/>
    <col min="4356" max="4609" width="9" style="2"/>
    <col min="4610" max="4610" width="15.25" style="2" bestFit="1" customWidth="1"/>
    <col min="4611" max="4611" width="9.25" style="2" bestFit="1" customWidth="1"/>
    <col min="4612" max="4865" width="9" style="2"/>
    <col min="4866" max="4866" width="15.25" style="2" bestFit="1" customWidth="1"/>
    <col min="4867" max="4867" width="9.25" style="2" bestFit="1" customWidth="1"/>
    <col min="4868" max="5121" width="9" style="2"/>
    <col min="5122" max="5122" width="15.25" style="2" bestFit="1" customWidth="1"/>
    <col min="5123" max="5123" width="9.25" style="2" bestFit="1" customWidth="1"/>
    <col min="5124" max="5377" width="9" style="2"/>
    <col min="5378" max="5378" width="15.25" style="2" bestFit="1" customWidth="1"/>
    <col min="5379" max="5379" width="9.25" style="2" bestFit="1" customWidth="1"/>
    <col min="5380" max="5633" width="9" style="2"/>
    <col min="5634" max="5634" width="15.25" style="2" bestFit="1" customWidth="1"/>
    <col min="5635" max="5635" width="9.25" style="2" bestFit="1" customWidth="1"/>
    <col min="5636" max="5889" width="9" style="2"/>
    <col min="5890" max="5890" width="15.25" style="2" bestFit="1" customWidth="1"/>
    <col min="5891" max="5891" width="9.25" style="2" bestFit="1" customWidth="1"/>
    <col min="5892" max="6145" width="9" style="2"/>
    <col min="6146" max="6146" width="15.25" style="2" bestFit="1" customWidth="1"/>
    <col min="6147" max="6147" width="9.25" style="2" bestFit="1" customWidth="1"/>
    <col min="6148" max="6401" width="9" style="2"/>
    <col min="6402" max="6402" width="15.25" style="2" bestFit="1" customWidth="1"/>
    <col min="6403" max="6403" width="9.25" style="2" bestFit="1" customWidth="1"/>
    <col min="6404" max="6657" width="9" style="2"/>
    <col min="6658" max="6658" width="15.25" style="2" bestFit="1" customWidth="1"/>
    <col min="6659" max="6659" width="9.25" style="2" bestFit="1" customWidth="1"/>
    <col min="6660" max="6913" width="9" style="2"/>
    <col min="6914" max="6914" width="15.25" style="2" bestFit="1" customWidth="1"/>
    <col min="6915" max="6915" width="9.25" style="2" bestFit="1" customWidth="1"/>
    <col min="6916" max="7169" width="9" style="2"/>
    <col min="7170" max="7170" width="15.25" style="2" bestFit="1" customWidth="1"/>
    <col min="7171" max="7171" width="9.25" style="2" bestFit="1" customWidth="1"/>
    <col min="7172" max="7425" width="9" style="2"/>
    <col min="7426" max="7426" width="15.25" style="2" bestFit="1" customWidth="1"/>
    <col min="7427" max="7427" width="9.25" style="2" bestFit="1" customWidth="1"/>
    <col min="7428" max="7681" width="9" style="2"/>
    <col min="7682" max="7682" width="15.25" style="2" bestFit="1" customWidth="1"/>
    <col min="7683" max="7683" width="9.25" style="2" bestFit="1" customWidth="1"/>
    <col min="7684" max="7937" width="9" style="2"/>
    <col min="7938" max="7938" width="15.25" style="2" bestFit="1" customWidth="1"/>
    <col min="7939" max="7939" width="9.25" style="2" bestFit="1" customWidth="1"/>
    <col min="7940" max="8193" width="9" style="2"/>
    <col min="8194" max="8194" width="15.25" style="2" bestFit="1" customWidth="1"/>
    <col min="8195" max="8195" width="9.25" style="2" bestFit="1" customWidth="1"/>
    <col min="8196" max="8449" width="9" style="2"/>
    <col min="8450" max="8450" width="15.25" style="2" bestFit="1" customWidth="1"/>
    <col min="8451" max="8451" width="9.25" style="2" bestFit="1" customWidth="1"/>
    <col min="8452" max="8705" width="9" style="2"/>
    <col min="8706" max="8706" width="15.25" style="2" bestFit="1" customWidth="1"/>
    <col min="8707" max="8707" width="9.25" style="2" bestFit="1" customWidth="1"/>
    <col min="8708" max="8961" width="9" style="2"/>
    <col min="8962" max="8962" width="15.25" style="2" bestFit="1" customWidth="1"/>
    <col min="8963" max="8963" width="9.25" style="2" bestFit="1" customWidth="1"/>
    <col min="8964" max="9217" width="9" style="2"/>
    <col min="9218" max="9218" width="15.25" style="2" bestFit="1" customWidth="1"/>
    <col min="9219" max="9219" width="9.25" style="2" bestFit="1" customWidth="1"/>
    <col min="9220" max="9473" width="9" style="2"/>
    <col min="9474" max="9474" width="15.25" style="2" bestFit="1" customWidth="1"/>
    <col min="9475" max="9475" width="9.25" style="2" bestFit="1" customWidth="1"/>
    <col min="9476" max="9729" width="9" style="2"/>
    <col min="9730" max="9730" width="15.25" style="2" bestFit="1" customWidth="1"/>
    <col min="9731" max="9731" width="9.25" style="2" bestFit="1" customWidth="1"/>
    <col min="9732" max="9985" width="9" style="2"/>
    <col min="9986" max="9986" width="15.25" style="2" bestFit="1" customWidth="1"/>
    <col min="9987" max="9987" width="9.25" style="2" bestFit="1" customWidth="1"/>
    <col min="9988" max="10241" width="9" style="2"/>
    <col min="10242" max="10242" width="15.25" style="2" bestFit="1" customWidth="1"/>
    <col min="10243" max="10243" width="9.25" style="2" bestFit="1" customWidth="1"/>
    <col min="10244" max="10497" width="9" style="2"/>
    <col min="10498" max="10498" width="15.25" style="2" bestFit="1" customWidth="1"/>
    <col min="10499" max="10499" width="9.25" style="2" bestFit="1" customWidth="1"/>
    <col min="10500" max="10753" width="9" style="2"/>
    <col min="10754" max="10754" width="15.25" style="2" bestFit="1" customWidth="1"/>
    <col min="10755" max="10755" width="9.25" style="2" bestFit="1" customWidth="1"/>
    <col min="10756" max="11009" width="9" style="2"/>
    <col min="11010" max="11010" width="15.25" style="2" bestFit="1" customWidth="1"/>
    <col min="11011" max="11011" width="9.25" style="2" bestFit="1" customWidth="1"/>
    <col min="11012" max="11265" width="9" style="2"/>
    <col min="11266" max="11266" width="15.25" style="2" bestFit="1" customWidth="1"/>
    <col min="11267" max="11267" width="9.25" style="2" bestFit="1" customWidth="1"/>
    <col min="11268" max="11521" width="9" style="2"/>
    <col min="11522" max="11522" width="15.25" style="2" bestFit="1" customWidth="1"/>
    <col min="11523" max="11523" width="9.25" style="2" bestFit="1" customWidth="1"/>
    <col min="11524" max="11777" width="9" style="2"/>
    <col min="11778" max="11778" width="15.25" style="2" bestFit="1" customWidth="1"/>
    <col min="11779" max="11779" width="9.25" style="2" bestFit="1" customWidth="1"/>
    <col min="11780" max="12033" width="9" style="2"/>
    <col min="12034" max="12034" width="15.25" style="2" bestFit="1" customWidth="1"/>
    <col min="12035" max="12035" width="9.25" style="2" bestFit="1" customWidth="1"/>
    <col min="12036" max="12289" width="9" style="2"/>
    <col min="12290" max="12290" width="15.25" style="2" bestFit="1" customWidth="1"/>
    <col min="12291" max="12291" width="9.25" style="2" bestFit="1" customWidth="1"/>
    <col min="12292" max="12545" width="9" style="2"/>
    <col min="12546" max="12546" width="15.25" style="2" bestFit="1" customWidth="1"/>
    <col min="12547" max="12547" width="9.25" style="2" bestFit="1" customWidth="1"/>
    <col min="12548" max="12801" width="9" style="2"/>
    <col min="12802" max="12802" width="15.25" style="2" bestFit="1" customWidth="1"/>
    <col min="12803" max="12803" width="9.25" style="2" bestFit="1" customWidth="1"/>
    <col min="12804" max="13057" width="9" style="2"/>
    <col min="13058" max="13058" width="15.25" style="2" bestFit="1" customWidth="1"/>
    <col min="13059" max="13059" width="9.25" style="2" bestFit="1" customWidth="1"/>
    <col min="13060" max="13313" width="9" style="2"/>
    <col min="13314" max="13314" width="15.25" style="2" bestFit="1" customWidth="1"/>
    <col min="13315" max="13315" width="9.25" style="2" bestFit="1" customWidth="1"/>
    <col min="13316" max="13569" width="9" style="2"/>
    <col min="13570" max="13570" width="15.25" style="2" bestFit="1" customWidth="1"/>
    <col min="13571" max="13571" width="9.25" style="2" bestFit="1" customWidth="1"/>
    <col min="13572" max="13825" width="9" style="2"/>
    <col min="13826" max="13826" width="15.25" style="2" bestFit="1" customWidth="1"/>
    <col min="13827" max="13827" width="9.25" style="2" bestFit="1" customWidth="1"/>
    <col min="13828" max="14081" width="9" style="2"/>
    <col min="14082" max="14082" width="15.25" style="2" bestFit="1" customWidth="1"/>
    <col min="14083" max="14083" width="9.25" style="2" bestFit="1" customWidth="1"/>
    <col min="14084" max="14337" width="9" style="2"/>
    <col min="14338" max="14338" width="15.25" style="2" bestFit="1" customWidth="1"/>
    <col min="14339" max="14339" width="9.25" style="2" bestFit="1" customWidth="1"/>
    <col min="14340" max="14593" width="9" style="2"/>
    <col min="14594" max="14594" width="15.25" style="2" bestFit="1" customWidth="1"/>
    <col min="14595" max="14595" width="9.25" style="2" bestFit="1" customWidth="1"/>
    <col min="14596" max="14849" width="9" style="2"/>
    <col min="14850" max="14850" width="15.25" style="2" bestFit="1" customWidth="1"/>
    <col min="14851" max="14851" width="9.25" style="2" bestFit="1" customWidth="1"/>
    <col min="14852" max="15105" width="9" style="2"/>
    <col min="15106" max="15106" width="15.25" style="2" bestFit="1" customWidth="1"/>
    <col min="15107" max="15107" width="9.25" style="2" bestFit="1" customWidth="1"/>
    <col min="15108" max="15361" width="9" style="2"/>
    <col min="15362" max="15362" width="15.25" style="2" bestFit="1" customWidth="1"/>
    <col min="15363" max="15363" width="9.25" style="2" bestFit="1" customWidth="1"/>
    <col min="15364" max="15617" width="9" style="2"/>
    <col min="15618" max="15618" width="15.25" style="2" bestFit="1" customWidth="1"/>
    <col min="15619" max="15619" width="9.25" style="2" bestFit="1" customWidth="1"/>
    <col min="15620" max="15873" width="9" style="2"/>
    <col min="15874" max="15874" width="15.25" style="2" bestFit="1" customWidth="1"/>
    <col min="15875" max="15875" width="9.25" style="2" bestFit="1" customWidth="1"/>
    <col min="15876" max="16129" width="9" style="2"/>
    <col min="16130" max="16130" width="15.25" style="2" bestFit="1" customWidth="1"/>
    <col min="16131" max="16131" width="9.25" style="2" bestFit="1" customWidth="1"/>
    <col min="16132" max="16384" width="9" style="2"/>
  </cols>
  <sheetData>
    <row r="1" spans="1:9" ht="20.25">
      <c r="A1" s="1" t="s">
        <v>0</v>
      </c>
    </row>
    <row r="3" spans="1:9" ht="22.5" customHeight="1">
      <c r="A3" s="12" t="s">
        <v>1</v>
      </c>
      <c r="B3" s="12" t="s">
        <v>2</v>
      </c>
      <c r="C3" s="12" t="s">
        <v>3</v>
      </c>
      <c r="D3" s="12" t="s">
        <v>4</v>
      </c>
      <c r="E3" s="12" t="s">
        <v>5</v>
      </c>
      <c r="G3" s="11" t="s">
        <v>6</v>
      </c>
      <c r="H3" s="11" t="s">
        <v>26</v>
      </c>
      <c r="I3" s="11" t="s">
        <v>27</v>
      </c>
    </row>
    <row r="4" spans="1:9" ht="15" customHeight="1">
      <c r="A4" s="3">
        <v>42262</v>
      </c>
      <c r="B4" s="4" t="s">
        <v>7</v>
      </c>
      <c r="C4" s="4" t="s">
        <v>8</v>
      </c>
      <c r="D4" s="5">
        <v>30</v>
      </c>
      <c r="E4" s="6">
        <v>24000</v>
      </c>
      <c r="G4" s="7" t="s">
        <v>9</v>
      </c>
      <c r="H4" s="8">
        <f>fn같은색계산($D$4:$D$17,G4)</f>
        <v>140</v>
      </c>
      <c r="I4" s="8">
        <f>fn같은색계산(D4:D17,G4,"count")</f>
        <v>4</v>
      </c>
    </row>
    <row r="5" spans="1:9" ht="15" customHeight="1">
      <c r="A5" s="3">
        <v>42307</v>
      </c>
      <c r="B5" s="4" t="s">
        <v>7</v>
      </c>
      <c r="C5" s="4" t="s">
        <v>10</v>
      </c>
      <c r="D5" s="4">
        <v>50</v>
      </c>
      <c r="E5" s="6">
        <v>40000</v>
      </c>
      <c r="G5" s="9" t="s">
        <v>11</v>
      </c>
      <c r="H5" s="8">
        <f t="shared" ref="H4:H6" si="0">fn같은색계산($D$4:$D$17,G5)</f>
        <v>123</v>
      </c>
      <c r="I5" s="8">
        <f t="shared" ref="I4:I6" si="1">fn같은색계산($D$4:$D$17,G5,"Count")</f>
        <v>4</v>
      </c>
    </row>
    <row r="6" spans="1:9">
      <c r="A6" s="3">
        <v>42317</v>
      </c>
      <c r="B6" s="4" t="s">
        <v>7</v>
      </c>
      <c r="C6" s="4" t="s">
        <v>12</v>
      </c>
      <c r="D6" s="10">
        <v>34</v>
      </c>
      <c r="E6" s="6">
        <v>27200</v>
      </c>
      <c r="G6" s="4" t="s">
        <v>25</v>
      </c>
      <c r="H6" s="8">
        <f t="shared" si="0"/>
        <v>157</v>
      </c>
      <c r="I6" s="8">
        <f t="shared" si="1"/>
        <v>6</v>
      </c>
    </row>
    <row r="7" spans="1:9">
      <c r="A7" s="3">
        <v>42333</v>
      </c>
      <c r="B7" s="4" t="s">
        <v>7</v>
      </c>
      <c r="C7" s="4" t="s">
        <v>8</v>
      </c>
      <c r="D7" s="4">
        <v>11</v>
      </c>
      <c r="E7" s="6">
        <v>8800</v>
      </c>
    </row>
    <row r="8" spans="1:9">
      <c r="A8" s="3">
        <v>42265</v>
      </c>
      <c r="B8" s="4" t="s">
        <v>14</v>
      </c>
      <c r="C8" s="4" t="s">
        <v>15</v>
      </c>
      <c r="D8" s="5">
        <v>50</v>
      </c>
      <c r="E8" s="6">
        <v>25000</v>
      </c>
      <c r="G8" s="13" t="s">
        <v>13</v>
      </c>
      <c r="H8" s="8">
        <f>SUM(D4:D17)</f>
        <v>420</v>
      </c>
      <c r="I8" s="8">
        <f>COUNT(D4:D17)</f>
        <v>14</v>
      </c>
    </row>
    <row r="9" spans="1:9">
      <c r="A9" s="3">
        <v>42270</v>
      </c>
      <c r="B9" s="4" t="s">
        <v>14</v>
      </c>
      <c r="C9" s="4" t="s">
        <v>16</v>
      </c>
      <c r="D9" s="4">
        <v>46</v>
      </c>
      <c r="E9" s="6">
        <v>23000</v>
      </c>
    </row>
    <row r="10" spans="1:9">
      <c r="A10" s="3">
        <v>42268</v>
      </c>
      <c r="B10" s="4" t="s">
        <v>17</v>
      </c>
      <c r="C10" s="4" t="s">
        <v>15</v>
      </c>
      <c r="D10" s="10">
        <v>16</v>
      </c>
      <c r="E10" s="6">
        <v>15200</v>
      </c>
    </row>
    <row r="11" spans="1:9">
      <c r="A11" s="3">
        <v>42298</v>
      </c>
      <c r="B11" s="4" t="s">
        <v>17</v>
      </c>
      <c r="C11" s="4" t="s">
        <v>18</v>
      </c>
      <c r="D11" s="5">
        <v>30</v>
      </c>
      <c r="E11" s="6">
        <v>28500</v>
      </c>
    </row>
    <row r="12" spans="1:9">
      <c r="A12" s="3">
        <v>42345</v>
      </c>
      <c r="B12" s="4" t="s">
        <v>17</v>
      </c>
      <c r="C12" s="4" t="s">
        <v>19</v>
      </c>
      <c r="D12" s="4">
        <v>23</v>
      </c>
      <c r="E12" s="6">
        <v>21850</v>
      </c>
    </row>
    <row r="13" spans="1:9">
      <c r="A13" s="3">
        <v>42350</v>
      </c>
      <c r="B13" s="4" t="s">
        <v>17</v>
      </c>
      <c r="C13" s="4" t="s">
        <v>20</v>
      </c>
      <c r="D13" s="4">
        <v>11</v>
      </c>
      <c r="E13" s="6">
        <v>10450</v>
      </c>
    </row>
    <row r="14" spans="1:9">
      <c r="A14" s="3">
        <v>42283</v>
      </c>
      <c r="B14" s="4" t="s">
        <v>21</v>
      </c>
      <c r="C14" s="4" t="s">
        <v>10</v>
      </c>
      <c r="D14" s="10">
        <v>34</v>
      </c>
      <c r="E14" s="6">
        <v>29240</v>
      </c>
    </row>
    <row r="15" spans="1:9">
      <c r="A15" s="3">
        <v>42289</v>
      </c>
      <c r="B15" s="4" t="s">
        <v>21</v>
      </c>
      <c r="C15" s="4" t="s">
        <v>22</v>
      </c>
      <c r="D15" s="5">
        <v>30</v>
      </c>
      <c r="E15" s="6">
        <v>25800</v>
      </c>
    </row>
    <row r="16" spans="1:9">
      <c r="A16" s="3">
        <v>42346</v>
      </c>
      <c r="B16" s="4" t="s">
        <v>21</v>
      </c>
      <c r="C16" s="4" t="s">
        <v>12</v>
      </c>
      <c r="D16" s="10">
        <v>39</v>
      </c>
      <c r="E16" s="6">
        <v>33540</v>
      </c>
    </row>
    <row r="17" spans="1:5">
      <c r="A17" s="3">
        <v>42320</v>
      </c>
      <c r="B17" s="4" t="s">
        <v>23</v>
      </c>
      <c r="C17" s="4" t="s">
        <v>24</v>
      </c>
      <c r="D17" s="4">
        <v>16</v>
      </c>
      <c r="E17" s="6">
        <v>11200</v>
      </c>
    </row>
  </sheetData>
  <phoneticPr fontId="1" type="noConversion"/>
  <pageMargins left="0.75" right="0.75" top="1" bottom="1" header="0.5" footer="0.5"/>
  <headerFooter alignWithMargins="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D9" sqref="D9"/>
    </sheetView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글꼴색별합계</vt:lpstr>
      <vt:lpstr>Sheet1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dcterms:created xsi:type="dcterms:W3CDTF">2013-11-01T06:50:11Z</dcterms:created>
  <dcterms:modified xsi:type="dcterms:W3CDTF">2014-03-26T04:40:18Z</dcterms:modified>
  <cp:category>엑셀 매크로</cp:category>
</cp:coreProperties>
</file>