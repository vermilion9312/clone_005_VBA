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예약현황!$A$3:$G$54</definedName>
    <definedName name="_xlnm.Criteria" localSheetId="1">'@작업시트'!$K$5:$M$6</definedName>
    <definedName name="_xlnm.Extract" localSheetId="1">'@작업시트'!$O$5:$V$5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<sst xmlns="http://schemas.openxmlformats.org/spreadsheetml/2006/main" count="507" uniqueCount="194">
  <si>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</si>
  <si>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</si>
  <si>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</si>
  <si>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</si>
  <si>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</si>
  <si>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</si>
  <si>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</si>
  <si>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</si>
  <si>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</si>
  <si>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</si>
  <si>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</si>
  <si>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</si>
  <si>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</si>
  <si>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</si>
  <si>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</si>
  <si>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</si>
  <si>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</si>
  <si>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</si>
  <si>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</si>
  <si>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</si>
  <si>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</si>
  <si>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</si>
  <si>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</si>
  <si>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</si>
  <si>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</si>
  <si>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</si>
  <si>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</si>
  <si>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</si>
  <si>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</si>
  <si>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</si>
  <si>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</si>
  <si>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</si>
  <si>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</si>
  <si>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</si>
  <si>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</si>
  <si>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</si>
  <si>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</si>
  <si>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</si>
  <si>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</si>
  <si>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</si>
  <si>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</si>
  <si>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</si>
  <si>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</si>
  <si>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</si>
  <si>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</si>
  <si>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</si>
  <si>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</si>
  <si>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</si>
  <si>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</si>
  <si>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</si>
  <si>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</si>
  <si>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</si>
  <si>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</si>
  <si>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</si>
  <si>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</si>
  <si>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</si>
  <si>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</si>
  <si>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</si>
  <si>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</si>
  <si>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</si>
  <si>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</si>
  <si>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</si>
  <si>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</si>
  <si>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</si>
  <si>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</si>
  <si>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</si>
  <si>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</si>
  <si>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</si>
  <si>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</si>
  <si>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</si>
  <si>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</si>
  <si>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</si>
  <si>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</si>
  <si>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</si>
  <si>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</si>
  <si>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</si>
  <si>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</si>
  <si>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</si>
  <si>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</si>
  <si>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</si>
  <si>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</si>
  <si>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</si>
  <si>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</si>
  <si>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</si>
  <si>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</si>
  <si>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</si>
  <si>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</si>
  <si>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</si>
  <si>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</si>
  <si>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</si>
  <si>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</si>
  <si>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</si>
  <si>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</si>
  <si>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</si>
  <si>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</si>
  <si>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</si>
  <si>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</si>
  <si>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</si>
  <si>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</si>
  <si>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</si>
  <si>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</si>
  <si>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</si>
  <si>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</si>
  <si>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</si>
  <si>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</si>
  <si>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</si>
  <si>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</si>
  <si>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</si>
  <si>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</si>
  <si>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</si>
  <si>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</si>
  <si>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</si>
  <si>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</si>
  <si>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</si>
  <si>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</si>
  <si>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</si>
  <si>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</si>
  <si>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</si>
  <si>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</si>
  <si>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</si>
  <si>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</si>
  <si>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</si>
  <si>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</si>
  <si>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</si>
  <si>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</si>
  <si>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</si>
  <si>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</si>
  <si>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</si>
  <si>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</si>
  <si>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</si>
  <si>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</si>
  <si>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</si>
  <si>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</si>
  <si>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</si>
  <si>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</si>
  <si>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</si>
  <si>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</si>
  <si>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</si>
  <si>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</si>
  <si>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</si>
  <si>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</si>
  <si>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</si>
  <si>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</si>
  <si>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</si>
  <si>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</si>
  <si>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</si>
  <si>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</si>
  <si>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</si>
  <si>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</si>
  <si>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</si>
  <si>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</si>
  <si>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</si>
  <si>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</si>
  <si>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</si>
  <si>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</si>
  <si>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</si>
  <si>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</si>
  <si>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</si>
  <si>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</si>
  <si>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</si>
  <si>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</si>
  <si>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</si>
  <si>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</si>
  <si>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</si>
  <si>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</si>
  <si>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</si>
  <si>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</si>
  <si>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</si>
  <si>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</si>
  <si>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</si>
  <si>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</si>
  <si>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</si>
  <si>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김수동</t>
  </si>
  <si>
    <t>L00003</t>
    <phoneticPr fontId="3" type="noConversion"/>
  </si>
  <si>
    <t>장수연</t>
  </si>
  <si>
    <t>고희동</t>
  </si>
  <si>
    <t>여홍신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</si>
  <si>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</si>
  <si>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</si>
  <si>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</si>
  <si>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</si>
  <si>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</si>
  <si>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</si>
  <si>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</si>
  <si>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</si>
  <si>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</si>
  <si>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</si>
  <si>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</si>
  <si>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</si>
  <si>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</si>
  <si>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</si>
  <si>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**</t>
    <phoneticPr fontId="1" type="noConversion"/>
  </si>
  <si>
    <t>**</t>
    <phoneticPr fontId="3" type="noConversion"/>
  </si>
  <si>
    <t>Ver. 20141117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</si>
</sst>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4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B21" sqref="B21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193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80" r:id="rId4" name="Label1">
          <controlPr defaultSize="0" autoLine="0" r:id="rId5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4" name="Label1"/>
      </mc:Fallback>
    </mc:AlternateContent>
    <mc:AlternateContent xmlns:mc="http://schemas.openxmlformats.org/markup-compatibility/2006">
      <mc:Choice Requires="x14">
        <control shapeId="3079" r:id="rId6" name="lstSheet">
          <controlPr defaultSize="0" autoLine="0" r:id="rId7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6" name="lstSheet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164</v>
      </c>
    </row>
    <row r="2" spans="1:30" s="1" customFormat="1" ht="9" customHeight="1" x14ac:dyDescent="0.3">
      <c r="A2" s="44"/>
    </row>
    <row r="3" spans="1:30" s="1" customFormat="1" x14ac:dyDescent="0.3">
      <c r="A3" s="1" t="s">
        <v>165</v>
      </c>
      <c r="C3" s="1" t="s">
        <v>166</v>
      </c>
      <c r="E3" s="1" t="s">
        <v>167</v>
      </c>
      <c r="K3" s="1" t="s">
        <v>168</v>
      </c>
      <c r="O3" s="1" t="s">
        <v>169</v>
      </c>
      <c r="X3" s="1" t="s">
        <v>170</v>
      </c>
      <c r="Z3" s="1" t="s">
        <v>171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145</v>
      </c>
      <c r="M5" s="32" t="s">
        <v>145</v>
      </c>
      <c r="O5" s="31" t="s">
        <v>68</v>
      </c>
      <c r="P5" s="32" t="s">
        <v>145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146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191</v>
      </c>
      <c r="E6" s="20" t="s">
        <v>3</v>
      </c>
      <c r="F6" s="20" t="s">
        <v>4</v>
      </c>
      <c r="G6" s="20" t="s">
        <v>138</v>
      </c>
      <c r="H6" s="20" t="s">
        <v>5</v>
      </c>
      <c r="I6" s="20" t="s">
        <v>136</v>
      </c>
      <c r="K6" t="s">
        <v>192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173</v>
      </c>
      <c r="Z6" s="26" t="s">
        <v>155</v>
      </c>
      <c r="AA6" s="26" t="s">
        <v>172</v>
      </c>
      <c r="AB6" s="38">
        <v>41675</v>
      </c>
      <c r="AC6" s="26"/>
      <c r="AD6" s="26"/>
    </row>
    <row r="7" spans="1:30" x14ac:dyDescent="0.3">
      <c r="E7" s="20" t="s">
        <v>6</v>
      </c>
      <c r="F7" s="20" t="s">
        <v>7</v>
      </c>
      <c r="G7" s="20" t="s">
        <v>11</v>
      </c>
      <c r="H7" s="20" t="s">
        <v>8</v>
      </c>
      <c r="I7" s="20" t="s">
        <v>140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26</v>
      </c>
      <c r="AA7" s="26" t="s">
        <v>174</v>
      </c>
      <c r="AB7" s="38">
        <v>41675</v>
      </c>
      <c r="AC7" s="26"/>
      <c r="AD7" s="26"/>
    </row>
    <row r="8" spans="1:30" x14ac:dyDescent="0.3">
      <c r="E8" s="20" t="s">
        <v>9</v>
      </c>
      <c r="F8" s="20" t="s">
        <v>10</v>
      </c>
      <c r="G8" s="20" t="s">
        <v>11</v>
      </c>
      <c r="H8" s="20" t="s">
        <v>12</v>
      </c>
      <c r="I8" s="20" t="s">
        <v>140</v>
      </c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 t="s">
        <v>38</v>
      </c>
      <c r="AA8" s="26" t="s">
        <v>175</v>
      </c>
      <c r="AB8" s="38">
        <v>41978</v>
      </c>
      <c r="AC8" s="26"/>
      <c r="AD8" s="26"/>
    </row>
    <row r="9" spans="1:30" x14ac:dyDescent="0.3">
      <c r="E9" s="20" t="s">
        <v>13</v>
      </c>
      <c r="F9" s="20" t="s">
        <v>14</v>
      </c>
      <c r="G9" s="20" t="s">
        <v>138</v>
      </c>
      <c r="H9" s="20" t="s">
        <v>15</v>
      </c>
      <c r="I9" s="20" t="s">
        <v>136</v>
      </c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 t="s">
        <v>50</v>
      </c>
      <c r="AA9" s="26" t="s">
        <v>176</v>
      </c>
      <c r="AB9" s="38">
        <v>41866</v>
      </c>
      <c r="AC9" s="26"/>
      <c r="AD9" s="26"/>
    </row>
    <row r="10" spans="1:30" x14ac:dyDescent="0.3">
      <c r="E10" s="20" t="s">
        <v>16</v>
      </c>
      <c r="F10" s="20" t="s">
        <v>17</v>
      </c>
      <c r="G10" s="20" t="s">
        <v>142</v>
      </c>
      <c r="H10" s="20" t="s">
        <v>18</v>
      </c>
      <c r="I10" s="20" t="s">
        <v>143</v>
      </c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/>
      <c r="AA10" s="26"/>
      <c r="AB10" s="38"/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19</v>
      </c>
      <c r="H11" s="20" t="s">
        <v>135</v>
      </c>
      <c r="I11" s="20" t="s">
        <v>139</v>
      </c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/>
      <c r="AA11" s="26"/>
      <c r="AB11" s="38"/>
      <c r="AC11" s="26"/>
      <c r="AD11" s="26"/>
    </row>
    <row r="12" spans="1:30" x14ac:dyDescent="0.3">
      <c r="E12" s="20" t="s">
        <v>129</v>
      </c>
      <c r="F12" s="20" t="s">
        <v>130</v>
      </c>
      <c r="G12" s="20" t="s">
        <v>137</v>
      </c>
      <c r="H12" s="20" t="s">
        <v>131</v>
      </c>
      <c r="I12" s="20" t="s">
        <v>144</v>
      </c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/>
      <c r="AA12" s="26"/>
      <c r="AB12" s="38"/>
      <c r="AC12" s="26"/>
      <c r="AD12" s="26"/>
    </row>
    <row r="13" spans="1:30" x14ac:dyDescent="0.3">
      <c r="E13" s="20" t="s">
        <v>126</v>
      </c>
      <c r="F13" s="20" t="s">
        <v>127</v>
      </c>
      <c r="G13" s="20" t="s">
        <v>138</v>
      </c>
      <c r="H13" s="20" t="s">
        <v>128</v>
      </c>
      <c r="I13" s="20" t="s">
        <v>136</v>
      </c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/>
      <c r="AA13" s="26"/>
      <c r="AB13" s="38"/>
      <c r="AC13" s="26"/>
      <c r="AD13" s="26"/>
    </row>
    <row r="14" spans="1:30" x14ac:dyDescent="0.3">
      <c r="E14" s="20" t="s">
        <v>20</v>
      </c>
      <c r="F14" s="20" t="s">
        <v>21</v>
      </c>
      <c r="G14" s="20" t="s">
        <v>142</v>
      </c>
      <c r="H14" s="20" t="s">
        <v>22</v>
      </c>
      <c r="I14" s="20" t="s">
        <v>143</v>
      </c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/>
      <c r="AA14" s="26"/>
      <c r="AB14" s="38"/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/>
      <c r="AA15" s="26"/>
      <c r="AB15" s="38"/>
      <c r="AC15" s="26"/>
      <c r="AD15" s="26"/>
    </row>
    <row r="16" spans="1:30" x14ac:dyDescent="0.3">
      <c r="E16" s="20" t="s">
        <v>26</v>
      </c>
      <c r="F16" s="20" t="s">
        <v>27</v>
      </c>
      <c r="G16" s="20" t="s">
        <v>142</v>
      </c>
      <c r="H16" s="20" t="s">
        <v>28</v>
      </c>
      <c r="I16" s="20" t="s">
        <v>143</v>
      </c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/>
      <c r="AA16" s="26"/>
      <c r="AB16" s="38"/>
      <c r="AC16" s="26"/>
      <c r="AD16" s="26"/>
    </row>
    <row r="17" spans="5:30" x14ac:dyDescent="0.3">
      <c r="E17" s="20" t="s">
        <v>29</v>
      </c>
      <c r="F17" s="20" t="s">
        <v>30</v>
      </c>
      <c r="G17" s="20" t="s">
        <v>11</v>
      </c>
      <c r="H17" s="20" t="s">
        <v>31</v>
      </c>
      <c r="I17" s="20" t="s">
        <v>140</v>
      </c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/>
      <c r="AA17" s="26"/>
      <c r="AB17" s="38"/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35</v>
      </c>
      <c r="F19" s="20" t="s">
        <v>36</v>
      </c>
      <c r="G19" s="20" t="s">
        <v>19</v>
      </c>
      <c r="H19" s="20" t="s">
        <v>37</v>
      </c>
      <c r="I19" s="20" t="s">
        <v>139</v>
      </c>
      <c r="Z19" s="26"/>
      <c r="AA19" s="26"/>
      <c r="AB19" s="38"/>
      <c r="AC19" s="26"/>
      <c r="AD19" s="26"/>
    </row>
    <row r="20" spans="5:30" x14ac:dyDescent="0.3">
      <c r="E20" s="20" t="s">
        <v>38</v>
      </c>
      <c r="F20" s="20" t="s">
        <v>39</v>
      </c>
      <c r="G20" s="20" t="s">
        <v>137</v>
      </c>
      <c r="H20" s="20" t="s">
        <v>40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44</v>
      </c>
      <c r="F22" s="20" t="s">
        <v>45</v>
      </c>
      <c r="G22" s="20" t="s">
        <v>19</v>
      </c>
      <c r="H22" s="20" t="s">
        <v>46</v>
      </c>
      <c r="I22" s="20" t="s">
        <v>139</v>
      </c>
    </row>
    <row r="23" spans="5:30" x14ac:dyDescent="0.3">
      <c r="E23" s="20" t="s">
        <v>47</v>
      </c>
      <c r="F23" s="20" t="s">
        <v>48</v>
      </c>
      <c r="G23" s="20" t="s">
        <v>142</v>
      </c>
      <c r="H23" s="20" t="s">
        <v>49</v>
      </c>
      <c r="I23" s="20" t="s">
        <v>143</v>
      </c>
    </row>
    <row r="24" spans="5:30" x14ac:dyDescent="0.3">
      <c r="E24" s="20" t="s">
        <v>50</v>
      </c>
      <c r="F24" s="20" t="s">
        <v>51</v>
      </c>
      <c r="G24" s="20" t="s">
        <v>52</v>
      </c>
      <c r="H24" s="20" t="s">
        <v>53</v>
      </c>
      <c r="I24" s="34" t="s">
        <v>141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E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145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10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4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147</v>
      </c>
      <c r="B3" s="26" t="s">
        <v>68</v>
      </c>
      <c r="C3" s="26" t="s">
        <v>69</v>
      </c>
      <c r="D3" s="26" t="s">
        <v>146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154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153</v>
      </c>
    </row>
    <row r="5" spans="1:9" x14ac:dyDescent="0.3">
      <c r="A5" s="26" t="str">
        <f>tbl예약현황[강좌코드]&amp;tbl예약현황[고객코드]</f>
        <v>L00001S04012</v>
      </c>
      <c r="B5" s="26" t="s">
        <v>151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151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151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151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151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151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151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151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151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151</v>
      </c>
      <c r="C14" s="26" t="s">
        <v>152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155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156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157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158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159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160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161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157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163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158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159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160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152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155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4" t="s">
        <v>58</v>
      </c>
      <c r="B1" s="54"/>
      <c r="C1" s="54"/>
      <c r="D1" s="54"/>
      <c r="E1" s="54"/>
      <c r="F1" s="54"/>
      <c r="G1" s="54"/>
      <c r="H1" s="54"/>
      <c r="I1" s="54"/>
    </row>
    <row r="3" spans="1:9" x14ac:dyDescent="0.3">
      <c r="A3" s="55" t="s">
        <v>61</v>
      </c>
      <c r="B3" s="55"/>
      <c r="C3" s="55" t="s">
        <v>177</v>
      </c>
      <c r="D3" s="55"/>
      <c r="E3" s="55"/>
      <c r="F3" s="16" t="s">
        <v>56</v>
      </c>
      <c r="G3" s="56" t="s">
        <v>180</v>
      </c>
      <c r="H3" s="56"/>
      <c r="I3" s="56"/>
    </row>
    <row r="4" spans="1:9" x14ac:dyDescent="0.3">
      <c r="A4" s="55" t="s">
        <v>62</v>
      </c>
      <c r="B4" s="55"/>
      <c r="C4" s="55" t="s">
        <v>178</v>
      </c>
      <c r="D4" s="55"/>
      <c r="E4" s="55"/>
    </row>
    <row r="5" spans="1:9" x14ac:dyDescent="0.3">
      <c r="A5" s="55" t="s">
        <v>65</v>
      </c>
      <c r="B5" s="55"/>
      <c r="C5" s="55" t="s">
        <v>179</v>
      </c>
      <c r="D5" s="55"/>
      <c r="E5" s="55"/>
    </row>
    <row r="6" spans="1:9" ht="17.25" thickBot="1" x14ac:dyDescent="0.35"/>
    <row r="7" spans="1:9" x14ac:dyDescent="0.3">
      <c r="A7" s="27" t="s">
        <v>60</v>
      </c>
      <c r="B7" s="52" t="s">
        <v>149</v>
      </c>
      <c r="C7" s="53"/>
      <c r="D7" s="40" t="s">
        <v>150</v>
      </c>
      <c r="E7" s="51" t="s">
        <v>63</v>
      </c>
      <c r="F7" s="51"/>
      <c r="G7" s="40" t="s">
        <v>148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49" t="s">
        <v>181</v>
      </c>
      <c r="C8" s="50"/>
      <c r="D8" s="19" t="s">
        <v>182</v>
      </c>
      <c r="E8" s="49" t="str">
        <f>IFERROR(VLOOKUP(B8,tbl고객정보[],3,0),"")</f>
        <v>대통 택배</v>
      </c>
      <c r="F8" s="50"/>
      <c r="G8" s="41" t="s">
        <v>183</v>
      </c>
      <c r="H8" s="19"/>
      <c r="I8" s="18"/>
    </row>
    <row r="9" spans="1:9" s="1" customFormat="1" ht="16.5" customHeight="1" x14ac:dyDescent="0.3">
      <c r="A9" s="17">
        <v>2</v>
      </c>
      <c r="B9" s="49" t="s">
        <v>184</v>
      </c>
      <c r="C9" s="50"/>
      <c r="D9" s="19" t="s">
        <v>185</v>
      </c>
      <c r="E9" s="49" t="str">
        <f>IFERROR(VLOOKUP(B9,tbl고객정보[],3,0),"")</f>
        <v>이지원 네트워크</v>
      </c>
      <c r="F9" s="50"/>
      <c r="G9" s="43" t="s">
        <v>183</v>
      </c>
      <c r="H9" s="19"/>
      <c r="I9" s="18"/>
    </row>
    <row r="10" spans="1:9" s="1" customFormat="1" ht="16.5" customHeight="1" x14ac:dyDescent="0.3">
      <c r="A10" s="17">
        <v>3</v>
      </c>
      <c r="B10" s="49" t="s">
        <v>186</v>
      </c>
      <c r="C10" s="50"/>
      <c r="D10" s="19" t="s">
        <v>187</v>
      </c>
      <c r="E10" s="49" t="str">
        <f>IFERROR(VLOOKUP(B10,tbl고객정보[],3,0),"")</f>
        <v>케이윌 시스템</v>
      </c>
      <c r="F10" s="50"/>
      <c r="G10" s="43" t="s">
        <v>188</v>
      </c>
      <c r="H10" s="19"/>
      <c r="I10" s="18"/>
    </row>
    <row r="11" spans="1:9" s="1" customFormat="1" ht="16.5" customHeight="1" x14ac:dyDescent="0.3">
      <c r="A11" s="17">
        <v>4</v>
      </c>
      <c r="B11" s="49" t="s">
        <v>189</v>
      </c>
      <c r="C11" s="50"/>
      <c r="D11" s="19" t="s">
        <v>162</v>
      </c>
      <c r="E11" s="49" t="str">
        <f>IFERROR(VLOOKUP(B11,tbl고객정보[],3,0),"")</f>
        <v>유진무역</v>
      </c>
      <c r="F11" s="50"/>
      <c r="G11" s="43" t="s">
        <v>190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  <mergeCell ref="E8:F8"/>
    <mergeCell ref="E9:F9"/>
    <mergeCell ref="E10:F10"/>
    <mergeCell ref="E11:F11"/>
    <mergeCell ref="B8:C8"/>
    <mergeCell ref="B9:C9"/>
    <mergeCell ref="B10:C10"/>
    <mergeCell ref="B11:C11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2014-12-02T09:34:41Z</dcterms:modified>
  <cp:category>엑셀 매크로</cp:category>
</cp:coreProperties>
</file>