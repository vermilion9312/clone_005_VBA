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출판사_길벗\길벗_엑셀VBA2013\정오표\부록CD_정오표_20141117\"/>
    </mc:Choice>
  </mc:AlternateContent>
  <bookViews>
    <workbookView xWindow="0" yWindow="0" windowWidth="25200" windowHeight="10890" tabRatio="867"/>
  </bookViews>
  <sheets>
    <sheet name="Main" sheetId="1" r:id="rId1"/>
    <sheet name="@작업시트" sheetId="10" r:id="rId2"/>
    <sheet name="고객목록" sheetId="3" r:id="rId3"/>
    <sheet name="강좌목록" sheetId="4" r:id="rId4"/>
    <sheet name="예약현황" sheetId="5" r:id="rId5"/>
    <sheet name="출력-강좌별" sheetId="9" r:id="rId6"/>
  </sheets>
  <definedNames>
    <definedName name="_xlnm._FilterDatabase" localSheetId="3" hidden="1">강좌목록!$A$3:$H$15</definedName>
    <definedName name="_xlnm._FilterDatabase" localSheetId="2" hidden="1">고객목록!$A$3:$E$22</definedName>
    <definedName name="_xlnm._FilterDatabase" localSheetId="4" hidden="1">예약현황!$A$3:$G$54</definedName>
    <definedName name="_xlnm.Criteria" localSheetId="1">'@작업시트'!$C$5:$C$6</definedName>
    <definedName name="_xlnm.Extract" localSheetId="1">'@작업시트'!$E$5:$I$5</definedName>
    <definedName name="nmMax코드">'@작업시트'!$A$6</definedName>
    <definedName name="nm강좌_조건">'@작업시트'!$K$5:$M$6</definedName>
    <definedName name="nm강좌_출력">'@작업시트'!$O$5:$V$5</definedName>
    <definedName name="nm고객_조건">'@작업시트'!$C$5:$C$6</definedName>
    <definedName name="nm고객_출력">'@작업시트'!$E$5:$I$5</definedName>
    <definedName name="nm예약_조건">'@작업시트'!$X$5:$X$6</definedName>
    <definedName name="nm예약_출력">'@작업시트'!$Z$5:$AD$5</definedName>
    <definedName name="_xlnm.Print_Area" localSheetId="5">'출력-강좌별'!$A$1:$I$12</definedName>
    <definedName name="_xlnm.Print_Titles" localSheetId="5">'출력-강좌별'!$1:$7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0" l="1" a="1"/>
  <c r="A6" i="10" s="1"/>
  <c r="E11" i="9" l="1"/>
  <c r="E10" i="9"/>
  <c r="E9" i="9"/>
  <c r="A54" i="5" l="1"/>
  <c r="D54" i="5"/>
  <c r="A53" i="5"/>
  <c r="D53" i="5"/>
  <c r="A52" i="5"/>
  <c r="D52" i="5"/>
  <c r="A51" i="5"/>
  <c r="D51" i="5"/>
  <c r="A50" i="5"/>
  <c r="D50" i="5"/>
  <c r="A49" i="5"/>
  <c r="D49" i="5"/>
  <c r="A48" i="5"/>
  <c r="D48" i="5"/>
  <c r="A47" i="5"/>
  <c r="D47" i="5"/>
  <c r="A46" i="5"/>
  <c r="D46" i="5"/>
  <c r="A45" i="5"/>
  <c r="D45" i="5"/>
  <c r="A44" i="5"/>
  <c r="D44" i="5"/>
  <c r="A43" i="5"/>
  <c r="D43" i="5"/>
  <c r="A42" i="5"/>
  <c r="D42" i="5"/>
  <c r="A41" i="5"/>
  <c r="D41" i="5"/>
  <c r="A40" i="5"/>
  <c r="D40" i="5"/>
  <c r="A39" i="5"/>
  <c r="D39" i="5"/>
  <c r="A38" i="5"/>
  <c r="D38" i="5"/>
  <c r="A37" i="5"/>
  <c r="D37" i="5"/>
  <c r="A36" i="5"/>
  <c r="D36" i="5"/>
  <c r="A35" i="5"/>
  <c r="D35" i="5"/>
  <c r="A34" i="5"/>
  <c r="D34" i="5"/>
  <c r="A33" i="5"/>
  <c r="D33" i="5"/>
  <c r="A32" i="5"/>
  <c r="D32" i="5"/>
  <c r="A31" i="5"/>
  <c r="D31" i="5"/>
  <c r="A30" i="5"/>
  <c r="D30" i="5"/>
  <c r="A29" i="5" l="1"/>
  <c r="D29" i="5"/>
  <c r="A28" i="5"/>
  <c r="D28" i="5"/>
  <c r="A27" i="5"/>
  <c r="D27" i="5"/>
  <c r="A26" i="5"/>
  <c r="D26" i="5"/>
  <c r="A25" i="5"/>
  <c r="D25" i="5"/>
  <c r="A24" i="5"/>
  <c r="D24" i="5"/>
  <c r="A23" i="5"/>
  <c r="D23" i="5"/>
  <c r="A22" i="5"/>
  <c r="D22" i="5"/>
  <c r="A21" i="5" l="1"/>
  <c r="D21" i="5"/>
  <c r="A20" i="5"/>
  <c r="D20" i="5"/>
  <c r="A19" i="5"/>
  <c r="D19" i="5"/>
  <c r="A18" i="5"/>
  <c r="D18" i="5"/>
  <c r="A17" i="5"/>
  <c r="D17" i="5"/>
  <c r="A16" i="5"/>
  <c r="D16" i="5"/>
  <c r="A15" i="5"/>
  <c r="D15" i="5"/>
  <c r="A14" i="5"/>
  <c r="D14" i="5"/>
  <c r="A13" i="5"/>
  <c r="D13" i="5"/>
  <c r="A12" i="5"/>
  <c r="D12" i="5"/>
  <c r="A11" i="5"/>
  <c r="D11" i="5"/>
  <c r="A10" i="5"/>
  <c r="D10" i="5"/>
  <c r="A9" i="5"/>
  <c r="D9" i="5"/>
  <c r="A8" i="5"/>
  <c r="D8" i="5"/>
  <c r="A7" i="5"/>
  <c r="D7" i="5"/>
  <c r="A6" i="5"/>
  <c r="D6" i="5"/>
  <c r="A5" i="5"/>
  <c r="D5" i="5"/>
  <c r="H5" i="4"/>
  <c r="H6" i="4"/>
  <c r="H7" i="4"/>
  <c r="H8" i="4"/>
  <c r="H9" i="4"/>
  <c r="H10" i="4"/>
  <c r="H11" i="4"/>
  <c r="H12" i="4"/>
  <c r="H13" i="4"/>
  <c r="H14" i="4"/>
  <c r="H15" i="4"/>
  <c r="H4" i="4"/>
  <c r="E8" i="9" l="1"/>
  <c r="A4" i="5"/>
  <c r="D4" i="5"/>
</calcChain>
</file>

<file path=xl/comments1.xml><?xml version="1.0" encoding="utf-8"?>
<comments xmlns="http://schemas.openxmlformats.org/spreadsheetml/2006/main">
  <authors>
    <author>DSLee</author>
  </authors>
  <commentList>
    <comment ref="A6" authorId="0" shapeId="0">
      <text>
        <r>
          <rPr>
            <b/>
            <sz val="9"/>
            <color indexed="81"/>
            <rFont val="Tahoma"/>
            <family val="2"/>
          </rPr>
          <t>DSLee: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하기때문에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만드시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10"/>
            <color indexed="10"/>
            <rFont val="Tahoma"/>
            <family val="2"/>
          </rPr>
          <t xml:space="preserve">Ctrl+Shift+Enter </t>
        </r>
        <r>
          <rPr>
            <sz val="9"/>
            <color indexed="81"/>
            <rFont val="돋움"/>
            <family val="3"/>
            <charset val="129"/>
          </rPr>
          <t>키로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<sst xmlns="http://schemas.openxmlformats.org/spreadsheetml/2006/main" count="507" uniqueCount="194">
  <si>
    <t>성명</t>
    <phoneticPr fontId="3" type="noConversion"/>
  </si>
  <si>
    <t>연락처</t>
    <phoneticPr fontId="3" type="noConversion"/>
  </si>
  <si>
    <t>주소</t>
    <phoneticPr fontId="3" type="noConversion"/>
  </si>
  <si>
    <t>S04001</t>
    <phoneticPr fontId="3" type="noConversion"/>
  </si>
  <si>
    <t>차수경</t>
    <phoneticPr fontId="3" type="noConversion"/>
  </si>
  <si>
    <t>051-223-1234</t>
    <phoneticPr fontId="3" type="noConversion"/>
  </si>
  <si>
    <t>S04002</t>
    <phoneticPr fontId="3" type="noConversion"/>
  </si>
  <si>
    <t>김수동</t>
    <phoneticPr fontId="3" type="noConversion"/>
  </si>
  <si>
    <t>010-123-1234</t>
    <phoneticPr fontId="3" type="noConversion"/>
  </si>
  <si>
    <t>S04003</t>
    <phoneticPr fontId="3" type="noConversion"/>
  </si>
  <si>
    <t>서민우</t>
    <phoneticPr fontId="3" type="noConversion"/>
  </si>
  <si>
    <t>대통 택배</t>
    <phoneticPr fontId="3" type="noConversion"/>
  </si>
  <si>
    <t>02-214-7627</t>
    <phoneticPr fontId="3" type="noConversion"/>
  </si>
  <si>
    <t>S04004</t>
    <phoneticPr fontId="3" type="noConversion"/>
  </si>
  <si>
    <t>노찬종</t>
    <phoneticPr fontId="3" type="noConversion"/>
  </si>
  <si>
    <t>02-508-8029</t>
    <phoneticPr fontId="3" type="noConversion"/>
  </si>
  <si>
    <t>S04005</t>
    <phoneticPr fontId="3" type="noConversion"/>
  </si>
  <si>
    <t>박대협</t>
    <phoneticPr fontId="3" type="noConversion"/>
  </si>
  <si>
    <t>02-321-5949</t>
    <phoneticPr fontId="3" type="noConversion"/>
  </si>
  <si>
    <t>길벗출판사</t>
    <phoneticPr fontId="3" type="noConversion"/>
  </si>
  <si>
    <t>S04010</t>
    <phoneticPr fontId="3" type="noConversion"/>
  </si>
  <si>
    <t>김혜련</t>
    <phoneticPr fontId="3" type="noConversion"/>
  </si>
  <si>
    <t>02-227-4581</t>
    <phoneticPr fontId="3" type="noConversion"/>
  </si>
  <si>
    <t>S04011</t>
    <phoneticPr fontId="3" type="noConversion"/>
  </si>
  <si>
    <t>안국성</t>
    <phoneticPr fontId="3" type="noConversion"/>
  </si>
  <si>
    <t>02-540-6425</t>
    <phoneticPr fontId="3" type="noConversion"/>
  </si>
  <si>
    <t>S04012</t>
  </si>
  <si>
    <t>장수연</t>
    <phoneticPr fontId="3" type="noConversion"/>
  </si>
  <si>
    <t>02-132-4628</t>
    <phoneticPr fontId="3" type="noConversion"/>
  </si>
  <si>
    <t>S04013</t>
  </si>
  <si>
    <t>최승호</t>
    <phoneticPr fontId="3" type="noConversion"/>
  </si>
  <si>
    <t>02-214-3454</t>
    <phoneticPr fontId="3" type="noConversion"/>
  </si>
  <si>
    <t>S04014</t>
  </si>
  <si>
    <t>이상인</t>
    <phoneticPr fontId="3" type="noConversion"/>
  </si>
  <si>
    <t>02-123-4567</t>
    <phoneticPr fontId="3" type="noConversion"/>
  </si>
  <si>
    <t>S04015</t>
  </si>
  <si>
    <t>박상원</t>
    <phoneticPr fontId="3" type="noConversion"/>
  </si>
  <si>
    <t>02-913-2914</t>
    <phoneticPr fontId="3" type="noConversion"/>
  </si>
  <si>
    <t>S04016</t>
  </si>
  <si>
    <t>고희동</t>
    <phoneticPr fontId="3" type="noConversion"/>
  </si>
  <si>
    <t>02-214-0414</t>
    <phoneticPr fontId="3" type="noConversion"/>
  </si>
  <si>
    <t>S04017</t>
  </si>
  <si>
    <t>정유진</t>
    <phoneticPr fontId="1" type="noConversion"/>
  </si>
  <si>
    <t>02-333-1234</t>
    <phoneticPr fontId="1" type="noConversion"/>
  </si>
  <si>
    <t>S04018</t>
  </si>
  <si>
    <t>홍길동</t>
    <phoneticPr fontId="3" type="noConversion"/>
  </si>
  <si>
    <t>010-123-4567</t>
    <phoneticPr fontId="3" type="noConversion"/>
  </si>
  <si>
    <t>S04019</t>
  </si>
  <si>
    <t>김미려</t>
    <phoneticPr fontId="3" type="noConversion"/>
  </si>
  <si>
    <t>011-123-1234</t>
    <phoneticPr fontId="3" type="noConversion"/>
  </si>
  <si>
    <t>S04020</t>
  </si>
  <si>
    <t>여홍신</t>
    <phoneticPr fontId="3" type="noConversion"/>
  </si>
  <si>
    <t>유진무역</t>
    <phoneticPr fontId="3" type="noConversion"/>
  </si>
  <si>
    <t>016-456-4567</t>
    <phoneticPr fontId="3" type="noConversion"/>
  </si>
  <si>
    <t>강좌명</t>
    <phoneticPr fontId="3" type="noConversion"/>
  </si>
  <si>
    <t>접수인원</t>
    <phoneticPr fontId="3" type="noConversion"/>
  </si>
  <si>
    <t>▣ 강   사 :</t>
    <phoneticPr fontId="3" type="noConversion"/>
  </si>
  <si>
    <t>고객 정보 상세</t>
    <phoneticPr fontId="1" type="noConversion"/>
  </si>
  <si>
    <t>참석자 예약 명단</t>
    <phoneticPr fontId="1" type="noConversion"/>
  </si>
  <si>
    <t>개설 강좌 목록</t>
    <phoneticPr fontId="1" type="noConversion"/>
  </si>
  <si>
    <t>번호</t>
    <phoneticPr fontId="1" type="noConversion"/>
  </si>
  <si>
    <t>▣ 강좌명 :</t>
    <phoneticPr fontId="3" type="noConversion"/>
  </si>
  <si>
    <t>▣ 일   시 :</t>
    <phoneticPr fontId="3" type="noConversion"/>
  </si>
  <si>
    <t>소속</t>
    <phoneticPr fontId="1" type="noConversion"/>
  </si>
  <si>
    <t>비고</t>
    <phoneticPr fontId="1" type="noConversion"/>
  </si>
  <si>
    <t>▣ 장   소 :</t>
    <phoneticPr fontId="3" type="noConversion"/>
  </si>
  <si>
    <t>참석 확인</t>
    <phoneticPr fontId="1" type="noConversion"/>
  </si>
  <si>
    <t>소속</t>
    <phoneticPr fontId="3" type="noConversion"/>
  </si>
  <si>
    <t>강좌코드</t>
    <phoneticPr fontId="3" type="noConversion"/>
  </si>
  <si>
    <t>고객코드</t>
    <phoneticPr fontId="3" type="noConversion"/>
  </si>
  <si>
    <t>장소</t>
    <phoneticPr fontId="3" type="noConversion"/>
  </si>
  <si>
    <t>수용인원</t>
    <phoneticPr fontId="3" type="noConversion"/>
  </si>
  <si>
    <t>교육문화회관</t>
    <phoneticPr fontId="1" type="noConversion"/>
  </si>
  <si>
    <t>세종홀</t>
    <phoneticPr fontId="1" type="noConversion"/>
  </si>
  <si>
    <t>새천년 콘서트홀</t>
    <phoneticPr fontId="1" type="noConversion"/>
  </si>
  <si>
    <t>잠실 이벤트홀</t>
    <phoneticPr fontId="1" type="noConversion"/>
  </si>
  <si>
    <t>L00001</t>
    <phoneticPr fontId="1" type="noConversion"/>
  </si>
  <si>
    <t>L00002</t>
  </si>
  <si>
    <t>L00003</t>
  </si>
  <si>
    <t>L00004</t>
  </si>
  <si>
    <t>L00005</t>
  </si>
  <si>
    <t>L00006</t>
  </si>
  <si>
    <t>L00007</t>
  </si>
  <si>
    <t>L00008</t>
  </si>
  <si>
    <t>L00009</t>
  </si>
  <si>
    <t>L00010</t>
  </si>
  <si>
    <t>L00011</t>
  </si>
  <si>
    <t>L00012</t>
  </si>
  <si>
    <t>강좌 예약 현황</t>
    <phoneticPr fontId="1" type="noConversion"/>
  </si>
  <si>
    <t>예약일</t>
    <phoneticPr fontId="3" type="noConversion"/>
  </si>
  <si>
    <t>참석여부</t>
    <phoneticPr fontId="3" type="noConversion"/>
  </si>
  <si>
    <t>비고</t>
    <phoneticPr fontId="3" type="noConversion"/>
  </si>
  <si>
    <t>일시</t>
    <phoneticPr fontId="3" type="noConversion"/>
  </si>
  <si>
    <t>14:00~16:00</t>
    <phoneticPr fontId="1" type="noConversion"/>
  </si>
  <si>
    <t>10:00~12:00</t>
    <phoneticPr fontId="1" type="noConversion"/>
  </si>
  <si>
    <t>인문의 시대, 르네상스</t>
    <phoneticPr fontId="3" type="noConversion"/>
  </si>
  <si>
    <t>최인문 교수</t>
    <phoneticPr fontId="3" type="noConversion"/>
  </si>
  <si>
    <t>강사</t>
    <phoneticPr fontId="3" type="noConversion"/>
  </si>
  <si>
    <t>현대 철학자, 노자</t>
    <phoneticPr fontId="3" type="noConversion"/>
  </si>
  <si>
    <t>김새롬 교수</t>
    <phoneticPr fontId="3" type="noConversion"/>
  </si>
  <si>
    <t>장수의 비밀</t>
    <phoneticPr fontId="3" type="noConversion"/>
  </si>
  <si>
    <t>행복한 가족만들기</t>
    <phoneticPr fontId="3" type="noConversion"/>
  </si>
  <si>
    <t>좋은 아빠되기</t>
    <phoneticPr fontId="3" type="noConversion"/>
  </si>
  <si>
    <t>좋은 엄마되기</t>
    <phoneticPr fontId="3" type="noConversion"/>
  </si>
  <si>
    <t>김숙자 교수</t>
    <phoneticPr fontId="3" type="noConversion"/>
  </si>
  <si>
    <t>최현문 교수</t>
    <phoneticPr fontId="3" type="noConversion"/>
  </si>
  <si>
    <t>이치동 원장</t>
    <phoneticPr fontId="3" type="noConversion"/>
  </si>
  <si>
    <t>박문수 원장</t>
    <phoneticPr fontId="3" type="noConversion"/>
  </si>
  <si>
    <t>17:00~19:00</t>
    <phoneticPr fontId="1" type="noConversion"/>
  </si>
  <si>
    <t>13:00~17:00</t>
    <phoneticPr fontId="1" type="noConversion"/>
  </si>
  <si>
    <t>숭암 문화회관</t>
    <phoneticPr fontId="1" type="noConversion"/>
  </si>
  <si>
    <t>18:00~20:00</t>
    <phoneticPr fontId="1" type="noConversion"/>
  </si>
  <si>
    <t>명인 기념관</t>
    <phoneticPr fontId="1" type="noConversion"/>
  </si>
  <si>
    <t>현대 미술의 이해</t>
    <phoneticPr fontId="3" type="noConversion"/>
  </si>
  <si>
    <t>사진의 미학</t>
    <phoneticPr fontId="3" type="noConversion"/>
  </si>
  <si>
    <t>김재훈 기자</t>
    <phoneticPr fontId="3" type="noConversion"/>
  </si>
  <si>
    <t>박숙자 연구원</t>
    <phoneticPr fontId="3" type="noConversion"/>
  </si>
  <si>
    <t>차수영 원장</t>
    <phoneticPr fontId="3" type="noConversion"/>
  </si>
  <si>
    <t>행복한 노래교실</t>
    <phoneticPr fontId="3" type="noConversion"/>
  </si>
  <si>
    <t>미술 심리 이해</t>
    <phoneticPr fontId="3" type="noConversion"/>
  </si>
  <si>
    <t>김정아 박사</t>
    <phoneticPr fontId="3" type="noConversion"/>
  </si>
  <si>
    <t>사물 인터넷 시대</t>
    <phoneticPr fontId="3" type="noConversion"/>
  </si>
  <si>
    <t>이민영 박사</t>
    <phoneticPr fontId="3" type="noConversion"/>
  </si>
  <si>
    <t>박미자 교수</t>
    <phoneticPr fontId="3" type="noConversion"/>
  </si>
  <si>
    <t>글로벌 게임 시장 동향</t>
    <phoneticPr fontId="3" type="noConversion"/>
  </si>
  <si>
    <t>제일 큰 번호</t>
    <phoneticPr fontId="3" type="noConversion"/>
  </si>
  <si>
    <t>S04009</t>
    <phoneticPr fontId="3" type="noConversion"/>
  </si>
  <si>
    <t>이상민</t>
    <phoneticPr fontId="3" type="noConversion"/>
  </si>
  <si>
    <t>02-555-5555</t>
    <phoneticPr fontId="3" type="noConversion"/>
  </si>
  <si>
    <t>S04007</t>
    <phoneticPr fontId="3" type="noConversion"/>
  </si>
  <si>
    <t>장인영</t>
    <phoneticPr fontId="3" type="noConversion"/>
  </si>
  <si>
    <t>02-333-3333</t>
    <phoneticPr fontId="3" type="noConversion"/>
  </si>
  <si>
    <t>S04006</t>
    <phoneticPr fontId="3" type="noConversion"/>
  </si>
  <si>
    <t>문현호</t>
    <phoneticPr fontId="3" type="noConversion"/>
  </si>
  <si>
    <t>길벗출판사</t>
    <phoneticPr fontId="3" type="noConversion"/>
  </si>
  <si>
    <t>02-1123-1234</t>
    <phoneticPr fontId="3" type="noConversion"/>
  </si>
  <si>
    <t xml:space="preserve">부산시 수영구 </t>
    <phoneticPr fontId="3" type="noConversion"/>
  </si>
  <si>
    <t>케이윌 시스템</t>
    <phoneticPr fontId="3" type="noConversion"/>
  </si>
  <si>
    <t>시호 시스템</t>
    <phoneticPr fontId="3" type="noConversion"/>
  </si>
  <si>
    <t>서울시 마포구 합정동</t>
    <phoneticPr fontId="3" type="noConversion"/>
  </si>
  <si>
    <t>서울시 종로구 연지동</t>
    <phoneticPr fontId="3" type="noConversion"/>
  </si>
  <si>
    <t>경기도 분당시 은나래마을</t>
    <phoneticPr fontId="1" type="noConversion"/>
  </si>
  <si>
    <t>이지원 네트워크</t>
    <phoneticPr fontId="3" type="noConversion"/>
  </si>
  <si>
    <t>경기도 용인시 마북리</t>
    <phoneticPr fontId="3" type="noConversion"/>
  </si>
  <si>
    <t>서울시 종로구 홍은동</t>
    <phoneticPr fontId="3" type="noConversion"/>
  </si>
  <si>
    <t>**</t>
    <phoneticPr fontId="3" type="noConversion"/>
  </si>
  <si>
    <t>일자</t>
    <phoneticPr fontId="3" type="noConversion"/>
  </si>
  <si>
    <t>고객명</t>
    <phoneticPr fontId="1" type="noConversion"/>
  </si>
  <si>
    <t>Key</t>
    <phoneticPr fontId="1" type="noConversion"/>
  </si>
  <si>
    <t>예약일</t>
    <phoneticPr fontId="1" type="noConversion"/>
  </si>
  <si>
    <t>고객코드</t>
    <phoneticPr fontId="1" type="noConversion"/>
  </si>
  <si>
    <t>성명</t>
    <phoneticPr fontId="1" type="noConversion"/>
  </si>
  <si>
    <t>L00001</t>
  </si>
  <si>
    <t>S04021</t>
  </si>
  <si>
    <t>&lt;-// 이 행은 수식유지를 위해 삭제하지 않고 그대로 유지해야 함</t>
    <phoneticPr fontId="1" type="noConversion"/>
  </si>
  <si>
    <t>양식행</t>
    <phoneticPr fontId="1" type="noConversion"/>
  </si>
  <si>
    <t>S04002</t>
  </si>
  <si>
    <t>S04007</t>
  </si>
  <si>
    <t>S04009</t>
  </si>
  <si>
    <t>S04011</t>
  </si>
  <si>
    <t>S04001</t>
  </si>
  <si>
    <t>S04003</t>
  </si>
  <si>
    <t>S04006</t>
  </si>
  <si>
    <t>여홍신</t>
    <phoneticPr fontId="1" type="noConversion"/>
  </si>
  <si>
    <t>S04010</t>
  </si>
  <si>
    <t>※ 작업 시트의  내용은 사용자  정의 화면의 목록 상자 출력과 연결되기때문에 임의로 수정하지 않도록 하세요.</t>
    <phoneticPr fontId="3" type="noConversion"/>
  </si>
  <si>
    <t>【고객코드】</t>
    <phoneticPr fontId="3" type="noConversion"/>
  </si>
  <si>
    <t>【고객조건】</t>
    <phoneticPr fontId="3" type="noConversion"/>
  </si>
  <si>
    <t>【고객조건에 맞는 자료 출력】</t>
    <phoneticPr fontId="3" type="noConversion"/>
  </si>
  <si>
    <t>【강좌조건】</t>
    <phoneticPr fontId="3" type="noConversion"/>
  </si>
  <si>
    <t>【강좌조건에 맞는 자료 출력】</t>
    <phoneticPr fontId="3" type="noConversion"/>
  </si>
  <si>
    <t>【예약조건】</t>
    <phoneticPr fontId="3" type="noConversion"/>
  </si>
  <si>
    <t>【예약조건에 맞는 자료 출력】</t>
    <phoneticPr fontId="3" type="noConversion"/>
  </si>
  <si>
    <t>김수동</t>
  </si>
  <si>
    <t>L00003</t>
    <phoneticPr fontId="3" type="noConversion"/>
  </si>
  <si>
    <t>장수연</t>
  </si>
  <si>
    <t>고희동</t>
  </si>
  <si>
    <t>여홍신</t>
  </si>
  <si>
    <t>장수의 비밀 (L00003)</t>
    <phoneticPr fontId="1" type="noConversion"/>
  </si>
  <si>
    <t>14-11-05(수)</t>
    <phoneticPr fontId="1" type="noConversion"/>
  </si>
  <si>
    <t>새천년 콘서트홀</t>
    <phoneticPr fontId="1" type="noConversion"/>
  </si>
  <si>
    <t>박문수 원장</t>
    <phoneticPr fontId="1" type="noConversion"/>
  </si>
  <si>
    <t>S04002</t>
    <phoneticPr fontId="1" type="noConversion"/>
  </si>
  <si>
    <t>김수동</t>
    <phoneticPr fontId="1" type="noConversion"/>
  </si>
  <si>
    <t>14-02-05(수)</t>
    <phoneticPr fontId="1" type="noConversion"/>
  </si>
  <si>
    <t>S04012</t>
    <phoneticPr fontId="1" type="noConversion"/>
  </si>
  <si>
    <t>장수연</t>
    <phoneticPr fontId="1" type="noConversion"/>
  </si>
  <si>
    <t>S04016</t>
    <phoneticPr fontId="1" type="noConversion"/>
  </si>
  <si>
    <t>고희동</t>
    <phoneticPr fontId="1" type="noConversion"/>
  </si>
  <si>
    <t>14-12-05(금)</t>
    <phoneticPr fontId="1" type="noConversion"/>
  </si>
  <si>
    <t>S04020</t>
    <phoneticPr fontId="1" type="noConversion"/>
  </si>
  <si>
    <t>14-08-15(금)</t>
    <phoneticPr fontId="1" type="noConversion"/>
  </si>
  <si>
    <t>**</t>
    <phoneticPr fontId="1" type="noConversion"/>
  </si>
  <si>
    <t>Ver. 20141117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</si>
</sst>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yy/mm/dd\(aaa\)"/>
    <numFmt numFmtId="177" formatCode="m\/d\(aaa\)"/>
  </numFmts>
  <fonts count="2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sz val="8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b/>
      <sz val="14"/>
      <color theme="3"/>
      <name val="맑은 고딕"/>
      <family val="2"/>
      <charset val="129"/>
      <scheme val="major"/>
    </font>
    <font>
      <b/>
      <sz val="10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1"/>
      <color rgb="FFFF0000"/>
      <name val="맑은 고딕"/>
      <family val="2"/>
      <charset val="129"/>
      <scheme val="minor"/>
    </font>
    <font>
      <b/>
      <sz val="20"/>
      <color theme="1"/>
      <name val="맑은 고딕"/>
      <family val="2"/>
      <charset val="129"/>
      <scheme val="major"/>
    </font>
    <font>
      <sz val="10"/>
      <name val="굴림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2"/>
      <color theme="3"/>
      <name val="맑은 고딕"/>
      <family val="2"/>
      <charset val="129"/>
      <scheme val="major"/>
    </font>
    <font>
      <b/>
      <sz val="12"/>
      <color theme="3"/>
      <name val="맑은 고딕"/>
      <family val="3"/>
      <charset val="129"/>
      <scheme val="major"/>
    </font>
    <font>
      <sz val="10"/>
      <color theme="1"/>
      <name val="맑은 고딕"/>
      <family val="2"/>
      <charset val="129"/>
      <scheme val="minor"/>
    </font>
    <font>
      <b/>
      <sz val="10"/>
      <color theme="0"/>
      <name val="맑은 고딕"/>
      <family val="2"/>
      <charset val="129"/>
      <scheme val="minor"/>
    </font>
    <font>
      <b/>
      <sz val="1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10"/>
      <color indexed="10"/>
      <name val="Tahoma"/>
      <family val="2"/>
    </font>
    <font>
      <sz val="10"/>
      <color theme="1"/>
      <name val="맑은 고딕"/>
      <family val="3"/>
      <charset val="129"/>
      <scheme val="minor"/>
    </font>
    <font>
      <sz val="10"/>
      <color rgb="FFFF0000"/>
      <name val="맑은 고딕"/>
      <family val="3"/>
      <charset val="129"/>
      <scheme val="minor"/>
    </font>
    <font>
      <sz val="10"/>
      <color rgb="FFC00000"/>
      <name val="맑은 고딕"/>
      <family val="2"/>
      <charset val="129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</fills>
  <borders count="28">
    <border>
      <left/>
      <right/>
      <top/>
      <bottom/>
      <diagonal/>
    </border>
    <border>
      <left style="thick">
        <color theme="9" tint="-0.499984740745262"/>
      </left>
      <right/>
      <top style="thick">
        <color theme="9" tint="-0.499984740745262"/>
      </top>
      <bottom/>
      <diagonal/>
    </border>
    <border>
      <left/>
      <right/>
      <top style="thick">
        <color theme="9" tint="-0.499984740745262"/>
      </top>
      <bottom/>
      <diagonal/>
    </border>
    <border>
      <left/>
      <right style="thick">
        <color theme="9" tint="-0.499984740745262"/>
      </right>
      <top style="thick">
        <color theme="9" tint="-0.499984740745262"/>
      </top>
      <bottom/>
      <diagonal/>
    </border>
    <border>
      <left style="thick">
        <color theme="9" tint="-0.499984740745262"/>
      </left>
      <right/>
      <top/>
      <bottom/>
      <diagonal/>
    </border>
    <border>
      <left/>
      <right style="thick">
        <color theme="9" tint="-0.499984740745262"/>
      </right>
      <top/>
      <bottom/>
      <diagonal/>
    </border>
    <border>
      <left style="thick">
        <color theme="9" tint="-0.499984740745262"/>
      </left>
      <right/>
      <top/>
      <bottom style="thick">
        <color theme="9" tint="-0.499984740745262"/>
      </bottom>
      <diagonal/>
    </border>
    <border>
      <left/>
      <right/>
      <top/>
      <bottom style="thick">
        <color theme="9" tint="-0.499984740745262"/>
      </bottom>
      <diagonal/>
    </border>
    <border>
      <left/>
      <right style="thick">
        <color theme="9" tint="-0.499984740745262"/>
      </right>
      <top/>
      <bottom style="thick">
        <color theme="9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5" tint="0.39997558519241921"/>
      </left>
      <right/>
      <top style="thin">
        <color theme="5" tint="0.39997558519241921"/>
      </top>
      <bottom style="thin">
        <color theme="5" tint="0.39997558519241921"/>
      </bottom>
      <diagonal/>
    </border>
    <border>
      <left/>
      <right/>
      <top style="thin">
        <color theme="5" tint="0.39997558519241921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9" fillId="3" borderId="0" xfId="0" applyFont="1" applyFill="1" applyBorder="1">
      <alignment vertical="center"/>
    </xf>
    <xf numFmtId="0" fontId="0" fillId="3" borderId="0" xfId="0" applyFill="1" applyBorder="1">
      <alignment vertical="center"/>
    </xf>
    <xf numFmtId="0" fontId="0" fillId="3" borderId="1" xfId="0" applyFill="1" applyBorder="1">
      <alignment vertical="center"/>
    </xf>
    <xf numFmtId="0" fontId="0" fillId="3" borderId="2" xfId="0" applyFill="1" applyBorder="1">
      <alignment vertical="center"/>
    </xf>
    <xf numFmtId="0" fontId="0" fillId="3" borderId="3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6" xfId="0" applyFill="1" applyBorder="1">
      <alignment vertical="center"/>
    </xf>
    <xf numFmtId="0" fontId="0" fillId="3" borderId="7" xfId="0" applyFill="1" applyBorder="1">
      <alignment vertical="center"/>
    </xf>
    <xf numFmtId="0" fontId="0" fillId="3" borderId="8" xfId="0" applyFill="1" applyBorder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 wrapText="1"/>
    </xf>
    <xf numFmtId="0" fontId="15" fillId="0" borderId="0" xfId="0" applyFont="1">
      <alignment vertical="center"/>
    </xf>
    <xf numFmtId="0" fontId="16" fillId="4" borderId="17" xfId="0" applyFont="1" applyFill="1" applyBorder="1">
      <alignment vertical="center"/>
    </xf>
    <xf numFmtId="0" fontId="16" fillId="4" borderId="18" xfId="0" applyFont="1" applyFill="1" applyBorder="1">
      <alignment vertical="center"/>
    </xf>
    <xf numFmtId="0" fontId="16" fillId="4" borderId="19" xfId="0" applyFont="1" applyFill="1" applyBorder="1">
      <alignment vertical="center"/>
    </xf>
    <xf numFmtId="0" fontId="2" fillId="0" borderId="0" xfId="0" applyFont="1" applyFill="1" applyAlignment="1">
      <alignment horizontal="center" vertical="center"/>
    </xf>
    <xf numFmtId="176" fontId="2" fillId="0" borderId="0" xfId="0" applyNumberFormat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177" fontId="17" fillId="2" borderId="10" xfId="1" applyNumberFormat="1" applyFont="1" applyFill="1" applyBorder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12" xfId="0" applyFont="1" applyFill="1" applyBorder="1" applyAlignment="1">
      <alignment horizontal="center" vertical="center"/>
    </xf>
    <xf numFmtId="0" fontId="22" fillId="0" borderId="0" xfId="0" applyFont="1" applyFill="1">
      <alignment vertical="center"/>
    </xf>
    <xf numFmtId="0" fontId="6" fillId="5" borderId="20" xfId="0" applyFont="1" applyFill="1" applyBorder="1" applyAlignment="1">
      <alignment horizontal="center" vertical="center"/>
    </xf>
    <xf numFmtId="0" fontId="6" fillId="5" borderId="21" xfId="0" applyFont="1" applyFill="1" applyBorder="1" applyAlignment="1">
      <alignment horizontal="center" vertical="center"/>
    </xf>
    <xf numFmtId="0" fontId="6" fillId="5" borderId="22" xfId="0" applyFont="1" applyFill="1" applyBorder="1" applyAlignment="1">
      <alignment horizontal="center" vertical="center"/>
    </xf>
    <xf numFmtId="0" fontId="22" fillId="0" borderId="0" xfId="0" applyFont="1">
      <alignment vertical="center"/>
    </xf>
    <xf numFmtId="0" fontId="6" fillId="6" borderId="23" xfId="0" applyFont="1" applyFill="1" applyBorder="1" applyAlignment="1">
      <alignment horizontal="center" vertical="center"/>
    </xf>
    <xf numFmtId="0" fontId="6" fillId="6" borderId="24" xfId="0" applyFont="1" applyFill="1" applyBorder="1" applyAlignment="1">
      <alignment horizontal="center" vertical="center"/>
    </xf>
    <xf numFmtId="0" fontId="6" fillId="6" borderId="25" xfId="0" applyFont="1" applyFill="1" applyBorder="1" applyAlignment="1">
      <alignment horizontal="center" vertical="center"/>
    </xf>
    <xf numFmtId="176" fontId="6" fillId="0" borderId="0" xfId="0" applyNumberFormat="1" applyFont="1" applyFill="1" applyAlignment="1">
      <alignment horizontal="center" vertical="center"/>
    </xf>
    <xf numFmtId="14" fontId="6" fillId="0" borderId="0" xfId="0" applyNumberFormat="1" applyFont="1" applyFill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 wrapText="1"/>
    </xf>
    <xf numFmtId="0" fontId="23" fillId="0" borderId="0" xfId="0" applyFont="1">
      <alignment vertical="center"/>
    </xf>
    <xf numFmtId="0" fontId="0" fillId="0" borderId="16" xfId="0" applyBorder="1" applyAlignment="1">
      <alignment horizontal="center" vertical="center" wrapText="1"/>
    </xf>
    <xf numFmtId="0" fontId="2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2" borderId="11" xfId="0" applyFont="1" applyFill="1" applyBorder="1" applyAlignment="1">
      <alignment horizontal="center" vertical="center"/>
    </xf>
    <xf numFmtId="0" fontId="4" fillId="2" borderId="26" xfId="0" applyFont="1" applyFill="1" applyBorder="1" applyAlignment="1">
      <alignment horizontal="center" vertical="center"/>
    </xf>
    <xf numFmtId="0" fontId="4" fillId="2" borderId="27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177" fontId="6" fillId="0" borderId="0" xfId="1" applyNumberFormat="1" applyFont="1" applyFill="1" applyBorder="1" applyAlignment="1">
      <alignment vertical="center"/>
    </xf>
    <xf numFmtId="177" fontId="6" fillId="0" borderId="0" xfId="1" applyNumberFormat="1" applyFont="1" applyFill="1" applyBorder="1" applyAlignment="1">
      <alignment horizontal="left" vertical="center"/>
    </xf>
    <xf numFmtId="0" fontId="0" fillId="0" borderId="15" xfId="0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</cellXfs>
  <cellStyles count="2">
    <cellStyle name="표준" xfId="0" builtinId="0"/>
    <cellStyle name="표준 3" xfId="1"/>
  </cellStyles>
  <dxfs count="26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numFmt numFmtId="176" formatCode="yy/mm/dd\(aaa\)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맑은 고딕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hyperlink" Target="#Main!A1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Main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57152</xdr:colOff>
      <xdr:row>16</xdr:row>
      <xdr:rowOff>128689</xdr:rowOff>
    </xdr:from>
    <xdr:to>
      <xdr:col>4</xdr:col>
      <xdr:colOff>417152</xdr:colOff>
      <xdr:row>18</xdr:row>
      <xdr:rowOff>67157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71727" y="3691039"/>
          <a:ext cx="360000" cy="357568"/>
        </a:xfrm>
        <a:prstGeom prst="rect">
          <a:avLst/>
        </a:prstGeom>
      </xdr:spPr>
    </xdr:pic>
    <xdr:clientData/>
  </xdr:twoCellAnchor>
  <xdr:twoCellAnchor editAs="oneCell">
    <xdr:from>
      <xdr:col>4</xdr:col>
      <xdr:colOff>504825</xdr:colOff>
      <xdr:row>16</xdr:row>
      <xdr:rowOff>123825</xdr:rowOff>
    </xdr:from>
    <xdr:to>
      <xdr:col>5</xdr:col>
      <xdr:colOff>179025</xdr:colOff>
      <xdr:row>18</xdr:row>
      <xdr:rowOff>67157</xdr:rowOff>
    </xdr:to>
    <xdr:pic macro="[0]!sb작업시트숨기기">
      <xdr:nvPicPr>
        <xdr:cNvPr id="7" name="그림 6" title="작업시트 숨기기/표시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0" y="3686175"/>
          <a:ext cx="360000" cy="362432"/>
        </a:xfrm>
        <a:prstGeom prst="rect">
          <a:avLst/>
        </a:prstGeom>
      </xdr:spPr>
    </xdr:pic>
    <xdr:clientData/>
  </xdr:twoCellAnchor>
  <xdr:twoCellAnchor editAs="oneCell">
    <xdr:from>
      <xdr:col>5</xdr:col>
      <xdr:colOff>276225</xdr:colOff>
      <xdr:row>16</xdr:row>
      <xdr:rowOff>131089</xdr:rowOff>
    </xdr:from>
    <xdr:to>
      <xdr:col>5</xdr:col>
      <xdr:colOff>636225</xdr:colOff>
      <xdr:row>18</xdr:row>
      <xdr:rowOff>67157</xdr:rowOff>
    </xdr:to>
    <xdr:pic macro="[0]!sb종료">
      <xdr:nvPicPr>
        <xdr:cNvPr id="8" name="그림 7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76600" y="3693439"/>
          <a:ext cx="360000" cy="35516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9525</xdr:rowOff>
        </xdr:from>
        <xdr:to>
          <xdr:col>5</xdr:col>
          <xdr:colOff>666750</xdr:colOff>
          <xdr:row>5</xdr:row>
          <xdr:rowOff>209550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고객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9525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강좌 예약 조회 및 신규 등록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11</xdr:row>
          <xdr:rowOff>0</xdr:rowOff>
        </xdr:from>
        <xdr:to>
          <xdr:col>5</xdr:col>
          <xdr:colOff>647700</xdr:colOff>
          <xdr:row>15</xdr:row>
          <xdr:rowOff>152400</xdr:rowOff>
        </xdr:to>
        <xdr:sp macro="" textlink="">
          <xdr:nvSpPr>
            <xdr:cNvPr id="3079" name="lstSheet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3080" name="Label1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</xdr:col>
      <xdr:colOff>219076</xdr:colOff>
      <xdr:row>1</xdr:row>
      <xdr:rowOff>0</xdr:rowOff>
    </xdr:from>
    <xdr:ext cx="2914650" cy="542925"/>
    <xdr:sp macro="" textlink="">
      <xdr:nvSpPr>
        <xdr:cNvPr id="4" name="TextBox 3"/>
        <xdr:cNvSpPr txBox="1"/>
      </xdr:nvSpPr>
      <xdr:spPr>
        <a:xfrm>
          <a:off x="904876" y="219075"/>
          <a:ext cx="2914650" cy="5429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algn="ctr"/>
          <a:r>
            <a:rPr lang="ko-KR" altLang="en-US" sz="2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accent5"/>
              </a:solidFill>
              <a:effectLst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HY견명조" panose="02030600000101010101" pitchFamily="18" charset="-127"/>
              <a:ea typeface="HY견명조" panose="02030600000101010101" pitchFamily="18" charset="-127"/>
            </a:rPr>
            <a:t>고객 예약 관리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360000</xdr:colOff>
      <xdr:row>0</xdr:row>
      <xdr:rowOff>357568</xdr:rowOff>
    </xdr:to>
    <xdr:pic>
      <xdr:nvPicPr>
        <xdr:cNvPr id="2" name="그림 1">
          <a:hlinkClick xmlns:r="http://schemas.openxmlformats.org/officeDocument/2006/relationships" r:id="rId1" tooltip="Main 시트로 이동"/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60000" cy="357568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고객정보" displayName="tbl고객정보" ref="A3:E22" totalsRowShown="0" headerRowDxfId="25" dataDxfId="24" headerRowCellStyle="표준" dataCellStyle="표준">
  <sortState ref="A4:E23">
    <sortCondition ref="A4"/>
  </sortState>
  <tableColumns count="5">
    <tableColumn id="1" name="고객코드" dataDxfId="23" dataCellStyle="표준"/>
    <tableColumn id="2" name="성명" dataDxfId="22" dataCellStyle="표준"/>
    <tableColumn id="3" name="소속" dataDxfId="21" dataCellStyle="표준"/>
    <tableColumn id="4" name="연락처" dataDxfId="20" dataCellStyle="표준"/>
    <tableColumn id="5" name="주소" dataDxfId="19" dataCellStyle="표준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id="2" name="tbl개설강좌" displayName="tbl개설강좌" ref="A3:H15" totalsRowShown="0" headerRowDxfId="18" dataDxfId="17">
  <tableColumns count="8">
    <tableColumn id="1" name="강좌코드" dataDxfId="16"/>
    <tableColumn id="2" name="일자" dataDxfId="15"/>
    <tableColumn id="3" name="강좌명" dataDxfId="14"/>
    <tableColumn id="4" name="장소" dataDxfId="13"/>
    <tableColumn id="5" name="일시" dataDxfId="12"/>
    <tableColumn id="6" name="강사" dataDxfId="11"/>
    <tableColumn id="7" name="수용인원" dataDxfId="10"/>
    <tableColumn id="8" name="접수인원" dataDxfId="9">
      <calculatedColumnFormula>COUNTIF(tbl예약현황[강좌코드],A4)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예약현황" displayName="tbl예약현황" ref="A3:G54" insertRowShift="1" totalsRowShown="0" headerRowDxfId="8" dataDxfId="7">
  <sortState ref="A4:G14">
    <sortCondition descending="1" ref="B3:B14"/>
  </sortState>
  <tableColumns count="7">
    <tableColumn id="7" name="Key" dataDxfId="6">
      <calculatedColumnFormula>tbl예약현황[강좌코드]&amp;tbl예약현황[고객코드]</calculatedColumnFormula>
    </tableColumn>
    <tableColumn id="1" name="강좌코드" dataDxfId="5"/>
    <tableColumn id="2" name="고객코드" dataDxfId="4"/>
    <tableColumn id="6" name="고객명" dataDxfId="3">
      <calculatedColumnFormula>IFERROR(VLOOKUP(tbl예약현황[[#This Row],[고객코드]],tbl고객정보[#All],2,0),"")</calculatedColumnFormula>
    </tableColumn>
    <tableColumn id="3" name="예약일" dataDxfId="2"/>
    <tableColumn id="4" name="비고" dataDxfId="1"/>
    <tableColumn id="5" name="참석여부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rgb="FFFF0000"/>
  </sheetPr>
  <dimension ref="B1:H21"/>
  <sheetViews>
    <sheetView showGridLines="0" showRowColHeaders="0" tabSelected="1" workbookViewId="0">
      <selection activeCell="I3" sqref="I3"/>
    </sheetView>
  </sheetViews>
  <sheetFormatPr defaultRowHeight="16.5" x14ac:dyDescent="0.3"/>
  <cols>
    <col min="2" max="2" width="3.375" style="1" customWidth="1"/>
    <col min="7" max="7" width="3.375" customWidth="1"/>
  </cols>
  <sheetData>
    <row r="1" spans="2:8" ht="17.25" thickBot="1" x14ac:dyDescent="0.35"/>
    <row r="2" spans="2:8" ht="17.25" thickTop="1" x14ac:dyDescent="0.3">
      <c r="B2" s="8"/>
      <c r="C2" s="9"/>
      <c r="D2" s="9"/>
      <c r="E2" s="9"/>
      <c r="F2" s="9"/>
      <c r="G2" s="10"/>
    </row>
    <row r="3" spans="2:8" ht="31.5" x14ac:dyDescent="0.3">
      <c r="B3" s="11"/>
      <c r="C3" s="6"/>
      <c r="D3" s="7"/>
      <c r="E3" s="7"/>
      <c r="F3" s="7"/>
      <c r="G3" s="12"/>
    </row>
    <row r="4" spans="2:8" ht="8.25" customHeight="1" x14ac:dyDescent="0.3">
      <c r="B4" s="11"/>
      <c r="C4" s="7"/>
      <c r="D4" s="7"/>
      <c r="E4" s="7"/>
      <c r="F4" s="7"/>
      <c r="G4" s="12"/>
    </row>
    <row r="5" spans="2:8" x14ac:dyDescent="0.3">
      <c r="B5" s="11"/>
      <c r="C5" s="7"/>
      <c r="D5" s="7"/>
      <c r="E5" s="7"/>
      <c r="F5" s="7"/>
      <c r="G5" s="12"/>
    </row>
    <row r="6" spans="2:8" x14ac:dyDescent="0.3">
      <c r="B6" s="11"/>
      <c r="C6" s="7"/>
      <c r="D6" s="7"/>
      <c r="E6" s="7"/>
      <c r="F6" s="7"/>
      <c r="G6" s="12"/>
    </row>
    <row r="7" spans="2:8" ht="8.25" customHeight="1" x14ac:dyDescent="0.3">
      <c r="B7" s="11"/>
      <c r="C7" s="7"/>
      <c r="D7" s="7"/>
      <c r="E7" s="7"/>
      <c r="F7" s="7"/>
      <c r="G7" s="12"/>
    </row>
    <row r="8" spans="2:8" x14ac:dyDescent="0.3">
      <c r="B8" s="11"/>
      <c r="C8" s="7"/>
      <c r="D8" s="7"/>
      <c r="E8" s="7"/>
      <c r="F8" s="7"/>
      <c r="G8" s="12"/>
      <c r="H8" s="5"/>
    </row>
    <row r="9" spans="2:8" x14ac:dyDescent="0.3">
      <c r="B9" s="11"/>
      <c r="C9" s="7"/>
      <c r="D9" s="7"/>
      <c r="E9" s="7"/>
      <c r="F9" s="7"/>
      <c r="G9" s="12"/>
    </row>
    <row r="10" spans="2:8" ht="8.25" customHeight="1" x14ac:dyDescent="0.3">
      <c r="B10" s="11"/>
      <c r="C10" s="7"/>
      <c r="D10" s="7"/>
      <c r="E10" s="7"/>
      <c r="F10" s="7"/>
      <c r="G10" s="12"/>
    </row>
    <row r="11" spans="2:8" x14ac:dyDescent="0.3">
      <c r="B11" s="11"/>
      <c r="C11" s="7"/>
      <c r="D11" s="7"/>
      <c r="E11" s="7"/>
      <c r="F11" s="7"/>
      <c r="G11" s="12"/>
    </row>
    <row r="12" spans="2:8" x14ac:dyDescent="0.3">
      <c r="B12" s="11"/>
      <c r="C12" s="7"/>
      <c r="D12" s="7"/>
      <c r="E12" s="7"/>
      <c r="F12" s="7"/>
      <c r="G12" s="12"/>
    </row>
    <row r="13" spans="2:8" x14ac:dyDescent="0.3">
      <c r="B13" s="11"/>
      <c r="C13" s="7"/>
      <c r="D13" s="7"/>
      <c r="E13" s="7"/>
      <c r="F13" s="7"/>
      <c r="G13" s="12"/>
    </row>
    <row r="14" spans="2:8" x14ac:dyDescent="0.3">
      <c r="B14" s="11"/>
      <c r="C14" s="7"/>
      <c r="D14" s="7"/>
      <c r="E14" s="7"/>
      <c r="F14" s="7"/>
      <c r="G14" s="12"/>
    </row>
    <row r="15" spans="2:8" x14ac:dyDescent="0.3">
      <c r="B15" s="11"/>
      <c r="C15" s="7"/>
      <c r="D15" s="7"/>
      <c r="E15" s="7"/>
      <c r="F15" s="7"/>
      <c r="G15" s="12"/>
    </row>
    <row r="16" spans="2:8" x14ac:dyDescent="0.3">
      <c r="B16" s="11"/>
      <c r="C16" s="7"/>
      <c r="D16" s="7"/>
      <c r="E16" s="7"/>
      <c r="F16" s="7"/>
      <c r="G16" s="12"/>
    </row>
    <row r="17" spans="2:7" x14ac:dyDescent="0.3">
      <c r="B17" s="11"/>
      <c r="C17" s="7"/>
      <c r="D17" s="7"/>
      <c r="E17" s="7"/>
      <c r="F17" s="7"/>
      <c r="G17" s="12"/>
    </row>
    <row r="18" spans="2:7" x14ac:dyDescent="0.3">
      <c r="B18" s="11"/>
      <c r="C18" s="7"/>
      <c r="D18" s="7"/>
      <c r="E18" s="7"/>
      <c r="F18" s="7"/>
      <c r="G18" s="12"/>
    </row>
    <row r="19" spans="2:7" ht="17.25" thickBot="1" x14ac:dyDescent="0.35">
      <c r="B19" s="13"/>
      <c r="C19" s="14"/>
      <c r="D19" s="14"/>
      <c r="E19" s="14"/>
      <c r="F19" s="14"/>
      <c r="G19" s="15"/>
    </row>
    <row r="20" spans="2:7" ht="17.25" thickTop="1" x14ac:dyDescent="0.3"/>
    <row r="21" spans="2:7" x14ac:dyDescent="0.3">
      <c r="B21" s="1" t="s">
        <v>193</v>
      </c>
    </row>
  </sheetData>
  <phoneticPr fontId="1" type="noConversion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3079" r:id="rId4" name="lstSheet">
          <controlPr defaultSize="0" autoLine="0" r:id="rId5">
            <anchor moveWithCells="1">
              <from>
                <xdr:col>2</xdr:col>
                <xdr:colOff>0</xdr:colOff>
                <xdr:row>11</xdr:row>
                <xdr:rowOff>0</xdr:rowOff>
              </from>
              <to>
                <xdr:col>5</xdr:col>
                <xdr:colOff>647700</xdr:colOff>
                <xdr:row>15</xdr:row>
                <xdr:rowOff>152400</xdr:rowOff>
              </to>
            </anchor>
          </controlPr>
        </control>
      </mc:Choice>
      <mc:Fallback>
        <control shapeId="3079" r:id="rId4" name="lstSheet"/>
      </mc:Fallback>
    </mc:AlternateContent>
    <mc:AlternateContent xmlns:mc="http://schemas.openxmlformats.org/markup-compatibility/2006">
      <mc:Choice Requires="x14">
        <control shapeId="3080" r:id="rId6" name="Label1">
          <controlPr defaultSize="0" autoLine="0" r:id="rId7">
            <anchor moveWithCells="1">
              <from>
                <xdr:col>2</xdr:col>
                <xdr:colOff>38100</xdr:colOff>
                <xdr:row>10</xdr:row>
                <xdr:rowOff>0</xdr:rowOff>
              </from>
              <to>
                <xdr:col>6</xdr:col>
                <xdr:colOff>0</xdr:colOff>
                <xdr:row>11</xdr:row>
                <xdr:rowOff>0</xdr:rowOff>
              </to>
            </anchor>
          </controlPr>
        </control>
      </mc:Choice>
      <mc:Fallback>
        <control shapeId="3080" r:id="rId6" name="Label1"/>
      </mc:Fallback>
    </mc:AlternateContent>
    <mc:AlternateContent xmlns:mc="http://schemas.openxmlformats.org/markup-compatibility/2006">
      <mc:Choice Requires="x14">
        <control shapeId="3074" r:id="rId8" name="Button 2">
          <controlPr defaultSize="0" print="0" autoFill="0" autoPict="0" macro="[0]!sb고객조회폼">
            <anchor moveWithCells="1" sizeWithCells="1">
              <from>
                <xdr:col>2</xdr:col>
                <xdr:colOff>0</xdr:colOff>
                <xdr:row>4</xdr:row>
                <xdr:rowOff>9525</xdr:rowOff>
              </from>
              <to>
                <xdr:col>5</xdr:col>
                <xdr:colOff>666750</xdr:colOff>
                <xdr:row>5</xdr:row>
                <xdr:rowOff>209550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75" r:id="rId9" name="Button 3">
          <controlPr defaultSize="0" print="0" autoFill="0" autoPict="0" macro="[0]!sb강좌조회폼">
            <anchor moveWithCells="1" sizeWithCells="1">
              <from>
                <xdr:col>2</xdr:col>
                <xdr:colOff>0</xdr:colOff>
                <xdr:row>7</xdr:row>
                <xdr:rowOff>9525</xdr:rowOff>
              </from>
              <to>
                <xdr:col>6</xdr:col>
                <xdr:colOff>0</xdr:colOff>
                <xdr:row>9</xdr:row>
                <xdr:rowOff>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D26"/>
  <sheetViews>
    <sheetView showGridLines="0" topLeftCell="A5" workbookViewId="0">
      <selection activeCell="A6" sqref="A6"/>
    </sheetView>
  </sheetViews>
  <sheetFormatPr defaultRowHeight="16.5" x14ac:dyDescent="0.3"/>
  <cols>
    <col min="1" max="1" width="11" bestFit="1" customWidth="1"/>
    <col min="2" max="2" width="2.875" style="1" customWidth="1"/>
    <col min="4" max="4" width="2.875" customWidth="1"/>
    <col min="5" max="5" width="8" bestFit="1" customWidth="1"/>
    <col min="6" max="6" width="6.375" bestFit="1" customWidth="1"/>
    <col min="7" max="7" width="15.625" bestFit="1" customWidth="1"/>
    <col min="8" max="8" width="11.625" bestFit="1" customWidth="1"/>
    <col min="9" max="9" width="16.375" bestFit="1" customWidth="1"/>
    <col min="10" max="10" width="3.75" customWidth="1"/>
    <col min="14" max="14" width="3.25" customWidth="1"/>
    <col min="15" max="15" width="8.375" customWidth="1"/>
    <col min="16" max="16" width="11.875" customWidth="1"/>
    <col min="21" max="22" width="7.875" customWidth="1"/>
    <col min="23" max="23" width="3.25" customWidth="1"/>
    <col min="25" max="25" width="3.625" customWidth="1"/>
  </cols>
  <sheetData>
    <row r="1" spans="1:30" s="1" customFormat="1" x14ac:dyDescent="0.3">
      <c r="A1" s="44" t="s">
        <v>165</v>
      </c>
    </row>
    <row r="2" spans="1:30" s="1" customFormat="1" ht="9" customHeight="1" x14ac:dyDescent="0.3">
      <c r="A2" s="44"/>
    </row>
    <row r="3" spans="1:30" s="1" customFormat="1" x14ac:dyDescent="0.3">
      <c r="A3" s="1" t="s">
        <v>166</v>
      </c>
      <c r="C3" s="1" t="s">
        <v>167</v>
      </c>
      <c r="E3" s="1" t="s">
        <v>168</v>
      </c>
      <c r="K3" s="1" t="s">
        <v>169</v>
      </c>
      <c r="O3" s="1" t="s">
        <v>170</v>
      </c>
      <c r="X3" s="1" t="s">
        <v>171</v>
      </c>
      <c r="Z3" s="1" t="s">
        <v>172</v>
      </c>
    </row>
    <row r="4" spans="1:30" s="1" customFormat="1" ht="9" customHeight="1" x14ac:dyDescent="0.3"/>
    <row r="5" spans="1:30" x14ac:dyDescent="0.3">
      <c r="A5" s="22" t="s">
        <v>125</v>
      </c>
      <c r="C5" s="22" t="s">
        <v>0</v>
      </c>
      <c r="E5" s="21" t="s">
        <v>69</v>
      </c>
      <c r="F5" s="22" t="s">
        <v>0</v>
      </c>
      <c r="G5" s="22" t="s">
        <v>67</v>
      </c>
      <c r="H5" s="22" t="s">
        <v>1</v>
      </c>
      <c r="I5" s="23" t="s">
        <v>2</v>
      </c>
      <c r="K5" s="32" t="s">
        <v>54</v>
      </c>
      <c r="L5" s="32" t="s">
        <v>146</v>
      </c>
      <c r="M5" s="32" t="s">
        <v>146</v>
      </c>
      <c r="O5" s="31" t="s">
        <v>68</v>
      </c>
      <c r="P5" s="32" t="s">
        <v>146</v>
      </c>
      <c r="Q5" s="32" t="s">
        <v>54</v>
      </c>
      <c r="R5" s="32" t="s">
        <v>70</v>
      </c>
      <c r="S5" s="32" t="s">
        <v>92</v>
      </c>
      <c r="T5" s="32" t="s">
        <v>97</v>
      </c>
      <c r="U5" s="32" t="s">
        <v>71</v>
      </c>
      <c r="V5" s="33" t="s">
        <v>55</v>
      </c>
      <c r="X5" s="35" t="s">
        <v>68</v>
      </c>
      <c r="Z5" s="36" t="s">
        <v>69</v>
      </c>
      <c r="AA5" s="36" t="s">
        <v>147</v>
      </c>
      <c r="AB5" s="36" t="s">
        <v>89</v>
      </c>
      <c r="AC5" s="36" t="s">
        <v>91</v>
      </c>
      <c r="AD5" s="37" t="s">
        <v>90</v>
      </c>
    </row>
    <row r="6" spans="1:30" x14ac:dyDescent="0.3">
      <c r="A6" s="4">
        <f t="array" ref="A6">IF(COUNTA(tbl고객정보[고객코드])&lt;1,0,LARGE(1*MID(tbl고객정보[고객코드],2,10),1))</f>
        <v>4020</v>
      </c>
      <c r="C6" t="s">
        <v>192</v>
      </c>
      <c r="E6" s="20" t="s">
        <v>3</v>
      </c>
      <c r="F6" s="20" t="s">
        <v>4</v>
      </c>
      <c r="G6" s="20" t="s">
        <v>138</v>
      </c>
      <c r="H6" s="20" t="s">
        <v>5</v>
      </c>
      <c r="I6" s="20" t="s">
        <v>136</v>
      </c>
      <c r="K6" t="s">
        <v>145</v>
      </c>
      <c r="O6" s="24" t="s">
        <v>76</v>
      </c>
      <c r="P6" s="25">
        <v>41914</v>
      </c>
      <c r="Q6" s="24" t="s">
        <v>95</v>
      </c>
      <c r="R6" s="24" t="s">
        <v>72</v>
      </c>
      <c r="S6" s="24" t="s">
        <v>93</v>
      </c>
      <c r="T6" s="24" t="s">
        <v>96</v>
      </c>
      <c r="U6" s="24">
        <v>100</v>
      </c>
      <c r="V6" s="24">
        <v>10</v>
      </c>
      <c r="X6" t="s">
        <v>174</v>
      </c>
      <c r="Z6" s="26" t="s">
        <v>156</v>
      </c>
      <c r="AA6" s="26" t="s">
        <v>173</v>
      </c>
      <c r="AB6" s="38">
        <v>41675</v>
      </c>
      <c r="AC6" s="26"/>
      <c r="AD6" s="26"/>
    </row>
    <row r="7" spans="1:30" x14ac:dyDescent="0.3">
      <c r="E7" s="20" t="s">
        <v>6</v>
      </c>
      <c r="F7" s="20" t="s">
        <v>7</v>
      </c>
      <c r="G7" s="20" t="s">
        <v>11</v>
      </c>
      <c r="H7" s="20" t="s">
        <v>8</v>
      </c>
      <c r="I7" s="20" t="s">
        <v>140</v>
      </c>
      <c r="O7" s="24" t="s">
        <v>77</v>
      </c>
      <c r="P7" s="25">
        <v>41932</v>
      </c>
      <c r="Q7" s="24" t="s">
        <v>98</v>
      </c>
      <c r="R7" s="24" t="s">
        <v>73</v>
      </c>
      <c r="S7" s="24" t="s">
        <v>94</v>
      </c>
      <c r="T7" s="24" t="s">
        <v>99</v>
      </c>
      <c r="U7" s="24">
        <v>30</v>
      </c>
      <c r="V7" s="24">
        <v>7</v>
      </c>
      <c r="Z7" s="26" t="s">
        <v>26</v>
      </c>
      <c r="AA7" s="26" t="s">
        <v>175</v>
      </c>
      <c r="AB7" s="38">
        <v>41675</v>
      </c>
      <c r="AC7" s="26"/>
      <c r="AD7" s="26"/>
    </row>
    <row r="8" spans="1:30" x14ac:dyDescent="0.3">
      <c r="E8" s="20" t="s">
        <v>9</v>
      </c>
      <c r="F8" s="20" t="s">
        <v>10</v>
      </c>
      <c r="G8" s="20" t="s">
        <v>11</v>
      </c>
      <c r="H8" s="20" t="s">
        <v>12</v>
      </c>
      <c r="I8" s="20" t="s">
        <v>140</v>
      </c>
      <c r="O8" s="24" t="s">
        <v>78</v>
      </c>
      <c r="P8" s="25">
        <v>41948</v>
      </c>
      <c r="Q8" s="24" t="s">
        <v>100</v>
      </c>
      <c r="R8" s="24" t="s">
        <v>74</v>
      </c>
      <c r="S8" s="24" t="s">
        <v>108</v>
      </c>
      <c r="T8" s="24" t="s">
        <v>107</v>
      </c>
      <c r="U8" s="24">
        <v>30</v>
      </c>
      <c r="V8" s="24">
        <v>4</v>
      </c>
      <c r="Z8" s="26" t="s">
        <v>38</v>
      </c>
      <c r="AA8" s="26" t="s">
        <v>176</v>
      </c>
      <c r="AB8" s="38">
        <v>41978</v>
      </c>
      <c r="AC8" s="26"/>
      <c r="AD8" s="26"/>
    </row>
    <row r="9" spans="1:30" x14ac:dyDescent="0.3">
      <c r="E9" s="20" t="s">
        <v>13</v>
      </c>
      <c r="F9" s="20" t="s">
        <v>14</v>
      </c>
      <c r="G9" s="20" t="s">
        <v>138</v>
      </c>
      <c r="H9" s="20" t="s">
        <v>15</v>
      </c>
      <c r="I9" s="20" t="s">
        <v>136</v>
      </c>
      <c r="O9" s="24" t="s">
        <v>79</v>
      </c>
      <c r="P9" s="25">
        <v>41963</v>
      </c>
      <c r="Q9" s="24" t="s">
        <v>101</v>
      </c>
      <c r="R9" s="24" t="s">
        <v>110</v>
      </c>
      <c r="S9" s="24" t="s">
        <v>109</v>
      </c>
      <c r="T9" s="24" t="s">
        <v>106</v>
      </c>
      <c r="U9" s="24">
        <v>20</v>
      </c>
      <c r="V9" s="24">
        <v>4</v>
      </c>
      <c r="Z9" s="26" t="s">
        <v>50</v>
      </c>
      <c r="AA9" s="26" t="s">
        <v>177</v>
      </c>
      <c r="AB9" s="38">
        <v>41866</v>
      </c>
      <c r="AC9" s="26"/>
      <c r="AD9" s="26"/>
    </row>
    <row r="10" spans="1:30" x14ac:dyDescent="0.3">
      <c r="E10" s="20" t="s">
        <v>16</v>
      </c>
      <c r="F10" s="20" t="s">
        <v>17</v>
      </c>
      <c r="G10" s="20" t="s">
        <v>142</v>
      </c>
      <c r="H10" s="20" t="s">
        <v>18</v>
      </c>
      <c r="I10" s="20" t="s">
        <v>143</v>
      </c>
      <c r="O10" s="24" t="s">
        <v>80</v>
      </c>
      <c r="P10" s="25">
        <v>41978</v>
      </c>
      <c r="Q10" s="24" t="s">
        <v>102</v>
      </c>
      <c r="R10" s="24" t="s">
        <v>75</v>
      </c>
      <c r="S10" s="24" t="s">
        <v>111</v>
      </c>
      <c r="T10" s="24" t="s">
        <v>105</v>
      </c>
      <c r="U10" s="24">
        <v>30</v>
      </c>
      <c r="V10" s="24">
        <v>2</v>
      </c>
      <c r="Z10" s="26"/>
      <c r="AA10" s="26"/>
      <c r="AB10" s="38"/>
      <c r="AC10" s="26"/>
      <c r="AD10" s="26"/>
    </row>
    <row r="11" spans="1:30" x14ac:dyDescent="0.3">
      <c r="E11" s="20" t="s">
        <v>132</v>
      </c>
      <c r="F11" s="20" t="s">
        <v>133</v>
      </c>
      <c r="G11" s="20" t="s">
        <v>19</v>
      </c>
      <c r="H11" s="20" t="s">
        <v>135</v>
      </c>
      <c r="I11" s="20" t="s">
        <v>139</v>
      </c>
      <c r="O11" s="24" t="s">
        <v>81</v>
      </c>
      <c r="P11" s="25">
        <v>41993</v>
      </c>
      <c r="Q11" s="24" t="s">
        <v>103</v>
      </c>
      <c r="R11" s="24" t="s">
        <v>72</v>
      </c>
      <c r="S11" s="24" t="s">
        <v>94</v>
      </c>
      <c r="T11" s="24" t="s">
        <v>104</v>
      </c>
      <c r="U11" s="24">
        <v>20</v>
      </c>
      <c r="V11" s="24">
        <v>2</v>
      </c>
      <c r="Z11" s="26"/>
      <c r="AA11" s="26"/>
      <c r="AB11" s="38"/>
      <c r="AC11" s="26"/>
      <c r="AD11" s="26"/>
    </row>
    <row r="12" spans="1:30" x14ac:dyDescent="0.3">
      <c r="E12" s="20" t="s">
        <v>129</v>
      </c>
      <c r="F12" s="20" t="s">
        <v>130</v>
      </c>
      <c r="G12" s="20" t="s">
        <v>137</v>
      </c>
      <c r="H12" s="20" t="s">
        <v>131</v>
      </c>
      <c r="I12" s="20" t="s">
        <v>144</v>
      </c>
      <c r="O12" s="24" t="s">
        <v>82</v>
      </c>
      <c r="P12" s="25">
        <v>42009</v>
      </c>
      <c r="Q12" s="24" t="s">
        <v>113</v>
      </c>
      <c r="R12" s="24" t="s">
        <v>73</v>
      </c>
      <c r="S12" s="24" t="s">
        <v>94</v>
      </c>
      <c r="T12" s="24" t="s">
        <v>116</v>
      </c>
      <c r="U12" s="24">
        <v>30</v>
      </c>
      <c r="V12" s="24">
        <v>5</v>
      </c>
      <c r="Z12" s="26"/>
      <c r="AA12" s="26"/>
      <c r="AB12" s="38"/>
      <c r="AC12" s="26"/>
      <c r="AD12" s="26"/>
    </row>
    <row r="13" spans="1:30" x14ac:dyDescent="0.3">
      <c r="E13" s="20" t="s">
        <v>126</v>
      </c>
      <c r="F13" s="20" t="s">
        <v>127</v>
      </c>
      <c r="G13" s="20" t="s">
        <v>138</v>
      </c>
      <c r="H13" s="20" t="s">
        <v>128</v>
      </c>
      <c r="I13" s="20" t="s">
        <v>136</v>
      </c>
      <c r="O13" s="24" t="s">
        <v>83</v>
      </c>
      <c r="P13" s="25">
        <v>42024</v>
      </c>
      <c r="Q13" s="24" t="s">
        <v>114</v>
      </c>
      <c r="R13" s="24" t="s">
        <v>74</v>
      </c>
      <c r="S13" s="24" t="s">
        <v>109</v>
      </c>
      <c r="T13" s="24" t="s">
        <v>115</v>
      </c>
      <c r="U13" s="24">
        <v>20</v>
      </c>
      <c r="V13" s="24">
        <v>4</v>
      </c>
      <c r="Z13" s="26"/>
      <c r="AA13" s="26"/>
      <c r="AB13" s="38"/>
      <c r="AC13" s="26"/>
      <c r="AD13" s="26"/>
    </row>
    <row r="14" spans="1:30" x14ac:dyDescent="0.3">
      <c r="E14" s="20" t="s">
        <v>20</v>
      </c>
      <c r="F14" s="20" t="s">
        <v>21</v>
      </c>
      <c r="G14" s="20" t="s">
        <v>142</v>
      </c>
      <c r="H14" s="20" t="s">
        <v>22</v>
      </c>
      <c r="I14" s="20" t="s">
        <v>143</v>
      </c>
      <c r="O14" s="24" t="s">
        <v>84</v>
      </c>
      <c r="P14" s="25">
        <v>42040</v>
      </c>
      <c r="Q14" s="24" t="s">
        <v>118</v>
      </c>
      <c r="R14" s="24" t="s">
        <v>110</v>
      </c>
      <c r="S14" s="24" t="s">
        <v>111</v>
      </c>
      <c r="T14" s="24" t="s">
        <v>117</v>
      </c>
      <c r="U14" s="24">
        <v>20</v>
      </c>
      <c r="V14" s="24">
        <v>4</v>
      </c>
      <c r="Z14" s="26"/>
      <c r="AA14" s="26"/>
      <c r="AB14" s="38"/>
      <c r="AC14" s="26"/>
      <c r="AD14" s="26"/>
    </row>
    <row r="15" spans="1:30" x14ac:dyDescent="0.3">
      <c r="E15" s="20" t="s">
        <v>23</v>
      </c>
      <c r="F15" s="20" t="s">
        <v>24</v>
      </c>
      <c r="G15" s="20" t="s">
        <v>19</v>
      </c>
      <c r="H15" s="20" t="s">
        <v>25</v>
      </c>
      <c r="I15" s="20" t="s">
        <v>139</v>
      </c>
      <c r="O15" s="24" t="s">
        <v>85</v>
      </c>
      <c r="P15" s="25">
        <v>42055</v>
      </c>
      <c r="Q15" s="24" t="s">
        <v>119</v>
      </c>
      <c r="R15" s="24" t="s">
        <v>75</v>
      </c>
      <c r="S15" s="24" t="s">
        <v>108</v>
      </c>
      <c r="T15" s="24" t="s">
        <v>120</v>
      </c>
      <c r="U15" s="24">
        <v>20</v>
      </c>
      <c r="V15" s="24">
        <v>4</v>
      </c>
      <c r="Z15" s="26"/>
      <c r="AA15" s="26"/>
      <c r="AB15" s="38"/>
      <c r="AC15" s="26"/>
      <c r="AD15" s="26"/>
    </row>
    <row r="16" spans="1:30" x14ac:dyDescent="0.3">
      <c r="E16" s="20" t="s">
        <v>26</v>
      </c>
      <c r="F16" s="20" t="s">
        <v>27</v>
      </c>
      <c r="G16" s="20" t="s">
        <v>142</v>
      </c>
      <c r="H16" s="20" t="s">
        <v>28</v>
      </c>
      <c r="I16" s="20" t="s">
        <v>143</v>
      </c>
      <c r="O16" s="24" t="s">
        <v>86</v>
      </c>
      <c r="P16" s="25">
        <v>42068</v>
      </c>
      <c r="Q16" s="24" t="s">
        <v>121</v>
      </c>
      <c r="R16" s="24" t="s">
        <v>112</v>
      </c>
      <c r="S16" s="24" t="s">
        <v>109</v>
      </c>
      <c r="T16" s="24" t="s">
        <v>122</v>
      </c>
      <c r="U16" s="24">
        <v>30</v>
      </c>
      <c r="V16" s="24">
        <v>0</v>
      </c>
      <c r="Z16" s="26"/>
      <c r="AA16" s="26"/>
      <c r="AB16" s="38"/>
      <c r="AC16" s="26"/>
      <c r="AD16" s="26"/>
    </row>
    <row r="17" spans="5:30" x14ac:dyDescent="0.3">
      <c r="E17" s="20" t="s">
        <v>29</v>
      </c>
      <c r="F17" s="20" t="s">
        <v>30</v>
      </c>
      <c r="G17" s="20" t="s">
        <v>11</v>
      </c>
      <c r="H17" s="20" t="s">
        <v>31</v>
      </c>
      <c r="I17" s="20" t="s">
        <v>140</v>
      </c>
      <c r="O17" s="24" t="s">
        <v>87</v>
      </c>
      <c r="P17" s="25">
        <v>42083</v>
      </c>
      <c r="Q17" s="24" t="s">
        <v>124</v>
      </c>
      <c r="R17" s="24" t="s">
        <v>110</v>
      </c>
      <c r="S17" s="24" t="s">
        <v>111</v>
      </c>
      <c r="T17" s="24" t="s">
        <v>123</v>
      </c>
      <c r="U17" s="24">
        <v>30</v>
      </c>
      <c r="V17" s="24">
        <v>4</v>
      </c>
      <c r="Z17" s="26"/>
      <c r="AA17" s="26"/>
      <c r="AB17" s="38"/>
      <c r="AC17" s="26"/>
      <c r="AD17" s="26"/>
    </row>
    <row r="18" spans="5:30" x14ac:dyDescent="0.3">
      <c r="E18" s="20" t="s">
        <v>32</v>
      </c>
      <c r="F18" s="20" t="s">
        <v>33</v>
      </c>
      <c r="G18" s="20" t="s">
        <v>142</v>
      </c>
      <c r="H18" s="20" t="s">
        <v>34</v>
      </c>
      <c r="I18" s="20" t="s">
        <v>143</v>
      </c>
      <c r="Z18" s="26"/>
      <c r="AA18" s="26"/>
      <c r="AB18" s="38"/>
      <c r="AC18" s="26"/>
      <c r="AD18" s="26"/>
    </row>
    <row r="19" spans="5:30" x14ac:dyDescent="0.3">
      <c r="E19" s="20" t="s">
        <v>35</v>
      </c>
      <c r="F19" s="20" t="s">
        <v>36</v>
      </c>
      <c r="G19" s="20" t="s">
        <v>19</v>
      </c>
      <c r="H19" s="20" t="s">
        <v>37</v>
      </c>
      <c r="I19" s="20" t="s">
        <v>139</v>
      </c>
      <c r="Z19" s="26"/>
      <c r="AA19" s="26"/>
      <c r="AB19" s="38"/>
      <c r="AC19" s="26"/>
      <c r="AD19" s="26"/>
    </row>
    <row r="20" spans="5:30" x14ac:dyDescent="0.3">
      <c r="E20" s="20" t="s">
        <v>38</v>
      </c>
      <c r="F20" s="20" t="s">
        <v>39</v>
      </c>
      <c r="G20" s="20" t="s">
        <v>137</v>
      </c>
      <c r="H20" s="20" t="s">
        <v>40</v>
      </c>
      <c r="I20" s="20" t="s">
        <v>144</v>
      </c>
    </row>
    <row r="21" spans="5:30" x14ac:dyDescent="0.3">
      <c r="E21" s="20" t="s">
        <v>41</v>
      </c>
      <c r="F21" s="20" t="s">
        <v>42</v>
      </c>
      <c r="G21" s="20" t="s">
        <v>138</v>
      </c>
      <c r="H21" s="20" t="s">
        <v>43</v>
      </c>
      <c r="I21" s="20" t="s">
        <v>136</v>
      </c>
    </row>
    <row r="22" spans="5:30" x14ac:dyDescent="0.3">
      <c r="E22" s="20" t="s">
        <v>44</v>
      </c>
      <c r="F22" s="20" t="s">
        <v>45</v>
      </c>
      <c r="G22" s="20" t="s">
        <v>19</v>
      </c>
      <c r="H22" s="20" t="s">
        <v>46</v>
      </c>
      <c r="I22" s="20" t="s">
        <v>139</v>
      </c>
    </row>
    <row r="23" spans="5:30" x14ac:dyDescent="0.3">
      <c r="E23" s="20" t="s">
        <v>47</v>
      </c>
      <c r="F23" s="20" t="s">
        <v>48</v>
      </c>
      <c r="G23" s="20" t="s">
        <v>142</v>
      </c>
      <c r="H23" s="20" t="s">
        <v>49</v>
      </c>
      <c r="I23" s="20" t="s">
        <v>143</v>
      </c>
    </row>
    <row r="24" spans="5:30" x14ac:dyDescent="0.3">
      <c r="E24" s="20" t="s">
        <v>50</v>
      </c>
      <c r="F24" s="20" t="s">
        <v>51</v>
      </c>
      <c r="G24" s="20" t="s">
        <v>52</v>
      </c>
      <c r="H24" s="20" t="s">
        <v>53</v>
      </c>
      <c r="I24" s="34" t="s">
        <v>141</v>
      </c>
    </row>
    <row r="25" spans="5:30" x14ac:dyDescent="0.3">
      <c r="E25" s="30"/>
      <c r="F25" s="30"/>
      <c r="G25" s="20"/>
      <c r="H25" s="30"/>
      <c r="I25" s="30"/>
    </row>
    <row r="26" spans="5:30" x14ac:dyDescent="0.3">
      <c r="E26" s="30"/>
      <c r="F26" s="30"/>
      <c r="G26" s="30"/>
      <c r="H26" s="30"/>
      <c r="I26" s="30"/>
    </row>
  </sheetData>
  <sortState ref="E6:I24">
    <sortCondition ref="E5"/>
  </sortState>
  <phoneticPr fontId="3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/>
  </sheetPr>
  <dimension ref="A1:E22"/>
  <sheetViews>
    <sheetView showGridLines="0" workbookViewId="0">
      <selection activeCell="I11" sqref="I11"/>
    </sheetView>
  </sheetViews>
  <sheetFormatPr defaultRowHeight="13.5" x14ac:dyDescent="0.3"/>
  <cols>
    <col min="1" max="1" width="9.25" style="2" customWidth="1"/>
    <col min="2" max="2" width="7.5" style="2" customWidth="1"/>
    <col min="3" max="3" width="14.375" style="2" bestFit="1" customWidth="1"/>
    <col min="4" max="4" width="16.625" style="2" customWidth="1"/>
    <col min="5" max="5" width="21.75" style="2" bestFit="1" customWidth="1"/>
    <col min="6" max="255" width="9" style="2"/>
    <col min="256" max="256" width="7.625" style="2" customWidth="1"/>
    <col min="257" max="257" width="7.5" style="2" customWidth="1"/>
    <col min="258" max="258" width="14.375" style="2" bestFit="1" customWidth="1"/>
    <col min="259" max="259" width="16.625" style="2" customWidth="1"/>
    <col min="260" max="260" width="13.125" style="2" customWidth="1"/>
    <col min="261" max="261" width="24.75" style="2" customWidth="1"/>
    <col min="262" max="511" width="9" style="2"/>
    <col min="512" max="512" width="7.625" style="2" customWidth="1"/>
    <col min="513" max="513" width="7.5" style="2" customWidth="1"/>
    <col min="514" max="514" width="14.375" style="2" bestFit="1" customWidth="1"/>
    <col min="515" max="515" width="16.625" style="2" customWidth="1"/>
    <col min="516" max="516" width="13.125" style="2" customWidth="1"/>
    <col min="517" max="517" width="24.75" style="2" customWidth="1"/>
    <col min="518" max="767" width="9" style="2"/>
    <col min="768" max="768" width="7.625" style="2" customWidth="1"/>
    <col min="769" max="769" width="7.5" style="2" customWidth="1"/>
    <col min="770" max="770" width="14.375" style="2" bestFit="1" customWidth="1"/>
    <col min="771" max="771" width="16.625" style="2" customWidth="1"/>
    <col min="772" max="772" width="13.125" style="2" customWidth="1"/>
    <col min="773" max="773" width="24.75" style="2" customWidth="1"/>
    <col min="774" max="1023" width="9" style="2"/>
    <col min="1024" max="1024" width="7.625" style="2" customWidth="1"/>
    <col min="1025" max="1025" width="7.5" style="2" customWidth="1"/>
    <col min="1026" max="1026" width="14.375" style="2" bestFit="1" customWidth="1"/>
    <col min="1027" max="1027" width="16.625" style="2" customWidth="1"/>
    <col min="1028" max="1028" width="13.125" style="2" customWidth="1"/>
    <col min="1029" max="1029" width="24.75" style="2" customWidth="1"/>
    <col min="1030" max="1279" width="9" style="2"/>
    <col min="1280" max="1280" width="7.625" style="2" customWidth="1"/>
    <col min="1281" max="1281" width="7.5" style="2" customWidth="1"/>
    <col min="1282" max="1282" width="14.375" style="2" bestFit="1" customWidth="1"/>
    <col min="1283" max="1283" width="16.625" style="2" customWidth="1"/>
    <col min="1284" max="1284" width="13.125" style="2" customWidth="1"/>
    <col min="1285" max="1285" width="24.75" style="2" customWidth="1"/>
    <col min="1286" max="1535" width="9" style="2"/>
    <col min="1536" max="1536" width="7.625" style="2" customWidth="1"/>
    <col min="1537" max="1537" width="7.5" style="2" customWidth="1"/>
    <col min="1538" max="1538" width="14.375" style="2" bestFit="1" customWidth="1"/>
    <col min="1539" max="1539" width="16.625" style="2" customWidth="1"/>
    <col min="1540" max="1540" width="13.125" style="2" customWidth="1"/>
    <col min="1541" max="1541" width="24.75" style="2" customWidth="1"/>
    <col min="1542" max="1791" width="9" style="2"/>
    <col min="1792" max="1792" width="7.625" style="2" customWidth="1"/>
    <col min="1793" max="1793" width="7.5" style="2" customWidth="1"/>
    <col min="1794" max="1794" width="14.375" style="2" bestFit="1" customWidth="1"/>
    <col min="1795" max="1795" width="16.625" style="2" customWidth="1"/>
    <col min="1796" max="1796" width="13.125" style="2" customWidth="1"/>
    <col min="1797" max="1797" width="24.75" style="2" customWidth="1"/>
    <col min="1798" max="2047" width="9" style="2"/>
    <col min="2048" max="2048" width="7.625" style="2" customWidth="1"/>
    <col min="2049" max="2049" width="7.5" style="2" customWidth="1"/>
    <col min="2050" max="2050" width="14.375" style="2" bestFit="1" customWidth="1"/>
    <col min="2051" max="2051" width="16.625" style="2" customWidth="1"/>
    <col min="2052" max="2052" width="13.125" style="2" customWidth="1"/>
    <col min="2053" max="2053" width="24.75" style="2" customWidth="1"/>
    <col min="2054" max="2303" width="9" style="2"/>
    <col min="2304" max="2304" width="7.625" style="2" customWidth="1"/>
    <col min="2305" max="2305" width="7.5" style="2" customWidth="1"/>
    <col min="2306" max="2306" width="14.375" style="2" bestFit="1" customWidth="1"/>
    <col min="2307" max="2307" width="16.625" style="2" customWidth="1"/>
    <col min="2308" max="2308" width="13.125" style="2" customWidth="1"/>
    <col min="2309" max="2309" width="24.75" style="2" customWidth="1"/>
    <col min="2310" max="2559" width="9" style="2"/>
    <col min="2560" max="2560" width="7.625" style="2" customWidth="1"/>
    <col min="2561" max="2561" width="7.5" style="2" customWidth="1"/>
    <col min="2562" max="2562" width="14.375" style="2" bestFit="1" customWidth="1"/>
    <col min="2563" max="2563" width="16.625" style="2" customWidth="1"/>
    <col min="2564" max="2564" width="13.125" style="2" customWidth="1"/>
    <col min="2565" max="2565" width="24.75" style="2" customWidth="1"/>
    <col min="2566" max="2815" width="9" style="2"/>
    <col min="2816" max="2816" width="7.625" style="2" customWidth="1"/>
    <col min="2817" max="2817" width="7.5" style="2" customWidth="1"/>
    <col min="2818" max="2818" width="14.375" style="2" bestFit="1" customWidth="1"/>
    <col min="2819" max="2819" width="16.625" style="2" customWidth="1"/>
    <col min="2820" max="2820" width="13.125" style="2" customWidth="1"/>
    <col min="2821" max="2821" width="24.75" style="2" customWidth="1"/>
    <col min="2822" max="3071" width="9" style="2"/>
    <col min="3072" max="3072" width="7.625" style="2" customWidth="1"/>
    <col min="3073" max="3073" width="7.5" style="2" customWidth="1"/>
    <col min="3074" max="3074" width="14.375" style="2" bestFit="1" customWidth="1"/>
    <col min="3075" max="3075" width="16.625" style="2" customWidth="1"/>
    <col min="3076" max="3076" width="13.125" style="2" customWidth="1"/>
    <col min="3077" max="3077" width="24.75" style="2" customWidth="1"/>
    <col min="3078" max="3327" width="9" style="2"/>
    <col min="3328" max="3328" width="7.625" style="2" customWidth="1"/>
    <col min="3329" max="3329" width="7.5" style="2" customWidth="1"/>
    <col min="3330" max="3330" width="14.375" style="2" bestFit="1" customWidth="1"/>
    <col min="3331" max="3331" width="16.625" style="2" customWidth="1"/>
    <col min="3332" max="3332" width="13.125" style="2" customWidth="1"/>
    <col min="3333" max="3333" width="24.75" style="2" customWidth="1"/>
    <col min="3334" max="3583" width="9" style="2"/>
    <col min="3584" max="3584" width="7.625" style="2" customWidth="1"/>
    <col min="3585" max="3585" width="7.5" style="2" customWidth="1"/>
    <col min="3586" max="3586" width="14.375" style="2" bestFit="1" customWidth="1"/>
    <col min="3587" max="3587" width="16.625" style="2" customWidth="1"/>
    <col min="3588" max="3588" width="13.125" style="2" customWidth="1"/>
    <col min="3589" max="3589" width="24.75" style="2" customWidth="1"/>
    <col min="3590" max="3839" width="9" style="2"/>
    <col min="3840" max="3840" width="7.625" style="2" customWidth="1"/>
    <col min="3841" max="3841" width="7.5" style="2" customWidth="1"/>
    <col min="3842" max="3842" width="14.375" style="2" bestFit="1" customWidth="1"/>
    <col min="3843" max="3843" width="16.625" style="2" customWidth="1"/>
    <col min="3844" max="3844" width="13.125" style="2" customWidth="1"/>
    <col min="3845" max="3845" width="24.75" style="2" customWidth="1"/>
    <col min="3846" max="4095" width="9" style="2"/>
    <col min="4096" max="4096" width="7.625" style="2" customWidth="1"/>
    <col min="4097" max="4097" width="7.5" style="2" customWidth="1"/>
    <col min="4098" max="4098" width="14.375" style="2" bestFit="1" customWidth="1"/>
    <col min="4099" max="4099" width="16.625" style="2" customWidth="1"/>
    <col min="4100" max="4100" width="13.125" style="2" customWidth="1"/>
    <col min="4101" max="4101" width="24.75" style="2" customWidth="1"/>
    <col min="4102" max="4351" width="9" style="2"/>
    <col min="4352" max="4352" width="7.625" style="2" customWidth="1"/>
    <col min="4353" max="4353" width="7.5" style="2" customWidth="1"/>
    <col min="4354" max="4354" width="14.375" style="2" bestFit="1" customWidth="1"/>
    <col min="4355" max="4355" width="16.625" style="2" customWidth="1"/>
    <col min="4356" max="4356" width="13.125" style="2" customWidth="1"/>
    <col min="4357" max="4357" width="24.75" style="2" customWidth="1"/>
    <col min="4358" max="4607" width="9" style="2"/>
    <col min="4608" max="4608" width="7.625" style="2" customWidth="1"/>
    <col min="4609" max="4609" width="7.5" style="2" customWidth="1"/>
    <col min="4610" max="4610" width="14.375" style="2" bestFit="1" customWidth="1"/>
    <col min="4611" max="4611" width="16.625" style="2" customWidth="1"/>
    <col min="4612" max="4612" width="13.125" style="2" customWidth="1"/>
    <col min="4613" max="4613" width="24.75" style="2" customWidth="1"/>
    <col min="4614" max="4863" width="9" style="2"/>
    <col min="4864" max="4864" width="7.625" style="2" customWidth="1"/>
    <col min="4865" max="4865" width="7.5" style="2" customWidth="1"/>
    <col min="4866" max="4866" width="14.375" style="2" bestFit="1" customWidth="1"/>
    <col min="4867" max="4867" width="16.625" style="2" customWidth="1"/>
    <col min="4868" max="4868" width="13.125" style="2" customWidth="1"/>
    <col min="4869" max="4869" width="24.75" style="2" customWidth="1"/>
    <col min="4870" max="5119" width="9" style="2"/>
    <col min="5120" max="5120" width="7.625" style="2" customWidth="1"/>
    <col min="5121" max="5121" width="7.5" style="2" customWidth="1"/>
    <col min="5122" max="5122" width="14.375" style="2" bestFit="1" customWidth="1"/>
    <col min="5123" max="5123" width="16.625" style="2" customWidth="1"/>
    <col min="5124" max="5124" width="13.125" style="2" customWidth="1"/>
    <col min="5125" max="5125" width="24.75" style="2" customWidth="1"/>
    <col min="5126" max="5375" width="9" style="2"/>
    <col min="5376" max="5376" width="7.625" style="2" customWidth="1"/>
    <col min="5377" max="5377" width="7.5" style="2" customWidth="1"/>
    <col min="5378" max="5378" width="14.375" style="2" bestFit="1" customWidth="1"/>
    <col min="5379" max="5379" width="16.625" style="2" customWidth="1"/>
    <col min="5380" max="5380" width="13.125" style="2" customWidth="1"/>
    <col min="5381" max="5381" width="24.75" style="2" customWidth="1"/>
    <col min="5382" max="5631" width="9" style="2"/>
    <col min="5632" max="5632" width="7.625" style="2" customWidth="1"/>
    <col min="5633" max="5633" width="7.5" style="2" customWidth="1"/>
    <col min="5634" max="5634" width="14.375" style="2" bestFit="1" customWidth="1"/>
    <col min="5635" max="5635" width="16.625" style="2" customWidth="1"/>
    <col min="5636" max="5636" width="13.125" style="2" customWidth="1"/>
    <col min="5637" max="5637" width="24.75" style="2" customWidth="1"/>
    <col min="5638" max="5887" width="9" style="2"/>
    <col min="5888" max="5888" width="7.625" style="2" customWidth="1"/>
    <col min="5889" max="5889" width="7.5" style="2" customWidth="1"/>
    <col min="5890" max="5890" width="14.375" style="2" bestFit="1" customWidth="1"/>
    <col min="5891" max="5891" width="16.625" style="2" customWidth="1"/>
    <col min="5892" max="5892" width="13.125" style="2" customWidth="1"/>
    <col min="5893" max="5893" width="24.75" style="2" customWidth="1"/>
    <col min="5894" max="6143" width="9" style="2"/>
    <col min="6144" max="6144" width="7.625" style="2" customWidth="1"/>
    <col min="6145" max="6145" width="7.5" style="2" customWidth="1"/>
    <col min="6146" max="6146" width="14.375" style="2" bestFit="1" customWidth="1"/>
    <col min="6147" max="6147" width="16.625" style="2" customWidth="1"/>
    <col min="6148" max="6148" width="13.125" style="2" customWidth="1"/>
    <col min="6149" max="6149" width="24.75" style="2" customWidth="1"/>
    <col min="6150" max="6399" width="9" style="2"/>
    <col min="6400" max="6400" width="7.625" style="2" customWidth="1"/>
    <col min="6401" max="6401" width="7.5" style="2" customWidth="1"/>
    <col min="6402" max="6402" width="14.375" style="2" bestFit="1" customWidth="1"/>
    <col min="6403" max="6403" width="16.625" style="2" customWidth="1"/>
    <col min="6404" max="6404" width="13.125" style="2" customWidth="1"/>
    <col min="6405" max="6405" width="24.75" style="2" customWidth="1"/>
    <col min="6406" max="6655" width="9" style="2"/>
    <col min="6656" max="6656" width="7.625" style="2" customWidth="1"/>
    <col min="6657" max="6657" width="7.5" style="2" customWidth="1"/>
    <col min="6658" max="6658" width="14.375" style="2" bestFit="1" customWidth="1"/>
    <col min="6659" max="6659" width="16.625" style="2" customWidth="1"/>
    <col min="6660" max="6660" width="13.125" style="2" customWidth="1"/>
    <col min="6661" max="6661" width="24.75" style="2" customWidth="1"/>
    <col min="6662" max="6911" width="9" style="2"/>
    <col min="6912" max="6912" width="7.625" style="2" customWidth="1"/>
    <col min="6913" max="6913" width="7.5" style="2" customWidth="1"/>
    <col min="6914" max="6914" width="14.375" style="2" bestFit="1" customWidth="1"/>
    <col min="6915" max="6915" width="16.625" style="2" customWidth="1"/>
    <col min="6916" max="6916" width="13.125" style="2" customWidth="1"/>
    <col min="6917" max="6917" width="24.75" style="2" customWidth="1"/>
    <col min="6918" max="7167" width="9" style="2"/>
    <col min="7168" max="7168" width="7.625" style="2" customWidth="1"/>
    <col min="7169" max="7169" width="7.5" style="2" customWidth="1"/>
    <col min="7170" max="7170" width="14.375" style="2" bestFit="1" customWidth="1"/>
    <col min="7171" max="7171" width="16.625" style="2" customWidth="1"/>
    <col min="7172" max="7172" width="13.125" style="2" customWidth="1"/>
    <col min="7173" max="7173" width="24.75" style="2" customWidth="1"/>
    <col min="7174" max="7423" width="9" style="2"/>
    <col min="7424" max="7424" width="7.625" style="2" customWidth="1"/>
    <col min="7425" max="7425" width="7.5" style="2" customWidth="1"/>
    <col min="7426" max="7426" width="14.375" style="2" bestFit="1" customWidth="1"/>
    <col min="7427" max="7427" width="16.625" style="2" customWidth="1"/>
    <col min="7428" max="7428" width="13.125" style="2" customWidth="1"/>
    <col min="7429" max="7429" width="24.75" style="2" customWidth="1"/>
    <col min="7430" max="7679" width="9" style="2"/>
    <col min="7680" max="7680" width="7.625" style="2" customWidth="1"/>
    <col min="7681" max="7681" width="7.5" style="2" customWidth="1"/>
    <col min="7682" max="7682" width="14.375" style="2" bestFit="1" customWidth="1"/>
    <col min="7683" max="7683" width="16.625" style="2" customWidth="1"/>
    <col min="7684" max="7684" width="13.125" style="2" customWidth="1"/>
    <col min="7685" max="7685" width="24.75" style="2" customWidth="1"/>
    <col min="7686" max="7935" width="9" style="2"/>
    <col min="7936" max="7936" width="7.625" style="2" customWidth="1"/>
    <col min="7937" max="7937" width="7.5" style="2" customWidth="1"/>
    <col min="7938" max="7938" width="14.375" style="2" bestFit="1" customWidth="1"/>
    <col min="7939" max="7939" width="16.625" style="2" customWidth="1"/>
    <col min="7940" max="7940" width="13.125" style="2" customWidth="1"/>
    <col min="7941" max="7941" width="24.75" style="2" customWidth="1"/>
    <col min="7942" max="8191" width="9" style="2"/>
    <col min="8192" max="8192" width="7.625" style="2" customWidth="1"/>
    <col min="8193" max="8193" width="7.5" style="2" customWidth="1"/>
    <col min="8194" max="8194" width="14.375" style="2" bestFit="1" customWidth="1"/>
    <col min="8195" max="8195" width="16.625" style="2" customWidth="1"/>
    <col min="8196" max="8196" width="13.125" style="2" customWidth="1"/>
    <col min="8197" max="8197" width="24.75" style="2" customWidth="1"/>
    <col min="8198" max="8447" width="9" style="2"/>
    <col min="8448" max="8448" width="7.625" style="2" customWidth="1"/>
    <col min="8449" max="8449" width="7.5" style="2" customWidth="1"/>
    <col min="8450" max="8450" width="14.375" style="2" bestFit="1" customWidth="1"/>
    <col min="8451" max="8451" width="16.625" style="2" customWidth="1"/>
    <col min="8452" max="8452" width="13.125" style="2" customWidth="1"/>
    <col min="8453" max="8453" width="24.75" style="2" customWidth="1"/>
    <col min="8454" max="8703" width="9" style="2"/>
    <col min="8704" max="8704" width="7.625" style="2" customWidth="1"/>
    <col min="8705" max="8705" width="7.5" style="2" customWidth="1"/>
    <col min="8706" max="8706" width="14.375" style="2" bestFit="1" customWidth="1"/>
    <col min="8707" max="8707" width="16.625" style="2" customWidth="1"/>
    <col min="8708" max="8708" width="13.125" style="2" customWidth="1"/>
    <col min="8709" max="8709" width="24.75" style="2" customWidth="1"/>
    <col min="8710" max="8959" width="9" style="2"/>
    <col min="8960" max="8960" width="7.625" style="2" customWidth="1"/>
    <col min="8961" max="8961" width="7.5" style="2" customWidth="1"/>
    <col min="8962" max="8962" width="14.375" style="2" bestFit="1" customWidth="1"/>
    <col min="8963" max="8963" width="16.625" style="2" customWidth="1"/>
    <col min="8964" max="8964" width="13.125" style="2" customWidth="1"/>
    <col min="8965" max="8965" width="24.75" style="2" customWidth="1"/>
    <col min="8966" max="9215" width="9" style="2"/>
    <col min="9216" max="9216" width="7.625" style="2" customWidth="1"/>
    <col min="9217" max="9217" width="7.5" style="2" customWidth="1"/>
    <col min="9218" max="9218" width="14.375" style="2" bestFit="1" customWidth="1"/>
    <col min="9219" max="9219" width="16.625" style="2" customWidth="1"/>
    <col min="9220" max="9220" width="13.125" style="2" customWidth="1"/>
    <col min="9221" max="9221" width="24.75" style="2" customWidth="1"/>
    <col min="9222" max="9471" width="9" style="2"/>
    <col min="9472" max="9472" width="7.625" style="2" customWidth="1"/>
    <col min="9473" max="9473" width="7.5" style="2" customWidth="1"/>
    <col min="9474" max="9474" width="14.375" style="2" bestFit="1" customWidth="1"/>
    <col min="9475" max="9475" width="16.625" style="2" customWidth="1"/>
    <col min="9476" max="9476" width="13.125" style="2" customWidth="1"/>
    <col min="9477" max="9477" width="24.75" style="2" customWidth="1"/>
    <col min="9478" max="9727" width="9" style="2"/>
    <col min="9728" max="9728" width="7.625" style="2" customWidth="1"/>
    <col min="9729" max="9729" width="7.5" style="2" customWidth="1"/>
    <col min="9730" max="9730" width="14.375" style="2" bestFit="1" customWidth="1"/>
    <col min="9731" max="9731" width="16.625" style="2" customWidth="1"/>
    <col min="9732" max="9732" width="13.125" style="2" customWidth="1"/>
    <col min="9733" max="9733" width="24.75" style="2" customWidth="1"/>
    <col min="9734" max="9983" width="9" style="2"/>
    <col min="9984" max="9984" width="7.625" style="2" customWidth="1"/>
    <col min="9985" max="9985" width="7.5" style="2" customWidth="1"/>
    <col min="9986" max="9986" width="14.375" style="2" bestFit="1" customWidth="1"/>
    <col min="9987" max="9987" width="16.625" style="2" customWidth="1"/>
    <col min="9988" max="9988" width="13.125" style="2" customWidth="1"/>
    <col min="9989" max="9989" width="24.75" style="2" customWidth="1"/>
    <col min="9990" max="10239" width="9" style="2"/>
    <col min="10240" max="10240" width="7.625" style="2" customWidth="1"/>
    <col min="10241" max="10241" width="7.5" style="2" customWidth="1"/>
    <col min="10242" max="10242" width="14.375" style="2" bestFit="1" customWidth="1"/>
    <col min="10243" max="10243" width="16.625" style="2" customWidth="1"/>
    <col min="10244" max="10244" width="13.125" style="2" customWidth="1"/>
    <col min="10245" max="10245" width="24.75" style="2" customWidth="1"/>
    <col min="10246" max="10495" width="9" style="2"/>
    <col min="10496" max="10496" width="7.625" style="2" customWidth="1"/>
    <col min="10497" max="10497" width="7.5" style="2" customWidth="1"/>
    <col min="10498" max="10498" width="14.375" style="2" bestFit="1" customWidth="1"/>
    <col min="10499" max="10499" width="16.625" style="2" customWidth="1"/>
    <col min="10500" max="10500" width="13.125" style="2" customWidth="1"/>
    <col min="10501" max="10501" width="24.75" style="2" customWidth="1"/>
    <col min="10502" max="10751" width="9" style="2"/>
    <col min="10752" max="10752" width="7.625" style="2" customWidth="1"/>
    <col min="10753" max="10753" width="7.5" style="2" customWidth="1"/>
    <col min="10754" max="10754" width="14.375" style="2" bestFit="1" customWidth="1"/>
    <col min="10755" max="10755" width="16.625" style="2" customWidth="1"/>
    <col min="10756" max="10756" width="13.125" style="2" customWidth="1"/>
    <col min="10757" max="10757" width="24.75" style="2" customWidth="1"/>
    <col min="10758" max="11007" width="9" style="2"/>
    <col min="11008" max="11008" width="7.625" style="2" customWidth="1"/>
    <col min="11009" max="11009" width="7.5" style="2" customWidth="1"/>
    <col min="11010" max="11010" width="14.375" style="2" bestFit="1" customWidth="1"/>
    <col min="11011" max="11011" width="16.625" style="2" customWidth="1"/>
    <col min="11012" max="11012" width="13.125" style="2" customWidth="1"/>
    <col min="11013" max="11013" width="24.75" style="2" customWidth="1"/>
    <col min="11014" max="11263" width="9" style="2"/>
    <col min="11264" max="11264" width="7.625" style="2" customWidth="1"/>
    <col min="11265" max="11265" width="7.5" style="2" customWidth="1"/>
    <col min="11266" max="11266" width="14.375" style="2" bestFit="1" customWidth="1"/>
    <col min="11267" max="11267" width="16.625" style="2" customWidth="1"/>
    <col min="11268" max="11268" width="13.125" style="2" customWidth="1"/>
    <col min="11269" max="11269" width="24.75" style="2" customWidth="1"/>
    <col min="11270" max="11519" width="9" style="2"/>
    <col min="11520" max="11520" width="7.625" style="2" customWidth="1"/>
    <col min="11521" max="11521" width="7.5" style="2" customWidth="1"/>
    <col min="11522" max="11522" width="14.375" style="2" bestFit="1" customWidth="1"/>
    <col min="11523" max="11523" width="16.625" style="2" customWidth="1"/>
    <col min="11524" max="11524" width="13.125" style="2" customWidth="1"/>
    <col min="11525" max="11525" width="24.75" style="2" customWidth="1"/>
    <col min="11526" max="11775" width="9" style="2"/>
    <col min="11776" max="11776" width="7.625" style="2" customWidth="1"/>
    <col min="11777" max="11777" width="7.5" style="2" customWidth="1"/>
    <col min="11778" max="11778" width="14.375" style="2" bestFit="1" customWidth="1"/>
    <col min="11779" max="11779" width="16.625" style="2" customWidth="1"/>
    <col min="11780" max="11780" width="13.125" style="2" customWidth="1"/>
    <col min="11781" max="11781" width="24.75" style="2" customWidth="1"/>
    <col min="11782" max="12031" width="9" style="2"/>
    <col min="12032" max="12032" width="7.625" style="2" customWidth="1"/>
    <col min="12033" max="12033" width="7.5" style="2" customWidth="1"/>
    <col min="12034" max="12034" width="14.375" style="2" bestFit="1" customWidth="1"/>
    <col min="12035" max="12035" width="16.625" style="2" customWidth="1"/>
    <col min="12036" max="12036" width="13.125" style="2" customWidth="1"/>
    <col min="12037" max="12037" width="24.75" style="2" customWidth="1"/>
    <col min="12038" max="12287" width="9" style="2"/>
    <col min="12288" max="12288" width="7.625" style="2" customWidth="1"/>
    <col min="12289" max="12289" width="7.5" style="2" customWidth="1"/>
    <col min="12290" max="12290" width="14.375" style="2" bestFit="1" customWidth="1"/>
    <col min="12291" max="12291" width="16.625" style="2" customWidth="1"/>
    <col min="12292" max="12292" width="13.125" style="2" customWidth="1"/>
    <col min="12293" max="12293" width="24.75" style="2" customWidth="1"/>
    <col min="12294" max="12543" width="9" style="2"/>
    <col min="12544" max="12544" width="7.625" style="2" customWidth="1"/>
    <col min="12545" max="12545" width="7.5" style="2" customWidth="1"/>
    <col min="12546" max="12546" width="14.375" style="2" bestFit="1" customWidth="1"/>
    <col min="12547" max="12547" width="16.625" style="2" customWidth="1"/>
    <col min="12548" max="12548" width="13.125" style="2" customWidth="1"/>
    <col min="12549" max="12549" width="24.75" style="2" customWidth="1"/>
    <col min="12550" max="12799" width="9" style="2"/>
    <col min="12800" max="12800" width="7.625" style="2" customWidth="1"/>
    <col min="12801" max="12801" width="7.5" style="2" customWidth="1"/>
    <col min="12802" max="12802" width="14.375" style="2" bestFit="1" customWidth="1"/>
    <col min="12803" max="12803" width="16.625" style="2" customWidth="1"/>
    <col min="12804" max="12804" width="13.125" style="2" customWidth="1"/>
    <col min="12805" max="12805" width="24.75" style="2" customWidth="1"/>
    <col min="12806" max="13055" width="9" style="2"/>
    <col min="13056" max="13056" width="7.625" style="2" customWidth="1"/>
    <col min="13057" max="13057" width="7.5" style="2" customWidth="1"/>
    <col min="13058" max="13058" width="14.375" style="2" bestFit="1" customWidth="1"/>
    <col min="13059" max="13059" width="16.625" style="2" customWidth="1"/>
    <col min="13060" max="13060" width="13.125" style="2" customWidth="1"/>
    <col min="13061" max="13061" width="24.75" style="2" customWidth="1"/>
    <col min="13062" max="13311" width="9" style="2"/>
    <col min="13312" max="13312" width="7.625" style="2" customWidth="1"/>
    <col min="13313" max="13313" width="7.5" style="2" customWidth="1"/>
    <col min="13314" max="13314" width="14.375" style="2" bestFit="1" customWidth="1"/>
    <col min="13315" max="13315" width="16.625" style="2" customWidth="1"/>
    <col min="13316" max="13316" width="13.125" style="2" customWidth="1"/>
    <col min="13317" max="13317" width="24.75" style="2" customWidth="1"/>
    <col min="13318" max="13567" width="9" style="2"/>
    <col min="13568" max="13568" width="7.625" style="2" customWidth="1"/>
    <col min="13569" max="13569" width="7.5" style="2" customWidth="1"/>
    <col min="13570" max="13570" width="14.375" style="2" bestFit="1" customWidth="1"/>
    <col min="13571" max="13571" width="16.625" style="2" customWidth="1"/>
    <col min="13572" max="13572" width="13.125" style="2" customWidth="1"/>
    <col min="13573" max="13573" width="24.75" style="2" customWidth="1"/>
    <col min="13574" max="13823" width="9" style="2"/>
    <col min="13824" max="13824" width="7.625" style="2" customWidth="1"/>
    <col min="13825" max="13825" width="7.5" style="2" customWidth="1"/>
    <col min="13826" max="13826" width="14.375" style="2" bestFit="1" customWidth="1"/>
    <col min="13827" max="13827" width="16.625" style="2" customWidth="1"/>
    <col min="13828" max="13828" width="13.125" style="2" customWidth="1"/>
    <col min="13829" max="13829" width="24.75" style="2" customWidth="1"/>
    <col min="13830" max="14079" width="9" style="2"/>
    <col min="14080" max="14080" width="7.625" style="2" customWidth="1"/>
    <col min="14081" max="14081" width="7.5" style="2" customWidth="1"/>
    <col min="14082" max="14082" width="14.375" style="2" bestFit="1" customWidth="1"/>
    <col min="14083" max="14083" width="16.625" style="2" customWidth="1"/>
    <col min="14084" max="14084" width="13.125" style="2" customWidth="1"/>
    <col min="14085" max="14085" width="24.75" style="2" customWidth="1"/>
    <col min="14086" max="14335" width="9" style="2"/>
    <col min="14336" max="14336" width="7.625" style="2" customWidth="1"/>
    <col min="14337" max="14337" width="7.5" style="2" customWidth="1"/>
    <col min="14338" max="14338" width="14.375" style="2" bestFit="1" customWidth="1"/>
    <col min="14339" max="14339" width="16.625" style="2" customWidth="1"/>
    <col min="14340" max="14340" width="13.125" style="2" customWidth="1"/>
    <col min="14341" max="14341" width="24.75" style="2" customWidth="1"/>
    <col min="14342" max="14591" width="9" style="2"/>
    <col min="14592" max="14592" width="7.625" style="2" customWidth="1"/>
    <col min="14593" max="14593" width="7.5" style="2" customWidth="1"/>
    <col min="14594" max="14594" width="14.375" style="2" bestFit="1" customWidth="1"/>
    <col min="14595" max="14595" width="16.625" style="2" customWidth="1"/>
    <col min="14596" max="14596" width="13.125" style="2" customWidth="1"/>
    <col min="14597" max="14597" width="24.75" style="2" customWidth="1"/>
    <col min="14598" max="14847" width="9" style="2"/>
    <col min="14848" max="14848" width="7.625" style="2" customWidth="1"/>
    <col min="14849" max="14849" width="7.5" style="2" customWidth="1"/>
    <col min="14850" max="14850" width="14.375" style="2" bestFit="1" customWidth="1"/>
    <col min="14851" max="14851" width="16.625" style="2" customWidth="1"/>
    <col min="14852" max="14852" width="13.125" style="2" customWidth="1"/>
    <col min="14853" max="14853" width="24.75" style="2" customWidth="1"/>
    <col min="14854" max="15103" width="9" style="2"/>
    <col min="15104" max="15104" width="7.625" style="2" customWidth="1"/>
    <col min="15105" max="15105" width="7.5" style="2" customWidth="1"/>
    <col min="15106" max="15106" width="14.375" style="2" bestFit="1" customWidth="1"/>
    <col min="15107" max="15107" width="16.625" style="2" customWidth="1"/>
    <col min="15108" max="15108" width="13.125" style="2" customWidth="1"/>
    <col min="15109" max="15109" width="24.75" style="2" customWidth="1"/>
    <col min="15110" max="15359" width="9" style="2"/>
    <col min="15360" max="15360" width="7.625" style="2" customWidth="1"/>
    <col min="15361" max="15361" width="7.5" style="2" customWidth="1"/>
    <col min="15362" max="15362" width="14.375" style="2" bestFit="1" customWidth="1"/>
    <col min="15363" max="15363" width="16.625" style="2" customWidth="1"/>
    <col min="15364" max="15364" width="13.125" style="2" customWidth="1"/>
    <col min="15365" max="15365" width="24.75" style="2" customWidth="1"/>
    <col min="15366" max="15615" width="9" style="2"/>
    <col min="15616" max="15616" width="7.625" style="2" customWidth="1"/>
    <col min="15617" max="15617" width="7.5" style="2" customWidth="1"/>
    <col min="15618" max="15618" width="14.375" style="2" bestFit="1" customWidth="1"/>
    <col min="15619" max="15619" width="16.625" style="2" customWidth="1"/>
    <col min="15620" max="15620" width="13.125" style="2" customWidth="1"/>
    <col min="15621" max="15621" width="24.75" style="2" customWidth="1"/>
    <col min="15622" max="15871" width="9" style="2"/>
    <col min="15872" max="15872" width="7.625" style="2" customWidth="1"/>
    <col min="15873" max="15873" width="7.5" style="2" customWidth="1"/>
    <col min="15874" max="15874" width="14.375" style="2" bestFit="1" customWidth="1"/>
    <col min="15875" max="15875" width="16.625" style="2" customWidth="1"/>
    <col min="15876" max="15876" width="13.125" style="2" customWidth="1"/>
    <col min="15877" max="15877" width="24.75" style="2" customWidth="1"/>
    <col min="15878" max="16127" width="9" style="2"/>
    <col min="16128" max="16128" width="7.625" style="2" customWidth="1"/>
    <col min="16129" max="16129" width="7.5" style="2" customWidth="1"/>
    <col min="16130" max="16130" width="14.375" style="2" bestFit="1" customWidth="1"/>
    <col min="16131" max="16131" width="16.625" style="2" customWidth="1"/>
    <col min="16132" max="16132" width="13.125" style="2" customWidth="1"/>
    <col min="16133" max="16133" width="24.75" style="2" customWidth="1"/>
    <col min="16134" max="16384" width="9" style="2"/>
  </cols>
  <sheetData>
    <row r="1" spans="1:5" ht="28.5" customHeight="1" x14ac:dyDescent="0.3">
      <c r="A1" s="45" t="s">
        <v>57</v>
      </c>
      <c r="B1" s="45"/>
      <c r="C1" s="45"/>
      <c r="D1" s="45"/>
      <c r="E1" s="45"/>
    </row>
    <row r="2" spans="1:5" ht="15" customHeight="1" x14ac:dyDescent="0.3"/>
    <row r="3" spans="1:5" ht="20.100000000000001" customHeight="1" x14ac:dyDescent="0.3">
      <c r="A3" s="20" t="s">
        <v>69</v>
      </c>
      <c r="B3" s="20" t="s">
        <v>0</v>
      </c>
      <c r="C3" s="20" t="s">
        <v>67</v>
      </c>
      <c r="D3" s="20" t="s">
        <v>1</v>
      </c>
      <c r="E3" s="20" t="s">
        <v>2</v>
      </c>
    </row>
    <row r="4" spans="1:5" x14ac:dyDescent="0.3">
      <c r="A4" s="20" t="s">
        <v>3</v>
      </c>
      <c r="B4" s="20" t="s">
        <v>4</v>
      </c>
      <c r="C4" s="20" t="s">
        <v>138</v>
      </c>
      <c r="D4" s="20" t="s">
        <v>5</v>
      </c>
      <c r="E4" s="20" t="s">
        <v>136</v>
      </c>
    </row>
    <row r="5" spans="1:5" x14ac:dyDescent="0.3">
      <c r="A5" s="20" t="s">
        <v>6</v>
      </c>
      <c r="B5" s="20" t="s">
        <v>7</v>
      </c>
      <c r="C5" s="20" t="s">
        <v>11</v>
      </c>
      <c r="D5" s="20" t="s">
        <v>8</v>
      </c>
      <c r="E5" s="20" t="s">
        <v>140</v>
      </c>
    </row>
    <row r="6" spans="1:5" x14ac:dyDescent="0.3">
      <c r="A6" s="20" t="s">
        <v>9</v>
      </c>
      <c r="B6" s="20" t="s">
        <v>10</v>
      </c>
      <c r="C6" s="20" t="s">
        <v>11</v>
      </c>
      <c r="D6" s="20" t="s">
        <v>12</v>
      </c>
      <c r="E6" s="20" t="s">
        <v>140</v>
      </c>
    </row>
    <row r="7" spans="1:5" x14ac:dyDescent="0.3">
      <c r="A7" s="20" t="s">
        <v>13</v>
      </c>
      <c r="B7" s="20" t="s">
        <v>14</v>
      </c>
      <c r="C7" s="20" t="s">
        <v>138</v>
      </c>
      <c r="D7" s="20" t="s">
        <v>15</v>
      </c>
      <c r="E7" s="20" t="s">
        <v>136</v>
      </c>
    </row>
    <row r="8" spans="1:5" x14ac:dyDescent="0.3">
      <c r="A8" s="20" t="s">
        <v>16</v>
      </c>
      <c r="B8" s="20" t="s">
        <v>17</v>
      </c>
      <c r="C8" s="20" t="s">
        <v>142</v>
      </c>
      <c r="D8" s="20" t="s">
        <v>18</v>
      </c>
      <c r="E8" s="20" t="s">
        <v>143</v>
      </c>
    </row>
    <row r="9" spans="1:5" x14ac:dyDescent="0.3">
      <c r="A9" s="20" t="s">
        <v>132</v>
      </c>
      <c r="B9" s="20" t="s">
        <v>133</v>
      </c>
      <c r="C9" s="20" t="s">
        <v>134</v>
      </c>
      <c r="D9" s="20" t="s">
        <v>135</v>
      </c>
      <c r="E9" s="20" t="s">
        <v>139</v>
      </c>
    </row>
    <row r="10" spans="1:5" x14ac:dyDescent="0.3">
      <c r="A10" s="20" t="s">
        <v>129</v>
      </c>
      <c r="B10" s="20" t="s">
        <v>130</v>
      </c>
      <c r="C10" s="20" t="s">
        <v>137</v>
      </c>
      <c r="D10" s="20" t="s">
        <v>131</v>
      </c>
      <c r="E10" s="20" t="s">
        <v>144</v>
      </c>
    </row>
    <row r="11" spans="1:5" x14ac:dyDescent="0.3">
      <c r="A11" s="20" t="s">
        <v>126</v>
      </c>
      <c r="B11" s="20" t="s">
        <v>127</v>
      </c>
      <c r="C11" s="20" t="s">
        <v>138</v>
      </c>
      <c r="D11" s="20" t="s">
        <v>128</v>
      </c>
      <c r="E11" s="20" t="s">
        <v>136</v>
      </c>
    </row>
    <row r="12" spans="1:5" x14ac:dyDescent="0.3">
      <c r="A12" s="20" t="s">
        <v>20</v>
      </c>
      <c r="B12" s="20" t="s">
        <v>21</v>
      </c>
      <c r="C12" s="20" t="s">
        <v>142</v>
      </c>
      <c r="D12" s="20" t="s">
        <v>22</v>
      </c>
      <c r="E12" s="20" t="s">
        <v>143</v>
      </c>
    </row>
    <row r="13" spans="1:5" x14ac:dyDescent="0.3">
      <c r="A13" s="20" t="s">
        <v>23</v>
      </c>
      <c r="B13" s="20" t="s">
        <v>24</v>
      </c>
      <c r="C13" s="20" t="s">
        <v>19</v>
      </c>
      <c r="D13" s="20" t="s">
        <v>25</v>
      </c>
      <c r="E13" s="20" t="s">
        <v>139</v>
      </c>
    </row>
    <row r="14" spans="1:5" x14ac:dyDescent="0.3">
      <c r="A14" s="20" t="s">
        <v>26</v>
      </c>
      <c r="B14" s="20" t="s">
        <v>27</v>
      </c>
      <c r="C14" s="20" t="s">
        <v>142</v>
      </c>
      <c r="D14" s="20" t="s">
        <v>28</v>
      </c>
      <c r="E14" s="20" t="s">
        <v>143</v>
      </c>
    </row>
    <row r="15" spans="1:5" x14ac:dyDescent="0.3">
      <c r="A15" s="20" t="s">
        <v>29</v>
      </c>
      <c r="B15" s="20" t="s">
        <v>30</v>
      </c>
      <c r="C15" s="20" t="s">
        <v>11</v>
      </c>
      <c r="D15" s="20" t="s">
        <v>31</v>
      </c>
      <c r="E15" s="20" t="s">
        <v>140</v>
      </c>
    </row>
    <row r="16" spans="1:5" x14ac:dyDescent="0.3">
      <c r="A16" s="20" t="s">
        <v>32</v>
      </c>
      <c r="B16" s="20" t="s">
        <v>33</v>
      </c>
      <c r="C16" s="20" t="s">
        <v>142</v>
      </c>
      <c r="D16" s="20" t="s">
        <v>34</v>
      </c>
      <c r="E16" s="20" t="s">
        <v>143</v>
      </c>
    </row>
    <row r="17" spans="1:5" x14ac:dyDescent="0.3">
      <c r="A17" s="20" t="s">
        <v>35</v>
      </c>
      <c r="B17" s="20" t="s">
        <v>36</v>
      </c>
      <c r="C17" s="20" t="s">
        <v>19</v>
      </c>
      <c r="D17" s="20" t="s">
        <v>37</v>
      </c>
      <c r="E17" s="20" t="s">
        <v>139</v>
      </c>
    </row>
    <row r="18" spans="1:5" x14ac:dyDescent="0.3">
      <c r="A18" s="20" t="s">
        <v>38</v>
      </c>
      <c r="B18" s="20" t="s">
        <v>39</v>
      </c>
      <c r="C18" s="20" t="s">
        <v>137</v>
      </c>
      <c r="D18" s="20" t="s">
        <v>40</v>
      </c>
      <c r="E18" s="20" t="s">
        <v>144</v>
      </c>
    </row>
    <row r="19" spans="1:5" x14ac:dyDescent="0.3">
      <c r="A19" s="20" t="s">
        <v>41</v>
      </c>
      <c r="B19" s="20" t="s">
        <v>42</v>
      </c>
      <c r="C19" s="20" t="s">
        <v>138</v>
      </c>
      <c r="D19" s="20" t="s">
        <v>43</v>
      </c>
      <c r="E19" s="20" t="s">
        <v>136</v>
      </c>
    </row>
    <row r="20" spans="1:5" x14ac:dyDescent="0.3">
      <c r="A20" s="20" t="s">
        <v>44</v>
      </c>
      <c r="B20" s="20" t="s">
        <v>45</v>
      </c>
      <c r="C20" s="20" t="s">
        <v>19</v>
      </c>
      <c r="D20" s="20" t="s">
        <v>46</v>
      </c>
      <c r="E20" s="20" t="s">
        <v>139</v>
      </c>
    </row>
    <row r="21" spans="1:5" x14ac:dyDescent="0.3">
      <c r="A21" s="20" t="s">
        <v>47</v>
      </c>
      <c r="B21" s="20" t="s">
        <v>48</v>
      </c>
      <c r="C21" s="20" t="s">
        <v>142</v>
      </c>
      <c r="D21" s="20" t="s">
        <v>49</v>
      </c>
      <c r="E21" s="20" t="s">
        <v>143</v>
      </c>
    </row>
    <row r="22" spans="1:5" x14ac:dyDescent="0.3">
      <c r="A22" s="20" t="s">
        <v>50</v>
      </c>
      <c r="B22" s="20" t="s">
        <v>51</v>
      </c>
      <c r="C22" s="20" t="s">
        <v>52</v>
      </c>
      <c r="D22" s="20" t="s">
        <v>53</v>
      </c>
      <c r="E22" s="34" t="s">
        <v>141</v>
      </c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4"/>
  </sheetPr>
  <dimension ref="A1:H15"/>
  <sheetViews>
    <sheetView showGridLines="0" workbookViewId="0">
      <selection activeCell="H4" sqref="H4"/>
    </sheetView>
  </sheetViews>
  <sheetFormatPr defaultRowHeight="13.5" x14ac:dyDescent="0.3"/>
  <cols>
    <col min="1" max="1" width="8.875" style="2" customWidth="1"/>
    <col min="2" max="2" width="11.5" style="3" customWidth="1"/>
    <col min="3" max="3" width="18.625" style="3" bestFit="1" customWidth="1"/>
    <col min="4" max="4" width="15.75" style="3" customWidth="1"/>
    <col min="5" max="5" width="13.875" style="3" customWidth="1"/>
    <col min="6" max="6" width="13.5" style="3" customWidth="1"/>
    <col min="7" max="8" width="9.125" style="3" customWidth="1"/>
    <col min="9" max="257" width="9" style="2"/>
    <col min="258" max="258" width="10.375" style="2" bestFit="1" customWidth="1"/>
    <col min="259" max="259" width="11.625" style="2" bestFit="1" customWidth="1"/>
    <col min="260" max="260" width="13.25" style="2" customWidth="1"/>
    <col min="261" max="261" width="12.125" style="2" bestFit="1" customWidth="1"/>
    <col min="262" max="262" width="9" style="2" bestFit="1" customWidth="1"/>
    <col min="263" max="263" width="9" style="2" customWidth="1"/>
    <col min="264" max="264" width="8.125" style="2" customWidth="1"/>
    <col min="265" max="513" width="9" style="2"/>
    <col min="514" max="514" width="10.375" style="2" bestFit="1" customWidth="1"/>
    <col min="515" max="515" width="11.625" style="2" bestFit="1" customWidth="1"/>
    <col min="516" max="516" width="13.25" style="2" customWidth="1"/>
    <col min="517" max="517" width="12.125" style="2" bestFit="1" customWidth="1"/>
    <col min="518" max="518" width="9" style="2" bestFit="1" customWidth="1"/>
    <col min="519" max="519" width="9" style="2" customWidth="1"/>
    <col min="520" max="520" width="8.125" style="2" customWidth="1"/>
    <col min="521" max="769" width="9" style="2"/>
    <col min="770" max="770" width="10.375" style="2" bestFit="1" customWidth="1"/>
    <col min="771" max="771" width="11.625" style="2" bestFit="1" customWidth="1"/>
    <col min="772" max="772" width="13.25" style="2" customWidth="1"/>
    <col min="773" max="773" width="12.125" style="2" bestFit="1" customWidth="1"/>
    <col min="774" max="774" width="9" style="2" bestFit="1" customWidth="1"/>
    <col min="775" max="775" width="9" style="2" customWidth="1"/>
    <col min="776" max="776" width="8.125" style="2" customWidth="1"/>
    <col min="777" max="1025" width="9" style="2"/>
    <col min="1026" max="1026" width="10.375" style="2" bestFit="1" customWidth="1"/>
    <col min="1027" max="1027" width="11.625" style="2" bestFit="1" customWidth="1"/>
    <col min="1028" max="1028" width="13.25" style="2" customWidth="1"/>
    <col min="1029" max="1029" width="12.125" style="2" bestFit="1" customWidth="1"/>
    <col min="1030" max="1030" width="9" style="2" bestFit="1" customWidth="1"/>
    <col min="1031" max="1031" width="9" style="2" customWidth="1"/>
    <col min="1032" max="1032" width="8.125" style="2" customWidth="1"/>
    <col min="1033" max="1281" width="9" style="2"/>
    <col min="1282" max="1282" width="10.375" style="2" bestFit="1" customWidth="1"/>
    <col min="1283" max="1283" width="11.625" style="2" bestFit="1" customWidth="1"/>
    <col min="1284" max="1284" width="13.25" style="2" customWidth="1"/>
    <col min="1285" max="1285" width="12.125" style="2" bestFit="1" customWidth="1"/>
    <col min="1286" max="1286" width="9" style="2" bestFit="1" customWidth="1"/>
    <col min="1287" max="1287" width="9" style="2" customWidth="1"/>
    <col min="1288" max="1288" width="8.125" style="2" customWidth="1"/>
    <col min="1289" max="1537" width="9" style="2"/>
    <col min="1538" max="1538" width="10.375" style="2" bestFit="1" customWidth="1"/>
    <col min="1539" max="1539" width="11.625" style="2" bestFit="1" customWidth="1"/>
    <col min="1540" max="1540" width="13.25" style="2" customWidth="1"/>
    <col min="1541" max="1541" width="12.125" style="2" bestFit="1" customWidth="1"/>
    <col min="1542" max="1542" width="9" style="2" bestFit="1" customWidth="1"/>
    <col min="1543" max="1543" width="9" style="2" customWidth="1"/>
    <col min="1544" max="1544" width="8.125" style="2" customWidth="1"/>
    <col min="1545" max="1793" width="9" style="2"/>
    <col min="1794" max="1794" width="10.375" style="2" bestFit="1" customWidth="1"/>
    <col min="1795" max="1795" width="11.625" style="2" bestFit="1" customWidth="1"/>
    <col min="1796" max="1796" width="13.25" style="2" customWidth="1"/>
    <col min="1797" max="1797" width="12.125" style="2" bestFit="1" customWidth="1"/>
    <col min="1798" max="1798" width="9" style="2" bestFit="1" customWidth="1"/>
    <col min="1799" max="1799" width="9" style="2" customWidth="1"/>
    <col min="1800" max="1800" width="8.125" style="2" customWidth="1"/>
    <col min="1801" max="2049" width="9" style="2"/>
    <col min="2050" max="2050" width="10.375" style="2" bestFit="1" customWidth="1"/>
    <col min="2051" max="2051" width="11.625" style="2" bestFit="1" customWidth="1"/>
    <col min="2052" max="2052" width="13.25" style="2" customWidth="1"/>
    <col min="2053" max="2053" width="12.125" style="2" bestFit="1" customWidth="1"/>
    <col min="2054" max="2054" width="9" style="2" bestFit="1" customWidth="1"/>
    <col min="2055" max="2055" width="9" style="2" customWidth="1"/>
    <col min="2056" max="2056" width="8.125" style="2" customWidth="1"/>
    <col min="2057" max="2305" width="9" style="2"/>
    <col min="2306" max="2306" width="10.375" style="2" bestFit="1" customWidth="1"/>
    <col min="2307" max="2307" width="11.625" style="2" bestFit="1" customWidth="1"/>
    <col min="2308" max="2308" width="13.25" style="2" customWidth="1"/>
    <col min="2309" max="2309" width="12.125" style="2" bestFit="1" customWidth="1"/>
    <col min="2310" max="2310" width="9" style="2" bestFit="1" customWidth="1"/>
    <col min="2311" max="2311" width="9" style="2" customWidth="1"/>
    <col min="2312" max="2312" width="8.125" style="2" customWidth="1"/>
    <col min="2313" max="2561" width="9" style="2"/>
    <col min="2562" max="2562" width="10.375" style="2" bestFit="1" customWidth="1"/>
    <col min="2563" max="2563" width="11.625" style="2" bestFit="1" customWidth="1"/>
    <col min="2564" max="2564" width="13.25" style="2" customWidth="1"/>
    <col min="2565" max="2565" width="12.125" style="2" bestFit="1" customWidth="1"/>
    <col min="2566" max="2566" width="9" style="2" bestFit="1" customWidth="1"/>
    <col min="2567" max="2567" width="9" style="2" customWidth="1"/>
    <col min="2568" max="2568" width="8.125" style="2" customWidth="1"/>
    <col min="2569" max="2817" width="9" style="2"/>
    <col min="2818" max="2818" width="10.375" style="2" bestFit="1" customWidth="1"/>
    <col min="2819" max="2819" width="11.625" style="2" bestFit="1" customWidth="1"/>
    <col min="2820" max="2820" width="13.25" style="2" customWidth="1"/>
    <col min="2821" max="2821" width="12.125" style="2" bestFit="1" customWidth="1"/>
    <col min="2822" max="2822" width="9" style="2" bestFit="1" customWidth="1"/>
    <col min="2823" max="2823" width="9" style="2" customWidth="1"/>
    <col min="2824" max="2824" width="8.125" style="2" customWidth="1"/>
    <col min="2825" max="3073" width="9" style="2"/>
    <col min="3074" max="3074" width="10.375" style="2" bestFit="1" customWidth="1"/>
    <col min="3075" max="3075" width="11.625" style="2" bestFit="1" customWidth="1"/>
    <col min="3076" max="3076" width="13.25" style="2" customWidth="1"/>
    <col min="3077" max="3077" width="12.125" style="2" bestFit="1" customWidth="1"/>
    <col min="3078" max="3078" width="9" style="2" bestFit="1" customWidth="1"/>
    <col min="3079" max="3079" width="9" style="2" customWidth="1"/>
    <col min="3080" max="3080" width="8.125" style="2" customWidth="1"/>
    <col min="3081" max="3329" width="9" style="2"/>
    <col min="3330" max="3330" width="10.375" style="2" bestFit="1" customWidth="1"/>
    <col min="3331" max="3331" width="11.625" style="2" bestFit="1" customWidth="1"/>
    <col min="3332" max="3332" width="13.25" style="2" customWidth="1"/>
    <col min="3333" max="3333" width="12.125" style="2" bestFit="1" customWidth="1"/>
    <col min="3334" max="3334" width="9" style="2" bestFit="1" customWidth="1"/>
    <col min="3335" max="3335" width="9" style="2" customWidth="1"/>
    <col min="3336" max="3336" width="8.125" style="2" customWidth="1"/>
    <col min="3337" max="3585" width="9" style="2"/>
    <col min="3586" max="3586" width="10.375" style="2" bestFit="1" customWidth="1"/>
    <col min="3587" max="3587" width="11.625" style="2" bestFit="1" customWidth="1"/>
    <col min="3588" max="3588" width="13.25" style="2" customWidth="1"/>
    <col min="3589" max="3589" width="12.125" style="2" bestFit="1" customWidth="1"/>
    <col min="3590" max="3590" width="9" style="2" bestFit="1" customWidth="1"/>
    <col min="3591" max="3591" width="9" style="2" customWidth="1"/>
    <col min="3592" max="3592" width="8.125" style="2" customWidth="1"/>
    <col min="3593" max="3841" width="9" style="2"/>
    <col min="3842" max="3842" width="10.375" style="2" bestFit="1" customWidth="1"/>
    <col min="3843" max="3843" width="11.625" style="2" bestFit="1" customWidth="1"/>
    <col min="3844" max="3844" width="13.25" style="2" customWidth="1"/>
    <col min="3845" max="3845" width="12.125" style="2" bestFit="1" customWidth="1"/>
    <col min="3846" max="3846" width="9" style="2" bestFit="1" customWidth="1"/>
    <col min="3847" max="3847" width="9" style="2" customWidth="1"/>
    <col min="3848" max="3848" width="8.125" style="2" customWidth="1"/>
    <col min="3849" max="4097" width="9" style="2"/>
    <col min="4098" max="4098" width="10.375" style="2" bestFit="1" customWidth="1"/>
    <col min="4099" max="4099" width="11.625" style="2" bestFit="1" customWidth="1"/>
    <col min="4100" max="4100" width="13.25" style="2" customWidth="1"/>
    <col min="4101" max="4101" width="12.125" style="2" bestFit="1" customWidth="1"/>
    <col min="4102" max="4102" width="9" style="2" bestFit="1" customWidth="1"/>
    <col min="4103" max="4103" width="9" style="2" customWidth="1"/>
    <col min="4104" max="4104" width="8.125" style="2" customWidth="1"/>
    <col min="4105" max="4353" width="9" style="2"/>
    <col min="4354" max="4354" width="10.375" style="2" bestFit="1" customWidth="1"/>
    <col min="4355" max="4355" width="11.625" style="2" bestFit="1" customWidth="1"/>
    <col min="4356" max="4356" width="13.25" style="2" customWidth="1"/>
    <col min="4357" max="4357" width="12.125" style="2" bestFit="1" customWidth="1"/>
    <col min="4358" max="4358" width="9" style="2" bestFit="1" customWidth="1"/>
    <col min="4359" max="4359" width="9" style="2" customWidth="1"/>
    <col min="4360" max="4360" width="8.125" style="2" customWidth="1"/>
    <col min="4361" max="4609" width="9" style="2"/>
    <col min="4610" max="4610" width="10.375" style="2" bestFit="1" customWidth="1"/>
    <col min="4611" max="4611" width="11.625" style="2" bestFit="1" customWidth="1"/>
    <col min="4612" max="4612" width="13.25" style="2" customWidth="1"/>
    <col min="4613" max="4613" width="12.125" style="2" bestFit="1" customWidth="1"/>
    <col min="4614" max="4614" width="9" style="2" bestFit="1" customWidth="1"/>
    <col min="4615" max="4615" width="9" style="2" customWidth="1"/>
    <col min="4616" max="4616" width="8.125" style="2" customWidth="1"/>
    <col min="4617" max="4865" width="9" style="2"/>
    <col min="4866" max="4866" width="10.375" style="2" bestFit="1" customWidth="1"/>
    <col min="4867" max="4867" width="11.625" style="2" bestFit="1" customWidth="1"/>
    <col min="4868" max="4868" width="13.25" style="2" customWidth="1"/>
    <col min="4869" max="4869" width="12.125" style="2" bestFit="1" customWidth="1"/>
    <col min="4870" max="4870" width="9" style="2" bestFit="1" customWidth="1"/>
    <col min="4871" max="4871" width="9" style="2" customWidth="1"/>
    <col min="4872" max="4872" width="8.125" style="2" customWidth="1"/>
    <col min="4873" max="5121" width="9" style="2"/>
    <col min="5122" max="5122" width="10.375" style="2" bestFit="1" customWidth="1"/>
    <col min="5123" max="5123" width="11.625" style="2" bestFit="1" customWidth="1"/>
    <col min="5124" max="5124" width="13.25" style="2" customWidth="1"/>
    <col min="5125" max="5125" width="12.125" style="2" bestFit="1" customWidth="1"/>
    <col min="5126" max="5126" width="9" style="2" bestFit="1" customWidth="1"/>
    <col min="5127" max="5127" width="9" style="2" customWidth="1"/>
    <col min="5128" max="5128" width="8.125" style="2" customWidth="1"/>
    <col min="5129" max="5377" width="9" style="2"/>
    <col min="5378" max="5378" width="10.375" style="2" bestFit="1" customWidth="1"/>
    <col min="5379" max="5379" width="11.625" style="2" bestFit="1" customWidth="1"/>
    <col min="5380" max="5380" width="13.25" style="2" customWidth="1"/>
    <col min="5381" max="5381" width="12.125" style="2" bestFit="1" customWidth="1"/>
    <col min="5382" max="5382" width="9" style="2" bestFit="1" customWidth="1"/>
    <col min="5383" max="5383" width="9" style="2" customWidth="1"/>
    <col min="5384" max="5384" width="8.125" style="2" customWidth="1"/>
    <col min="5385" max="5633" width="9" style="2"/>
    <col min="5634" max="5634" width="10.375" style="2" bestFit="1" customWidth="1"/>
    <col min="5635" max="5635" width="11.625" style="2" bestFit="1" customWidth="1"/>
    <col min="5636" max="5636" width="13.25" style="2" customWidth="1"/>
    <col min="5637" max="5637" width="12.125" style="2" bestFit="1" customWidth="1"/>
    <col min="5638" max="5638" width="9" style="2" bestFit="1" customWidth="1"/>
    <col min="5639" max="5639" width="9" style="2" customWidth="1"/>
    <col min="5640" max="5640" width="8.125" style="2" customWidth="1"/>
    <col min="5641" max="5889" width="9" style="2"/>
    <col min="5890" max="5890" width="10.375" style="2" bestFit="1" customWidth="1"/>
    <col min="5891" max="5891" width="11.625" style="2" bestFit="1" customWidth="1"/>
    <col min="5892" max="5892" width="13.25" style="2" customWidth="1"/>
    <col min="5893" max="5893" width="12.125" style="2" bestFit="1" customWidth="1"/>
    <col min="5894" max="5894" width="9" style="2" bestFit="1" customWidth="1"/>
    <col min="5895" max="5895" width="9" style="2" customWidth="1"/>
    <col min="5896" max="5896" width="8.125" style="2" customWidth="1"/>
    <col min="5897" max="6145" width="9" style="2"/>
    <col min="6146" max="6146" width="10.375" style="2" bestFit="1" customWidth="1"/>
    <col min="6147" max="6147" width="11.625" style="2" bestFit="1" customWidth="1"/>
    <col min="6148" max="6148" width="13.25" style="2" customWidth="1"/>
    <col min="6149" max="6149" width="12.125" style="2" bestFit="1" customWidth="1"/>
    <col min="6150" max="6150" width="9" style="2" bestFit="1" customWidth="1"/>
    <col min="6151" max="6151" width="9" style="2" customWidth="1"/>
    <col min="6152" max="6152" width="8.125" style="2" customWidth="1"/>
    <col min="6153" max="6401" width="9" style="2"/>
    <col min="6402" max="6402" width="10.375" style="2" bestFit="1" customWidth="1"/>
    <col min="6403" max="6403" width="11.625" style="2" bestFit="1" customWidth="1"/>
    <col min="6404" max="6404" width="13.25" style="2" customWidth="1"/>
    <col min="6405" max="6405" width="12.125" style="2" bestFit="1" customWidth="1"/>
    <col min="6406" max="6406" width="9" style="2" bestFit="1" customWidth="1"/>
    <col min="6407" max="6407" width="9" style="2" customWidth="1"/>
    <col min="6408" max="6408" width="8.125" style="2" customWidth="1"/>
    <col min="6409" max="6657" width="9" style="2"/>
    <col min="6658" max="6658" width="10.375" style="2" bestFit="1" customWidth="1"/>
    <col min="6659" max="6659" width="11.625" style="2" bestFit="1" customWidth="1"/>
    <col min="6660" max="6660" width="13.25" style="2" customWidth="1"/>
    <col min="6661" max="6661" width="12.125" style="2" bestFit="1" customWidth="1"/>
    <col min="6662" max="6662" width="9" style="2" bestFit="1" customWidth="1"/>
    <col min="6663" max="6663" width="9" style="2" customWidth="1"/>
    <col min="6664" max="6664" width="8.125" style="2" customWidth="1"/>
    <col min="6665" max="6913" width="9" style="2"/>
    <col min="6914" max="6914" width="10.375" style="2" bestFit="1" customWidth="1"/>
    <col min="6915" max="6915" width="11.625" style="2" bestFit="1" customWidth="1"/>
    <col min="6916" max="6916" width="13.25" style="2" customWidth="1"/>
    <col min="6917" max="6917" width="12.125" style="2" bestFit="1" customWidth="1"/>
    <col min="6918" max="6918" width="9" style="2" bestFit="1" customWidth="1"/>
    <col min="6919" max="6919" width="9" style="2" customWidth="1"/>
    <col min="6920" max="6920" width="8.125" style="2" customWidth="1"/>
    <col min="6921" max="7169" width="9" style="2"/>
    <col min="7170" max="7170" width="10.375" style="2" bestFit="1" customWidth="1"/>
    <col min="7171" max="7171" width="11.625" style="2" bestFit="1" customWidth="1"/>
    <col min="7172" max="7172" width="13.25" style="2" customWidth="1"/>
    <col min="7173" max="7173" width="12.125" style="2" bestFit="1" customWidth="1"/>
    <col min="7174" max="7174" width="9" style="2" bestFit="1" customWidth="1"/>
    <col min="7175" max="7175" width="9" style="2" customWidth="1"/>
    <col min="7176" max="7176" width="8.125" style="2" customWidth="1"/>
    <col min="7177" max="7425" width="9" style="2"/>
    <col min="7426" max="7426" width="10.375" style="2" bestFit="1" customWidth="1"/>
    <col min="7427" max="7427" width="11.625" style="2" bestFit="1" customWidth="1"/>
    <col min="7428" max="7428" width="13.25" style="2" customWidth="1"/>
    <col min="7429" max="7429" width="12.125" style="2" bestFit="1" customWidth="1"/>
    <col min="7430" max="7430" width="9" style="2" bestFit="1" customWidth="1"/>
    <col min="7431" max="7431" width="9" style="2" customWidth="1"/>
    <col min="7432" max="7432" width="8.125" style="2" customWidth="1"/>
    <col min="7433" max="7681" width="9" style="2"/>
    <col min="7682" max="7682" width="10.375" style="2" bestFit="1" customWidth="1"/>
    <col min="7683" max="7683" width="11.625" style="2" bestFit="1" customWidth="1"/>
    <col min="7684" max="7684" width="13.25" style="2" customWidth="1"/>
    <col min="7685" max="7685" width="12.125" style="2" bestFit="1" customWidth="1"/>
    <col min="7686" max="7686" width="9" style="2" bestFit="1" customWidth="1"/>
    <col min="7687" max="7687" width="9" style="2" customWidth="1"/>
    <col min="7688" max="7688" width="8.125" style="2" customWidth="1"/>
    <col min="7689" max="7937" width="9" style="2"/>
    <col min="7938" max="7938" width="10.375" style="2" bestFit="1" customWidth="1"/>
    <col min="7939" max="7939" width="11.625" style="2" bestFit="1" customWidth="1"/>
    <col min="7940" max="7940" width="13.25" style="2" customWidth="1"/>
    <col min="7941" max="7941" width="12.125" style="2" bestFit="1" customWidth="1"/>
    <col min="7942" max="7942" width="9" style="2" bestFit="1" customWidth="1"/>
    <col min="7943" max="7943" width="9" style="2" customWidth="1"/>
    <col min="7944" max="7944" width="8.125" style="2" customWidth="1"/>
    <col min="7945" max="8193" width="9" style="2"/>
    <col min="8194" max="8194" width="10.375" style="2" bestFit="1" customWidth="1"/>
    <col min="8195" max="8195" width="11.625" style="2" bestFit="1" customWidth="1"/>
    <col min="8196" max="8196" width="13.25" style="2" customWidth="1"/>
    <col min="8197" max="8197" width="12.125" style="2" bestFit="1" customWidth="1"/>
    <col min="8198" max="8198" width="9" style="2" bestFit="1" customWidth="1"/>
    <col min="8199" max="8199" width="9" style="2" customWidth="1"/>
    <col min="8200" max="8200" width="8.125" style="2" customWidth="1"/>
    <col min="8201" max="8449" width="9" style="2"/>
    <col min="8450" max="8450" width="10.375" style="2" bestFit="1" customWidth="1"/>
    <col min="8451" max="8451" width="11.625" style="2" bestFit="1" customWidth="1"/>
    <col min="8452" max="8452" width="13.25" style="2" customWidth="1"/>
    <col min="8453" max="8453" width="12.125" style="2" bestFit="1" customWidth="1"/>
    <col min="8454" max="8454" width="9" style="2" bestFit="1" customWidth="1"/>
    <col min="8455" max="8455" width="9" style="2" customWidth="1"/>
    <col min="8456" max="8456" width="8.125" style="2" customWidth="1"/>
    <col min="8457" max="8705" width="9" style="2"/>
    <col min="8706" max="8706" width="10.375" style="2" bestFit="1" customWidth="1"/>
    <col min="8707" max="8707" width="11.625" style="2" bestFit="1" customWidth="1"/>
    <col min="8708" max="8708" width="13.25" style="2" customWidth="1"/>
    <col min="8709" max="8709" width="12.125" style="2" bestFit="1" customWidth="1"/>
    <col min="8710" max="8710" width="9" style="2" bestFit="1" customWidth="1"/>
    <col min="8711" max="8711" width="9" style="2" customWidth="1"/>
    <col min="8712" max="8712" width="8.125" style="2" customWidth="1"/>
    <col min="8713" max="8961" width="9" style="2"/>
    <col min="8962" max="8962" width="10.375" style="2" bestFit="1" customWidth="1"/>
    <col min="8963" max="8963" width="11.625" style="2" bestFit="1" customWidth="1"/>
    <col min="8964" max="8964" width="13.25" style="2" customWidth="1"/>
    <col min="8965" max="8965" width="12.125" style="2" bestFit="1" customWidth="1"/>
    <col min="8966" max="8966" width="9" style="2" bestFit="1" customWidth="1"/>
    <col min="8967" max="8967" width="9" style="2" customWidth="1"/>
    <col min="8968" max="8968" width="8.125" style="2" customWidth="1"/>
    <col min="8969" max="9217" width="9" style="2"/>
    <col min="9218" max="9218" width="10.375" style="2" bestFit="1" customWidth="1"/>
    <col min="9219" max="9219" width="11.625" style="2" bestFit="1" customWidth="1"/>
    <col min="9220" max="9220" width="13.25" style="2" customWidth="1"/>
    <col min="9221" max="9221" width="12.125" style="2" bestFit="1" customWidth="1"/>
    <col min="9222" max="9222" width="9" style="2" bestFit="1" customWidth="1"/>
    <col min="9223" max="9223" width="9" style="2" customWidth="1"/>
    <col min="9224" max="9224" width="8.125" style="2" customWidth="1"/>
    <col min="9225" max="9473" width="9" style="2"/>
    <col min="9474" max="9474" width="10.375" style="2" bestFit="1" customWidth="1"/>
    <col min="9475" max="9475" width="11.625" style="2" bestFit="1" customWidth="1"/>
    <col min="9476" max="9476" width="13.25" style="2" customWidth="1"/>
    <col min="9477" max="9477" width="12.125" style="2" bestFit="1" customWidth="1"/>
    <col min="9478" max="9478" width="9" style="2" bestFit="1" customWidth="1"/>
    <col min="9479" max="9479" width="9" style="2" customWidth="1"/>
    <col min="9480" max="9480" width="8.125" style="2" customWidth="1"/>
    <col min="9481" max="9729" width="9" style="2"/>
    <col min="9730" max="9730" width="10.375" style="2" bestFit="1" customWidth="1"/>
    <col min="9731" max="9731" width="11.625" style="2" bestFit="1" customWidth="1"/>
    <col min="9732" max="9732" width="13.25" style="2" customWidth="1"/>
    <col min="9733" max="9733" width="12.125" style="2" bestFit="1" customWidth="1"/>
    <col min="9734" max="9734" width="9" style="2" bestFit="1" customWidth="1"/>
    <col min="9735" max="9735" width="9" style="2" customWidth="1"/>
    <col min="9736" max="9736" width="8.125" style="2" customWidth="1"/>
    <col min="9737" max="9985" width="9" style="2"/>
    <col min="9986" max="9986" width="10.375" style="2" bestFit="1" customWidth="1"/>
    <col min="9987" max="9987" width="11.625" style="2" bestFit="1" customWidth="1"/>
    <col min="9988" max="9988" width="13.25" style="2" customWidth="1"/>
    <col min="9989" max="9989" width="12.125" style="2" bestFit="1" customWidth="1"/>
    <col min="9990" max="9990" width="9" style="2" bestFit="1" customWidth="1"/>
    <col min="9991" max="9991" width="9" style="2" customWidth="1"/>
    <col min="9992" max="9992" width="8.125" style="2" customWidth="1"/>
    <col min="9993" max="10241" width="9" style="2"/>
    <col min="10242" max="10242" width="10.375" style="2" bestFit="1" customWidth="1"/>
    <col min="10243" max="10243" width="11.625" style="2" bestFit="1" customWidth="1"/>
    <col min="10244" max="10244" width="13.25" style="2" customWidth="1"/>
    <col min="10245" max="10245" width="12.125" style="2" bestFit="1" customWidth="1"/>
    <col min="10246" max="10246" width="9" style="2" bestFit="1" customWidth="1"/>
    <col min="10247" max="10247" width="9" style="2" customWidth="1"/>
    <col min="10248" max="10248" width="8.125" style="2" customWidth="1"/>
    <col min="10249" max="10497" width="9" style="2"/>
    <col min="10498" max="10498" width="10.375" style="2" bestFit="1" customWidth="1"/>
    <col min="10499" max="10499" width="11.625" style="2" bestFit="1" customWidth="1"/>
    <col min="10500" max="10500" width="13.25" style="2" customWidth="1"/>
    <col min="10501" max="10501" width="12.125" style="2" bestFit="1" customWidth="1"/>
    <col min="10502" max="10502" width="9" style="2" bestFit="1" customWidth="1"/>
    <col min="10503" max="10503" width="9" style="2" customWidth="1"/>
    <col min="10504" max="10504" width="8.125" style="2" customWidth="1"/>
    <col min="10505" max="10753" width="9" style="2"/>
    <col min="10754" max="10754" width="10.375" style="2" bestFit="1" customWidth="1"/>
    <col min="10755" max="10755" width="11.625" style="2" bestFit="1" customWidth="1"/>
    <col min="10756" max="10756" width="13.25" style="2" customWidth="1"/>
    <col min="10757" max="10757" width="12.125" style="2" bestFit="1" customWidth="1"/>
    <col min="10758" max="10758" width="9" style="2" bestFit="1" customWidth="1"/>
    <col min="10759" max="10759" width="9" style="2" customWidth="1"/>
    <col min="10760" max="10760" width="8.125" style="2" customWidth="1"/>
    <col min="10761" max="11009" width="9" style="2"/>
    <col min="11010" max="11010" width="10.375" style="2" bestFit="1" customWidth="1"/>
    <col min="11011" max="11011" width="11.625" style="2" bestFit="1" customWidth="1"/>
    <col min="11012" max="11012" width="13.25" style="2" customWidth="1"/>
    <col min="11013" max="11013" width="12.125" style="2" bestFit="1" customWidth="1"/>
    <col min="11014" max="11014" width="9" style="2" bestFit="1" customWidth="1"/>
    <col min="11015" max="11015" width="9" style="2" customWidth="1"/>
    <col min="11016" max="11016" width="8.125" style="2" customWidth="1"/>
    <col min="11017" max="11265" width="9" style="2"/>
    <col min="11266" max="11266" width="10.375" style="2" bestFit="1" customWidth="1"/>
    <col min="11267" max="11267" width="11.625" style="2" bestFit="1" customWidth="1"/>
    <col min="11268" max="11268" width="13.25" style="2" customWidth="1"/>
    <col min="11269" max="11269" width="12.125" style="2" bestFit="1" customWidth="1"/>
    <col min="11270" max="11270" width="9" style="2" bestFit="1" customWidth="1"/>
    <col min="11271" max="11271" width="9" style="2" customWidth="1"/>
    <col min="11272" max="11272" width="8.125" style="2" customWidth="1"/>
    <col min="11273" max="11521" width="9" style="2"/>
    <col min="11522" max="11522" width="10.375" style="2" bestFit="1" customWidth="1"/>
    <col min="11523" max="11523" width="11.625" style="2" bestFit="1" customWidth="1"/>
    <col min="11524" max="11524" width="13.25" style="2" customWidth="1"/>
    <col min="11525" max="11525" width="12.125" style="2" bestFit="1" customWidth="1"/>
    <col min="11526" max="11526" width="9" style="2" bestFit="1" customWidth="1"/>
    <col min="11527" max="11527" width="9" style="2" customWidth="1"/>
    <col min="11528" max="11528" width="8.125" style="2" customWidth="1"/>
    <col min="11529" max="11777" width="9" style="2"/>
    <col min="11778" max="11778" width="10.375" style="2" bestFit="1" customWidth="1"/>
    <col min="11779" max="11779" width="11.625" style="2" bestFit="1" customWidth="1"/>
    <col min="11780" max="11780" width="13.25" style="2" customWidth="1"/>
    <col min="11781" max="11781" width="12.125" style="2" bestFit="1" customWidth="1"/>
    <col min="11782" max="11782" width="9" style="2" bestFit="1" customWidth="1"/>
    <col min="11783" max="11783" width="9" style="2" customWidth="1"/>
    <col min="11784" max="11784" width="8.125" style="2" customWidth="1"/>
    <col min="11785" max="12033" width="9" style="2"/>
    <col min="12034" max="12034" width="10.375" style="2" bestFit="1" customWidth="1"/>
    <col min="12035" max="12035" width="11.625" style="2" bestFit="1" customWidth="1"/>
    <col min="12036" max="12036" width="13.25" style="2" customWidth="1"/>
    <col min="12037" max="12037" width="12.125" style="2" bestFit="1" customWidth="1"/>
    <col min="12038" max="12038" width="9" style="2" bestFit="1" customWidth="1"/>
    <col min="12039" max="12039" width="9" style="2" customWidth="1"/>
    <col min="12040" max="12040" width="8.125" style="2" customWidth="1"/>
    <col min="12041" max="12289" width="9" style="2"/>
    <col min="12290" max="12290" width="10.375" style="2" bestFit="1" customWidth="1"/>
    <col min="12291" max="12291" width="11.625" style="2" bestFit="1" customWidth="1"/>
    <col min="12292" max="12292" width="13.25" style="2" customWidth="1"/>
    <col min="12293" max="12293" width="12.125" style="2" bestFit="1" customWidth="1"/>
    <col min="12294" max="12294" width="9" style="2" bestFit="1" customWidth="1"/>
    <col min="12295" max="12295" width="9" style="2" customWidth="1"/>
    <col min="12296" max="12296" width="8.125" style="2" customWidth="1"/>
    <col min="12297" max="12545" width="9" style="2"/>
    <col min="12546" max="12546" width="10.375" style="2" bestFit="1" customWidth="1"/>
    <col min="12547" max="12547" width="11.625" style="2" bestFit="1" customWidth="1"/>
    <col min="12548" max="12548" width="13.25" style="2" customWidth="1"/>
    <col min="12549" max="12549" width="12.125" style="2" bestFit="1" customWidth="1"/>
    <col min="12550" max="12550" width="9" style="2" bestFit="1" customWidth="1"/>
    <col min="12551" max="12551" width="9" style="2" customWidth="1"/>
    <col min="12552" max="12552" width="8.125" style="2" customWidth="1"/>
    <col min="12553" max="12801" width="9" style="2"/>
    <col min="12802" max="12802" width="10.375" style="2" bestFit="1" customWidth="1"/>
    <col min="12803" max="12803" width="11.625" style="2" bestFit="1" customWidth="1"/>
    <col min="12804" max="12804" width="13.25" style="2" customWidth="1"/>
    <col min="12805" max="12805" width="12.125" style="2" bestFit="1" customWidth="1"/>
    <col min="12806" max="12806" width="9" style="2" bestFit="1" customWidth="1"/>
    <col min="12807" max="12807" width="9" style="2" customWidth="1"/>
    <col min="12808" max="12808" width="8.125" style="2" customWidth="1"/>
    <col min="12809" max="13057" width="9" style="2"/>
    <col min="13058" max="13058" width="10.375" style="2" bestFit="1" customWidth="1"/>
    <col min="13059" max="13059" width="11.625" style="2" bestFit="1" customWidth="1"/>
    <col min="13060" max="13060" width="13.25" style="2" customWidth="1"/>
    <col min="13061" max="13061" width="12.125" style="2" bestFit="1" customWidth="1"/>
    <col min="13062" max="13062" width="9" style="2" bestFit="1" customWidth="1"/>
    <col min="13063" max="13063" width="9" style="2" customWidth="1"/>
    <col min="13064" max="13064" width="8.125" style="2" customWidth="1"/>
    <col min="13065" max="13313" width="9" style="2"/>
    <col min="13314" max="13314" width="10.375" style="2" bestFit="1" customWidth="1"/>
    <col min="13315" max="13315" width="11.625" style="2" bestFit="1" customWidth="1"/>
    <col min="13316" max="13316" width="13.25" style="2" customWidth="1"/>
    <col min="13317" max="13317" width="12.125" style="2" bestFit="1" customWidth="1"/>
    <col min="13318" max="13318" width="9" style="2" bestFit="1" customWidth="1"/>
    <col min="13319" max="13319" width="9" style="2" customWidth="1"/>
    <col min="13320" max="13320" width="8.125" style="2" customWidth="1"/>
    <col min="13321" max="13569" width="9" style="2"/>
    <col min="13570" max="13570" width="10.375" style="2" bestFit="1" customWidth="1"/>
    <col min="13571" max="13571" width="11.625" style="2" bestFit="1" customWidth="1"/>
    <col min="13572" max="13572" width="13.25" style="2" customWidth="1"/>
    <col min="13573" max="13573" width="12.125" style="2" bestFit="1" customWidth="1"/>
    <col min="13574" max="13574" width="9" style="2" bestFit="1" customWidth="1"/>
    <col min="13575" max="13575" width="9" style="2" customWidth="1"/>
    <col min="13576" max="13576" width="8.125" style="2" customWidth="1"/>
    <col min="13577" max="13825" width="9" style="2"/>
    <col min="13826" max="13826" width="10.375" style="2" bestFit="1" customWidth="1"/>
    <col min="13827" max="13827" width="11.625" style="2" bestFit="1" customWidth="1"/>
    <col min="13828" max="13828" width="13.25" style="2" customWidth="1"/>
    <col min="13829" max="13829" width="12.125" style="2" bestFit="1" customWidth="1"/>
    <col min="13830" max="13830" width="9" style="2" bestFit="1" customWidth="1"/>
    <col min="13831" max="13831" width="9" style="2" customWidth="1"/>
    <col min="13832" max="13832" width="8.125" style="2" customWidth="1"/>
    <col min="13833" max="14081" width="9" style="2"/>
    <col min="14082" max="14082" width="10.375" style="2" bestFit="1" customWidth="1"/>
    <col min="14083" max="14083" width="11.625" style="2" bestFit="1" customWidth="1"/>
    <col min="14084" max="14084" width="13.25" style="2" customWidth="1"/>
    <col min="14085" max="14085" width="12.125" style="2" bestFit="1" customWidth="1"/>
    <col min="14086" max="14086" width="9" style="2" bestFit="1" customWidth="1"/>
    <col min="14087" max="14087" width="9" style="2" customWidth="1"/>
    <col min="14088" max="14088" width="8.125" style="2" customWidth="1"/>
    <col min="14089" max="14337" width="9" style="2"/>
    <col min="14338" max="14338" width="10.375" style="2" bestFit="1" customWidth="1"/>
    <col min="14339" max="14339" width="11.625" style="2" bestFit="1" customWidth="1"/>
    <col min="14340" max="14340" width="13.25" style="2" customWidth="1"/>
    <col min="14341" max="14341" width="12.125" style="2" bestFit="1" customWidth="1"/>
    <col min="14342" max="14342" width="9" style="2" bestFit="1" customWidth="1"/>
    <col min="14343" max="14343" width="9" style="2" customWidth="1"/>
    <col min="14344" max="14344" width="8.125" style="2" customWidth="1"/>
    <col min="14345" max="14593" width="9" style="2"/>
    <col min="14594" max="14594" width="10.375" style="2" bestFit="1" customWidth="1"/>
    <col min="14595" max="14595" width="11.625" style="2" bestFit="1" customWidth="1"/>
    <col min="14596" max="14596" width="13.25" style="2" customWidth="1"/>
    <col min="14597" max="14597" width="12.125" style="2" bestFit="1" customWidth="1"/>
    <col min="14598" max="14598" width="9" style="2" bestFit="1" customWidth="1"/>
    <col min="14599" max="14599" width="9" style="2" customWidth="1"/>
    <col min="14600" max="14600" width="8.125" style="2" customWidth="1"/>
    <col min="14601" max="14849" width="9" style="2"/>
    <col min="14850" max="14850" width="10.375" style="2" bestFit="1" customWidth="1"/>
    <col min="14851" max="14851" width="11.625" style="2" bestFit="1" customWidth="1"/>
    <col min="14852" max="14852" width="13.25" style="2" customWidth="1"/>
    <col min="14853" max="14853" width="12.125" style="2" bestFit="1" customWidth="1"/>
    <col min="14854" max="14854" width="9" style="2" bestFit="1" customWidth="1"/>
    <col min="14855" max="14855" width="9" style="2" customWidth="1"/>
    <col min="14856" max="14856" width="8.125" style="2" customWidth="1"/>
    <col min="14857" max="15105" width="9" style="2"/>
    <col min="15106" max="15106" width="10.375" style="2" bestFit="1" customWidth="1"/>
    <col min="15107" max="15107" width="11.625" style="2" bestFit="1" customWidth="1"/>
    <col min="15108" max="15108" width="13.25" style="2" customWidth="1"/>
    <col min="15109" max="15109" width="12.125" style="2" bestFit="1" customWidth="1"/>
    <col min="15110" max="15110" width="9" style="2" bestFit="1" customWidth="1"/>
    <col min="15111" max="15111" width="9" style="2" customWidth="1"/>
    <col min="15112" max="15112" width="8.125" style="2" customWidth="1"/>
    <col min="15113" max="15361" width="9" style="2"/>
    <col min="15362" max="15362" width="10.375" style="2" bestFit="1" customWidth="1"/>
    <col min="15363" max="15363" width="11.625" style="2" bestFit="1" customWidth="1"/>
    <col min="15364" max="15364" width="13.25" style="2" customWidth="1"/>
    <col min="15365" max="15365" width="12.125" style="2" bestFit="1" customWidth="1"/>
    <col min="15366" max="15366" width="9" style="2" bestFit="1" customWidth="1"/>
    <col min="15367" max="15367" width="9" style="2" customWidth="1"/>
    <col min="15368" max="15368" width="8.125" style="2" customWidth="1"/>
    <col min="15369" max="15617" width="9" style="2"/>
    <col min="15618" max="15618" width="10.375" style="2" bestFit="1" customWidth="1"/>
    <col min="15619" max="15619" width="11.625" style="2" bestFit="1" customWidth="1"/>
    <col min="15620" max="15620" width="13.25" style="2" customWidth="1"/>
    <col min="15621" max="15621" width="12.125" style="2" bestFit="1" customWidth="1"/>
    <col min="15622" max="15622" width="9" style="2" bestFit="1" customWidth="1"/>
    <col min="15623" max="15623" width="9" style="2" customWidth="1"/>
    <col min="15624" max="15624" width="8.125" style="2" customWidth="1"/>
    <col min="15625" max="15873" width="9" style="2"/>
    <col min="15874" max="15874" width="10.375" style="2" bestFit="1" customWidth="1"/>
    <col min="15875" max="15875" width="11.625" style="2" bestFit="1" customWidth="1"/>
    <col min="15876" max="15876" width="13.25" style="2" customWidth="1"/>
    <col min="15877" max="15877" width="12.125" style="2" bestFit="1" customWidth="1"/>
    <col min="15878" max="15878" width="9" style="2" bestFit="1" customWidth="1"/>
    <col min="15879" max="15879" width="9" style="2" customWidth="1"/>
    <col min="15880" max="15880" width="8.125" style="2" customWidth="1"/>
    <col min="15881" max="16129" width="9" style="2"/>
    <col min="16130" max="16130" width="10.375" style="2" bestFit="1" customWidth="1"/>
    <col min="16131" max="16131" width="11.625" style="2" bestFit="1" customWidth="1"/>
    <col min="16132" max="16132" width="13.25" style="2" customWidth="1"/>
    <col min="16133" max="16133" width="12.125" style="2" bestFit="1" customWidth="1"/>
    <col min="16134" max="16134" width="9" style="2" bestFit="1" customWidth="1"/>
    <col min="16135" max="16135" width="9" style="2" customWidth="1"/>
    <col min="16136" max="16136" width="8.125" style="2" customWidth="1"/>
    <col min="16137" max="16384" width="9" style="2"/>
  </cols>
  <sheetData>
    <row r="1" spans="1:8" ht="28.5" customHeight="1" x14ac:dyDescent="0.3">
      <c r="A1" s="46" t="s">
        <v>59</v>
      </c>
      <c r="B1" s="47"/>
      <c r="C1" s="47"/>
      <c r="D1" s="47"/>
      <c r="E1" s="47"/>
      <c r="F1" s="47"/>
      <c r="G1" s="47"/>
      <c r="H1" s="47"/>
    </row>
    <row r="2" spans="1:8" ht="15" customHeight="1" x14ac:dyDescent="0.3"/>
    <row r="3" spans="1:8" ht="20.100000000000001" customHeight="1" x14ac:dyDescent="0.3">
      <c r="A3" s="26" t="s">
        <v>68</v>
      </c>
      <c r="B3" s="26" t="s">
        <v>146</v>
      </c>
      <c r="C3" s="26" t="s">
        <v>54</v>
      </c>
      <c r="D3" s="26" t="s">
        <v>70</v>
      </c>
      <c r="E3" s="26" t="s">
        <v>92</v>
      </c>
      <c r="F3" s="26" t="s">
        <v>97</v>
      </c>
      <c r="G3" s="26" t="s">
        <v>71</v>
      </c>
      <c r="H3" s="26" t="s">
        <v>55</v>
      </c>
    </row>
    <row r="4" spans="1:8" x14ac:dyDescent="0.3">
      <c r="A4" s="24" t="s">
        <v>76</v>
      </c>
      <c r="B4" s="25">
        <v>41914</v>
      </c>
      <c r="C4" s="24" t="s">
        <v>95</v>
      </c>
      <c r="D4" s="24" t="s">
        <v>72</v>
      </c>
      <c r="E4" s="24" t="s">
        <v>93</v>
      </c>
      <c r="F4" s="24" t="s">
        <v>96</v>
      </c>
      <c r="G4" s="24">
        <v>100</v>
      </c>
      <c r="H4" s="24">
        <f>COUNTIF(tbl예약현황[강좌코드],A4)</f>
        <v>10</v>
      </c>
    </row>
    <row r="5" spans="1:8" x14ac:dyDescent="0.3">
      <c r="A5" s="24" t="s">
        <v>77</v>
      </c>
      <c r="B5" s="25">
        <v>41932</v>
      </c>
      <c r="C5" s="24" t="s">
        <v>98</v>
      </c>
      <c r="D5" s="24" t="s">
        <v>73</v>
      </c>
      <c r="E5" s="24" t="s">
        <v>94</v>
      </c>
      <c r="F5" s="24" t="s">
        <v>99</v>
      </c>
      <c r="G5" s="24">
        <v>30</v>
      </c>
      <c r="H5" s="24">
        <f>COUNTIF(tbl예약현황[강좌코드],A5)</f>
        <v>7</v>
      </c>
    </row>
    <row r="6" spans="1:8" x14ac:dyDescent="0.3">
      <c r="A6" s="24" t="s">
        <v>78</v>
      </c>
      <c r="B6" s="25">
        <v>41948</v>
      </c>
      <c r="C6" s="24" t="s">
        <v>100</v>
      </c>
      <c r="D6" s="24" t="s">
        <v>74</v>
      </c>
      <c r="E6" s="24" t="s">
        <v>108</v>
      </c>
      <c r="F6" s="24" t="s">
        <v>107</v>
      </c>
      <c r="G6" s="24">
        <v>30</v>
      </c>
      <c r="H6" s="24">
        <f>COUNTIF(tbl예약현황[강좌코드],A6)</f>
        <v>4</v>
      </c>
    </row>
    <row r="7" spans="1:8" x14ac:dyDescent="0.3">
      <c r="A7" s="24" t="s">
        <v>79</v>
      </c>
      <c r="B7" s="25">
        <v>41963</v>
      </c>
      <c r="C7" s="24" t="s">
        <v>101</v>
      </c>
      <c r="D7" s="24" t="s">
        <v>110</v>
      </c>
      <c r="E7" s="24" t="s">
        <v>109</v>
      </c>
      <c r="F7" s="24" t="s">
        <v>106</v>
      </c>
      <c r="G7" s="24">
        <v>20</v>
      </c>
      <c r="H7" s="24">
        <f>COUNTIF(tbl예약현황[강좌코드],A7)</f>
        <v>4</v>
      </c>
    </row>
    <row r="8" spans="1:8" x14ac:dyDescent="0.3">
      <c r="A8" s="24" t="s">
        <v>80</v>
      </c>
      <c r="B8" s="25">
        <v>41978</v>
      </c>
      <c r="C8" s="24" t="s">
        <v>102</v>
      </c>
      <c r="D8" s="24" t="s">
        <v>75</v>
      </c>
      <c r="E8" s="24" t="s">
        <v>111</v>
      </c>
      <c r="F8" s="24" t="s">
        <v>105</v>
      </c>
      <c r="G8" s="24">
        <v>30</v>
      </c>
      <c r="H8" s="24">
        <f>COUNTIF(tbl예약현황[강좌코드],A8)</f>
        <v>2</v>
      </c>
    </row>
    <row r="9" spans="1:8" x14ac:dyDescent="0.3">
      <c r="A9" s="24" t="s">
        <v>81</v>
      </c>
      <c r="B9" s="25">
        <v>41993</v>
      </c>
      <c r="C9" s="24" t="s">
        <v>103</v>
      </c>
      <c r="D9" s="24" t="s">
        <v>72</v>
      </c>
      <c r="E9" s="24" t="s">
        <v>94</v>
      </c>
      <c r="F9" s="24" t="s">
        <v>104</v>
      </c>
      <c r="G9" s="24">
        <v>20</v>
      </c>
      <c r="H9" s="24">
        <f>COUNTIF(tbl예약현황[강좌코드],A9)</f>
        <v>2</v>
      </c>
    </row>
    <row r="10" spans="1:8" x14ac:dyDescent="0.3">
      <c r="A10" s="24" t="s">
        <v>82</v>
      </c>
      <c r="B10" s="25">
        <v>42009</v>
      </c>
      <c r="C10" s="24" t="s">
        <v>113</v>
      </c>
      <c r="D10" s="24" t="s">
        <v>73</v>
      </c>
      <c r="E10" s="24" t="s">
        <v>94</v>
      </c>
      <c r="F10" s="24" t="s">
        <v>116</v>
      </c>
      <c r="G10" s="24">
        <v>30</v>
      </c>
      <c r="H10" s="24">
        <f>COUNTIF(tbl예약현황[강좌코드],A10)</f>
        <v>5</v>
      </c>
    </row>
    <row r="11" spans="1:8" x14ac:dyDescent="0.3">
      <c r="A11" s="24" t="s">
        <v>83</v>
      </c>
      <c r="B11" s="25">
        <v>42024</v>
      </c>
      <c r="C11" s="24" t="s">
        <v>114</v>
      </c>
      <c r="D11" s="24" t="s">
        <v>74</v>
      </c>
      <c r="E11" s="24" t="s">
        <v>109</v>
      </c>
      <c r="F11" s="24" t="s">
        <v>115</v>
      </c>
      <c r="G11" s="24">
        <v>20</v>
      </c>
      <c r="H11" s="24">
        <f>COUNTIF(tbl예약현황[강좌코드],A11)</f>
        <v>4</v>
      </c>
    </row>
    <row r="12" spans="1:8" x14ac:dyDescent="0.3">
      <c r="A12" s="24" t="s">
        <v>84</v>
      </c>
      <c r="B12" s="25">
        <v>42040</v>
      </c>
      <c r="C12" s="24" t="s">
        <v>118</v>
      </c>
      <c r="D12" s="24" t="s">
        <v>110</v>
      </c>
      <c r="E12" s="24" t="s">
        <v>111</v>
      </c>
      <c r="F12" s="24" t="s">
        <v>117</v>
      </c>
      <c r="G12" s="24">
        <v>20</v>
      </c>
      <c r="H12" s="24">
        <f>COUNTIF(tbl예약현황[강좌코드],A12)</f>
        <v>4</v>
      </c>
    </row>
    <row r="13" spans="1:8" x14ac:dyDescent="0.3">
      <c r="A13" s="24" t="s">
        <v>85</v>
      </c>
      <c r="B13" s="25">
        <v>42055</v>
      </c>
      <c r="C13" s="24" t="s">
        <v>119</v>
      </c>
      <c r="D13" s="24" t="s">
        <v>75</v>
      </c>
      <c r="E13" s="24" t="s">
        <v>108</v>
      </c>
      <c r="F13" s="24" t="s">
        <v>120</v>
      </c>
      <c r="G13" s="24">
        <v>20</v>
      </c>
      <c r="H13" s="24">
        <f>COUNTIF(tbl예약현황[강좌코드],A13)</f>
        <v>4</v>
      </c>
    </row>
    <row r="14" spans="1:8" x14ac:dyDescent="0.3">
      <c r="A14" s="24" t="s">
        <v>86</v>
      </c>
      <c r="B14" s="25">
        <v>42068</v>
      </c>
      <c r="C14" s="24" t="s">
        <v>121</v>
      </c>
      <c r="D14" s="24" t="s">
        <v>112</v>
      </c>
      <c r="E14" s="24" t="s">
        <v>109</v>
      </c>
      <c r="F14" s="24" t="s">
        <v>122</v>
      </c>
      <c r="G14" s="24">
        <v>30</v>
      </c>
      <c r="H14" s="24">
        <f>COUNTIF(tbl예약현황[강좌코드],A14)</f>
        <v>0</v>
      </c>
    </row>
    <row r="15" spans="1:8" x14ac:dyDescent="0.3">
      <c r="A15" s="24" t="s">
        <v>87</v>
      </c>
      <c r="B15" s="25">
        <v>42083</v>
      </c>
      <c r="C15" s="24" t="s">
        <v>124</v>
      </c>
      <c r="D15" s="24" t="s">
        <v>110</v>
      </c>
      <c r="E15" s="24" t="s">
        <v>111</v>
      </c>
      <c r="F15" s="24" t="s">
        <v>123</v>
      </c>
      <c r="G15" s="24">
        <v>30</v>
      </c>
      <c r="H15" s="24">
        <f>COUNTIF(tbl예약현황[강좌코드],A15)</f>
        <v>4</v>
      </c>
    </row>
  </sheetData>
  <mergeCells count="1">
    <mergeCell ref="A1:H1"/>
  </mergeCells>
  <phoneticPr fontId="1" type="noConversion"/>
  <pageMargins left="0.75" right="0.75" top="1" bottom="1" header="0.5" footer="0.5"/>
  <headerFooter alignWithMargins="0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/>
  </sheetPr>
  <dimension ref="A1:I54"/>
  <sheetViews>
    <sheetView showGridLines="0" topLeftCell="A19" workbookViewId="0">
      <selection activeCell="G29" sqref="G29"/>
    </sheetView>
  </sheetViews>
  <sheetFormatPr defaultRowHeight="13.5" x14ac:dyDescent="0.3"/>
  <cols>
    <col min="1" max="1" width="12.875" style="3" customWidth="1"/>
    <col min="2" max="4" width="12.625" style="3" customWidth="1"/>
    <col min="5" max="5" width="10.75" style="3" customWidth="1"/>
    <col min="6" max="6" width="10.5" style="2" customWidth="1"/>
    <col min="7" max="7" width="9" style="2"/>
    <col min="8" max="8" width="1.25" style="2" customWidth="1"/>
    <col min="9" max="257" width="9" style="2"/>
    <col min="258" max="258" width="10.375" style="2" bestFit="1" customWidth="1"/>
    <col min="259" max="259" width="9.75" style="2" bestFit="1" customWidth="1"/>
    <col min="260" max="260" width="10.375" style="2" bestFit="1" customWidth="1"/>
    <col min="261" max="513" width="9" style="2"/>
    <col min="514" max="514" width="10.375" style="2" bestFit="1" customWidth="1"/>
    <col min="515" max="515" width="9.75" style="2" bestFit="1" customWidth="1"/>
    <col min="516" max="516" width="10.375" style="2" bestFit="1" customWidth="1"/>
    <col min="517" max="769" width="9" style="2"/>
    <col min="770" max="770" width="10.375" style="2" bestFit="1" customWidth="1"/>
    <col min="771" max="771" width="9.75" style="2" bestFit="1" customWidth="1"/>
    <col min="772" max="772" width="10.375" style="2" bestFit="1" customWidth="1"/>
    <col min="773" max="1025" width="9" style="2"/>
    <col min="1026" max="1026" width="10.375" style="2" bestFit="1" customWidth="1"/>
    <col min="1027" max="1027" width="9.75" style="2" bestFit="1" customWidth="1"/>
    <col min="1028" max="1028" width="10.375" style="2" bestFit="1" customWidth="1"/>
    <col min="1029" max="1281" width="9" style="2"/>
    <col min="1282" max="1282" width="10.375" style="2" bestFit="1" customWidth="1"/>
    <col min="1283" max="1283" width="9.75" style="2" bestFit="1" customWidth="1"/>
    <col min="1284" max="1284" width="10.375" style="2" bestFit="1" customWidth="1"/>
    <col min="1285" max="1537" width="9" style="2"/>
    <col min="1538" max="1538" width="10.375" style="2" bestFit="1" customWidth="1"/>
    <col min="1539" max="1539" width="9.75" style="2" bestFit="1" customWidth="1"/>
    <col min="1540" max="1540" width="10.375" style="2" bestFit="1" customWidth="1"/>
    <col min="1541" max="1793" width="9" style="2"/>
    <col min="1794" max="1794" width="10.375" style="2" bestFit="1" customWidth="1"/>
    <col min="1795" max="1795" width="9.75" style="2" bestFit="1" customWidth="1"/>
    <col min="1796" max="1796" width="10.375" style="2" bestFit="1" customWidth="1"/>
    <col min="1797" max="2049" width="9" style="2"/>
    <col min="2050" max="2050" width="10.375" style="2" bestFit="1" customWidth="1"/>
    <col min="2051" max="2051" width="9.75" style="2" bestFit="1" customWidth="1"/>
    <col min="2052" max="2052" width="10.375" style="2" bestFit="1" customWidth="1"/>
    <col min="2053" max="2305" width="9" style="2"/>
    <col min="2306" max="2306" width="10.375" style="2" bestFit="1" customWidth="1"/>
    <col min="2307" max="2307" width="9.75" style="2" bestFit="1" customWidth="1"/>
    <col min="2308" max="2308" width="10.375" style="2" bestFit="1" customWidth="1"/>
    <col min="2309" max="2561" width="9" style="2"/>
    <col min="2562" max="2562" width="10.375" style="2" bestFit="1" customWidth="1"/>
    <col min="2563" max="2563" width="9.75" style="2" bestFit="1" customWidth="1"/>
    <col min="2564" max="2564" width="10.375" style="2" bestFit="1" customWidth="1"/>
    <col min="2565" max="2817" width="9" style="2"/>
    <col min="2818" max="2818" width="10.375" style="2" bestFit="1" customWidth="1"/>
    <col min="2819" max="2819" width="9.75" style="2" bestFit="1" customWidth="1"/>
    <col min="2820" max="2820" width="10.375" style="2" bestFit="1" customWidth="1"/>
    <col min="2821" max="3073" width="9" style="2"/>
    <col min="3074" max="3074" width="10.375" style="2" bestFit="1" customWidth="1"/>
    <col min="3075" max="3075" width="9.75" style="2" bestFit="1" customWidth="1"/>
    <col min="3076" max="3076" width="10.375" style="2" bestFit="1" customWidth="1"/>
    <col min="3077" max="3329" width="9" style="2"/>
    <col min="3330" max="3330" width="10.375" style="2" bestFit="1" customWidth="1"/>
    <col min="3331" max="3331" width="9.75" style="2" bestFit="1" customWidth="1"/>
    <col min="3332" max="3332" width="10.375" style="2" bestFit="1" customWidth="1"/>
    <col min="3333" max="3585" width="9" style="2"/>
    <col min="3586" max="3586" width="10.375" style="2" bestFit="1" customWidth="1"/>
    <col min="3587" max="3587" width="9.75" style="2" bestFit="1" customWidth="1"/>
    <col min="3588" max="3588" width="10.375" style="2" bestFit="1" customWidth="1"/>
    <col min="3589" max="3841" width="9" style="2"/>
    <col min="3842" max="3842" width="10.375" style="2" bestFit="1" customWidth="1"/>
    <col min="3843" max="3843" width="9.75" style="2" bestFit="1" customWidth="1"/>
    <col min="3844" max="3844" width="10.375" style="2" bestFit="1" customWidth="1"/>
    <col min="3845" max="4097" width="9" style="2"/>
    <col min="4098" max="4098" width="10.375" style="2" bestFit="1" customWidth="1"/>
    <col min="4099" max="4099" width="9.75" style="2" bestFit="1" customWidth="1"/>
    <col min="4100" max="4100" width="10.375" style="2" bestFit="1" customWidth="1"/>
    <col min="4101" max="4353" width="9" style="2"/>
    <col min="4354" max="4354" width="10.375" style="2" bestFit="1" customWidth="1"/>
    <col min="4355" max="4355" width="9.75" style="2" bestFit="1" customWidth="1"/>
    <col min="4356" max="4356" width="10.375" style="2" bestFit="1" customWidth="1"/>
    <col min="4357" max="4609" width="9" style="2"/>
    <col min="4610" max="4610" width="10.375" style="2" bestFit="1" customWidth="1"/>
    <col min="4611" max="4611" width="9.75" style="2" bestFit="1" customWidth="1"/>
    <col min="4612" max="4612" width="10.375" style="2" bestFit="1" customWidth="1"/>
    <col min="4613" max="4865" width="9" style="2"/>
    <col min="4866" max="4866" width="10.375" style="2" bestFit="1" customWidth="1"/>
    <col min="4867" max="4867" width="9.75" style="2" bestFit="1" customWidth="1"/>
    <col min="4868" max="4868" width="10.375" style="2" bestFit="1" customWidth="1"/>
    <col min="4869" max="5121" width="9" style="2"/>
    <col min="5122" max="5122" width="10.375" style="2" bestFit="1" customWidth="1"/>
    <col min="5123" max="5123" width="9.75" style="2" bestFit="1" customWidth="1"/>
    <col min="5124" max="5124" width="10.375" style="2" bestFit="1" customWidth="1"/>
    <col min="5125" max="5377" width="9" style="2"/>
    <col min="5378" max="5378" width="10.375" style="2" bestFit="1" customWidth="1"/>
    <col min="5379" max="5379" width="9.75" style="2" bestFit="1" customWidth="1"/>
    <col min="5380" max="5380" width="10.375" style="2" bestFit="1" customWidth="1"/>
    <col min="5381" max="5633" width="9" style="2"/>
    <col min="5634" max="5634" width="10.375" style="2" bestFit="1" customWidth="1"/>
    <col min="5635" max="5635" width="9.75" style="2" bestFit="1" customWidth="1"/>
    <col min="5636" max="5636" width="10.375" style="2" bestFit="1" customWidth="1"/>
    <col min="5637" max="5889" width="9" style="2"/>
    <col min="5890" max="5890" width="10.375" style="2" bestFit="1" customWidth="1"/>
    <col min="5891" max="5891" width="9.75" style="2" bestFit="1" customWidth="1"/>
    <col min="5892" max="5892" width="10.375" style="2" bestFit="1" customWidth="1"/>
    <col min="5893" max="6145" width="9" style="2"/>
    <col min="6146" max="6146" width="10.375" style="2" bestFit="1" customWidth="1"/>
    <col min="6147" max="6147" width="9.75" style="2" bestFit="1" customWidth="1"/>
    <col min="6148" max="6148" width="10.375" style="2" bestFit="1" customWidth="1"/>
    <col min="6149" max="6401" width="9" style="2"/>
    <col min="6402" max="6402" width="10.375" style="2" bestFit="1" customWidth="1"/>
    <col min="6403" max="6403" width="9.75" style="2" bestFit="1" customWidth="1"/>
    <col min="6404" max="6404" width="10.375" style="2" bestFit="1" customWidth="1"/>
    <col min="6405" max="6657" width="9" style="2"/>
    <col min="6658" max="6658" width="10.375" style="2" bestFit="1" customWidth="1"/>
    <col min="6659" max="6659" width="9.75" style="2" bestFit="1" customWidth="1"/>
    <col min="6660" max="6660" width="10.375" style="2" bestFit="1" customWidth="1"/>
    <col min="6661" max="6913" width="9" style="2"/>
    <col min="6914" max="6914" width="10.375" style="2" bestFit="1" customWidth="1"/>
    <col min="6915" max="6915" width="9.75" style="2" bestFit="1" customWidth="1"/>
    <col min="6916" max="6916" width="10.375" style="2" bestFit="1" customWidth="1"/>
    <col min="6917" max="7169" width="9" style="2"/>
    <col min="7170" max="7170" width="10.375" style="2" bestFit="1" customWidth="1"/>
    <col min="7171" max="7171" width="9.75" style="2" bestFit="1" customWidth="1"/>
    <col min="7172" max="7172" width="10.375" style="2" bestFit="1" customWidth="1"/>
    <col min="7173" max="7425" width="9" style="2"/>
    <col min="7426" max="7426" width="10.375" style="2" bestFit="1" customWidth="1"/>
    <col min="7427" max="7427" width="9.75" style="2" bestFit="1" customWidth="1"/>
    <col min="7428" max="7428" width="10.375" style="2" bestFit="1" customWidth="1"/>
    <col min="7429" max="7681" width="9" style="2"/>
    <col min="7682" max="7682" width="10.375" style="2" bestFit="1" customWidth="1"/>
    <col min="7683" max="7683" width="9.75" style="2" bestFit="1" customWidth="1"/>
    <col min="7684" max="7684" width="10.375" style="2" bestFit="1" customWidth="1"/>
    <col min="7685" max="7937" width="9" style="2"/>
    <col min="7938" max="7938" width="10.375" style="2" bestFit="1" customWidth="1"/>
    <col min="7939" max="7939" width="9.75" style="2" bestFit="1" customWidth="1"/>
    <col min="7940" max="7940" width="10.375" style="2" bestFit="1" customWidth="1"/>
    <col min="7941" max="8193" width="9" style="2"/>
    <col min="8194" max="8194" width="10.375" style="2" bestFit="1" customWidth="1"/>
    <col min="8195" max="8195" width="9.75" style="2" bestFit="1" customWidth="1"/>
    <col min="8196" max="8196" width="10.375" style="2" bestFit="1" customWidth="1"/>
    <col min="8197" max="8449" width="9" style="2"/>
    <col min="8450" max="8450" width="10.375" style="2" bestFit="1" customWidth="1"/>
    <col min="8451" max="8451" width="9.75" style="2" bestFit="1" customWidth="1"/>
    <col min="8452" max="8452" width="10.375" style="2" bestFit="1" customWidth="1"/>
    <col min="8453" max="8705" width="9" style="2"/>
    <col min="8706" max="8706" width="10.375" style="2" bestFit="1" customWidth="1"/>
    <col min="8707" max="8707" width="9.75" style="2" bestFit="1" customWidth="1"/>
    <col min="8708" max="8708" width="10.375" style="2" bestFit="1" customWidth="1"/>
    <col min="8709" max="8961" width="9" style="2"/>
    <col min="8962" max="8962" width="10.375" style="2" bestFit="1" customWidth="1"/>
    <col min="8963" max="8963" width="9.75" style="2" bestFit="1" customWidth="1"/>
    <col min="8964" max="8964" width="10.375" style="2" bestFit="1" customWidth="1"/>
    <col min="8965" max="9217" width="9" style="2"/>
    <col min="9218" max="9218" width="10.375" style="2" bestFit="1" customWidth="1"/>
    <col min="9219" max="9219" width="9.75" style="2" bestFit="1" customWidth="1"/>
    <col min="9220" max="9220" width="10.375" style="2" bestFit="1" customWidth="1"/>
    <col min="9221" max="9473" width="9" style="2"/>
    <col min="9474" max="9474" width="10.375" style="2" bestFit="1" customWidth="1"/>
    <col min="9475" max="9475" width="9.75" style="2" bestFit="1" customWidth="1"/>
    <col min="9476" max="9476" width="10.375" style="2" bestFit="1" customWidth="1"/>
    <col min="9477" max="9729" width="9" style="2"/>
    <col min="9730" max="9730" width="10.375" style="2" bestFit="1" customWidth="1"/>
    <col min="9731" max="9731" width="9.75" style="2" bestFit="1" customWidth="1"/>
    <col min="9732" max="9732" width="10.375" style="2" bestFit="1" customWidth="1"/>
    <col min="9733" max="9985" width="9" style="2"/>
    <col min="9986" max="9986" width="10.375" style="2" bestFit="1" customWidth="1"/>
    <col min="9987" max="9987" width="9.75" style="2" bestFit="1" customWidth="1"/>
    <col min="9988" max="9988" width="10.375" style="2" bestFit="1" customWidth="1"/>
    <col min="9989" max="10241" width="9" style="2"/>
    <col min="10242" max="10242" width="10.375" style="2" bestFit="1" customWidth="1"/>
    <col min="10243" max="10243" width="9.75" style="2" bestFit="1" customWidth="1"/>
    <col min="10244" max="10244" width="10.375" style="2" bestFit="1" customWidth="1"/>
    <col min="10245" max="10497" width="9" style="2"/>
    <col min="10498" max="10498" width="10.375" style="2" bestFit="1" customWidth="1"/>
    <col min="10499" max="10499" width="9.75" style="2" bestFit="1" customWidth="1"/>
    <col min="10500" max="10500" width="10.375" style="2" bestFit="1" customWidth="1"/>
    <col min="10501" max="10753" width="9" style="2"/>
    <col min="10754" max="10754" width="10.375" style="2" bestFit="1" customWidth="1"/>
    <col min="10755" max="10755" width="9.75" style="2" bestFit="1" customWidth="1"/>
    <col min="10756" max="10756" width="10.375" style="2" bestFit="1" customWidth="1"/>
    <col min="10757" max="11009" width="9" style="2"/>
    <col min="11010" max="11010" width="10.375" style="2" bestFit="1" customWidth="1"/>
    <col min="11011" max="11011" width="9.75" style="2" bestFit="1" customWidth="1"/>
    <col min="11012" max="11012" width="10.375" style="2" bestFit="1" customWidth="1"/>
    <col min="11013" max="11265" width="9" style="2"/>
    <col min="11266" max="11266" width="10.375" style="2" bestFit="1" customWidth="1"/>
    <col min="11267" max="11267" width="9.75" style="2" bestFit="1" customWidth="1"/>
    <col min="11268" max="11268" width="10.375" style="2" bestFit="1" customWidth="1"/>
    <col min="11269" max="11521" width="9" style="2"/>
    <col min="11522" max="11522" width="10.375" style="2" bestFit="1" customWidth="1"/>
    <col min="11523" max="11523" width="9.75" style="2" bestFit="1" customWidth="1"/>
    <col min="11524" max="11524" width="10.375" style="2" bestFit="1" customWidth="1"/>
    <col min="11525" max="11777" width="9" style="2"/>
    <col min="11778" max="11778" width="10.375" style="2" bestFit="1" customWidth="1"/>
    <col min="11779" max="11779" width="9.75" style="2" bestFit="1" customWidth="1"/>
    <col min="11780" max="11780" width="10.375" style="2" bestFit="1" customWidth="1"/>
    <col min="11781" max="12033" width="9" style="2"/>
    <col min="12034" max="12034" width="10.375" style="2" bestFit="1" customWidth="1"/>
    <col min="12035" max="12035" width="9.75" style="2" bestFit="1" customWidth="1"/>
    <col min="12036" max="12036" width="10.375" style="2" bestFit="1" customWidth="1"/>
    <col min="12037" max="12289" width="9" style="2"/>
    <col min="12290" max="12290" width="10.375" style="2" bestFit="1" customWidth="1"/>
    <col min="12291" max="12291" width="9.75" style="2" bestFit="1" customWidth="1"/>
    <col min="12292" max="12292" width="10.375" style="2" bestFit="1" customWidth="1"/>
    <col min="12293" max="12545" width="9" style="2"/>
    <col min="12546" max="12546" width="10.375" style="2" bestFit="1" customWidth="1"/>
    <col min="12547" max="12547" width="9.75" style="2" bestFit="1" customWidth="1"/>
    <col min="12548" max="12548" width="10.375" style="2" bestFit="1" customWidth="1"/>
    <col min="12549" max="12801" width="9" style="2"/>
    <col min="12802" max="12802" width="10.375" style="2" bestFit="1" customWidth="1"/>
    <col min="12803" max="12803" width="9.75" style="2" bestFit="1" customWidth="1"/>
    <col min="12804" max="12804" width="10.375" style="2" bestFit="1" customWidth="1"/>
    <col min="12805" max="13057" width="9" style="2"/>
    <col min="13058" max="13058" width="10.375" style="2" bestFit="1" customWidth="1"/>
    <col min="13059" max="13059" width="9.75" style="2" bestFit="1" customWidth="1"/>
    <col min="13060" max="13060" width="10.375" style="2" bestFit="1" customWidth="1"/>
    <col min="13061" max="13313" width="9" style="2"/>
    <col min="13314" max="13314" width="10.375" style="2" bestFit="1" customWidth="1"/>
    <col min="13315" max="13315" width="9.75" style="2" bestFit="1" customWidth="1"/>
    <col min="13316" max="13316" width="10.375" style="2" bestFit="1" customWidth="1"/>
    <col min="13317" max="13569" width="9" style="2"/>
    <col min="13570" max="13570" width="10.375" style="2" bestFit="1" customWidth="1"/>
    <col min="13571" max="13571" width="9.75" style="2" bestFit="1" customWidth="1"/>
    <col min="13572" max="13572" width="10.375" style="2" bestFit="1" customWidth="1"/>
    <col min="13573" max="13825" width="9" style="2"/>
    <col min="13826" max="13826" width="10.375" style="2" bestFit="1" customWidth="1"/>
    <col min="13827" max="13827" width="9.75" style="2" bestFit="1" customWidth="1"/>
    <col min="13828" max="13828" width="10.375" style="2" bestFit="1" customWidth="1"/>
    <col min="13829" max="14081" width="9" style="2"/>
    <col min="14082" max="14082" width="10.375" style="2" bestFit="1" customWidth="1"/>
    <col min="14083" max="14083" width="9.75" style="2" bestFit="1" customWidth="1"/>
    <col min="14084" max="14084" width="10.375" style="2" bestFit="1" customWidth="1"/>
    <col min="14085" max="14337" width="9" style="2"/>
    <col min="14338" max="14338" width="10.375" style="2" bestFit="1" customWidth="1"/>
    <col min="14339" max="14339" width="9.75" style="2" bestFit="1" customWidth="1"/>
    <col min="14340" max="14340" width="10.375" style="2" bestFit="1" customWidth="1"/>
    <col min="14341" max="14593" width="9" style="2"/>
    <col min="14594" max="14594" width="10.375" style="2" bestFit="1" customWidth="1"/>
    <col min="14595" max="14595" width="9.75" style="2" bestFit="1" customWidth="1"/>
    <col min="14596" max="14596" width="10.375" style="2" bestFit="1" customWidth="1"/>
    <col min="14597" max="14849" width="9" style="2"/>
    <col min="14850" max="14850" width="10.375" style="2" bestFit="1" customWidth="1"/>
    <col min="14851" max="14851" width="9.75" style="2" bestFit="1" customWidth="1"/>
    <col min="14852" max="14852" width="10.375" style="2" bestFit="1" customWidth="1"/>
    <col min="14853" max="15105" width="9" style="2"/>
    <col min="15106" max="15106" width="10.375" style="2" bestFit="1" customWidth="1"/>
    <col min="15107" max="15107" width="9.75" style="2" bestFit="1" customWidth="1"/>
    <col min="15108" max="15108" width="10.375" style="2" bestFit="1" customWidth="1"/>
    <col min="15109" max="15361" width="9" style="2"/>
    <col min="15362" max="15362" width="10.375" style="2" bestFit="1" customWidth="1"/>
    <col min="15363" max="15363" width="9.75" style="2" bestFit="1" customWidth="1"/>
    <col min="15364" max="15364" width="10.375" style="2" bestFit="1" customWidth="1"/>
    <col min="15365" max="15617" width="9" style="2"/>
    <col min="15618" max="15618" width="10.375" style="2" bestFit="1" customWidth="1"/>
    <col min="15619" max="15619" width="9.75" style="2" bestFit="1" customWidth="1"/>
    <col min="15620" max="15620" width="10.375" style="2" bestFit="1" customWidth="1"/>
    <col min="15621" max="15873" width="9" style="2"/>
    <col min="15874" max="15874" width="10.375" style="2" bestFit="1" customWidth="1"/>
    <col min="15875" max="15875" width="9.75" style="2" bestFit="1" customWidth="1"/>
    <col min="15876" max="15876" width="10.375" style="2" bestFit="1" customWidth="1"/>
    <col min="15877" max="16129" width="9" style="2"/>
    <col min="16130" max="16130" width="10.375" style="2" bestFit="1" customWidth="1"/>
    <col min="16131" max="16131" width="9.75" style="2" bestFit="1" customWidth="1"/>
    <col min="16132" max="16132" width="10.375" style="2" bestFit="1" customWidth="1"/>
    <col min="16133" max="16384" width="9" style="2"/>
  </cols>
  <sheetData>
    <row r="1" spans="1:9" ht="28.5" customHeight="1" x14ac:dyDescent="0.3">
      <c r="A1" s="48" t="s">
        <v>88</v>
      </c>
      <c r="B1" s="48"/>
      <c r="C1" s="48"/>
      <c r="D1" s="48"/>
      <c r="E1" s="48"/>
    </row>
    <row r="2" spans="1:9" ht="15" customHeight="1" x14ac:dyDescent="0.3"/>
    <row r="3" spans="1:9" ht="20.100000000000001" customHeight="1" x14ac:dyDescent="0.3">
      <c r="A3" s="26" t="s">
        <v>148</v>
      </c>
      <c r="B3" s="26" t="s">
        <v>68</v>
      </c>
      <c r="C3" s="26" t="s">
        <v>69</v>
      </c>
      <c r="D3" s="26" t="s">
        <v>147</v>
      </c>
      <c r="E3" s="26" t="s">
        <v>89</v>
      </c>
      <c r="F3" s="26" t="s">
        <v>91</v>
      </c>
      <c r="G3" s="26" t="s">
        <v>90</v>
      </c>
    </row>
    <row r="4" spans="1:9" x14ac:dyDescent="0.3">
      <c r="A4" s="26" t="str">
        <f>tbl예약현황[강좌코드]&amp;tbl예약현황[고객코드]</f>
        <v>양식행</v>
      </c>
      <c r="B4" s="26" t="s">
        <v>155</v>
      </c>
      <c r="C4" s="26"/>
      <c r="D4" s="39" t="str">
        <f>IFERROR(VLOOKUP(tbl예약현황[[#This Row],[고객코드]],tbl고객정보[#All],2,0),"")</f>
        <v/>
      </c>
      <c r="E4" s="38"/>
      <c r="F4" s="26"/>
      <c r="G4" s="26"/>
      <c r="I4" s="42" t="s">
        <v>154</v>
      </c>
    </row>
    <row r="5" spans="1:9" x14ac:dyDescent="0.3">
      <c r="A5" s="26" t="str">
        <f>tbl예약현황[강좌코드]&amp;tbl예약현황[고객코드]</f>
        <v>L00001S04012</v>
      </c>
      <c r="B5" s="26" t="s">
        <v>152</v>
      </c>
      <c r="C5" s="26" t="s">
        <v>26</v>
      </c>
      <c r="D5" s="26" t="str">
        <f>IFERROR(VLOOKUP(tbl예약현황[[#This Row],[고객코드]],tbl고객정보[#All],2,0),"")</f>
        <v>장수연</v>
      </c>
      <c r="E5" s="38">
        <v>41892</v>
      </c>
      <c r="F5" s="26"/>
      <c r="G5" s="26"/>
    </row>
    <row r="6" spans="1:9" x14ac:dyDescent="0.3">
      <c r="A6" s="26" t="str">
        <f>tbl예약현황[강좌코드]&amp;tbl예약현황[고객코드]</f>
        <v>L00001S04013</v>
      </c>
      <c r="B6" s="26" t="s">
        <v>152</v>
      </c>
      <c r="C6" s="26" t="s">
        <v>29</v>
      </c>
      <c r="D6" s="26" t="str">
        <f>IFERROR(VLOOKUP(tbl예약현황[[#This Row],[고객코드]],tbl고객정보[#All],2,0),"")</f>
        <v>최승호</v>
      </c>
      <c r="E6" s="38">
        <v>41866</v>
      </c>
      <c r="F6" s="26"/>
      <c r="G6" s="26"/>
    </row>
    <row r="7" spans="1:9" x14ac:dyDescent="0.3">
      <c r="A7" s="26" t="str">
        <f>tbl예약현황[강좌코드]&amp;tbl예약현황[고객코드]</f>
        <v>L00001S04014</v>
      </c>
      <c r="B7" s="26" t="s">
        <v>152</v>
      </c>
      <c r="C7" s="26" t="s">
        <v>32</v>
      </c>
      <c r="D7" s="26" t="str">
        <f>IFERROR(VLOOKUP(tbl예약현황[[#This Row],[고객코드]],tbl고객정보[#All],2,0),"")</f>
        <v>이상인</v>
      </c>
      <c r="E7" s="38">
        <v>41892</v>
      </c>
      <c r="F7" s="26"/>
      <c r="G7" s="26"/>
    </row>
    <row r="8" spans="1:9" x14ac:dyDescent="0.3">
      <c r="A8" s="26" t="str">
        <f>tbl예약현황[강좌코드]&amp;tbl예약현황[고객코드]</f>
        <v>L00001S04015</v>
      </c>
      <c r="B8" s="26" t="s">
        <v>152</v>
      </c>
      <c r="C8" s="26" t="s">
        <v>35</v>
      </c>
      <c r="D8" s="26" t="str">
        <f>IFERROR(VLOOKUP(tbl예약현황[[#This Row],[고객코드]],tbl고객정보[#All],2,0),"")</f>
        <v>박상원</v>
      </c>
      <c r="E8" s="38">
        <v>41866</v>
      </c>
      <c r="F8" s="26"/>
      <c r="G8" s="26"/>
    </row>
    <row r="9" spans="1:9" x14ac:dyDescent="0.3">
      <c r="A9" s="26" t="str">
        <f>tbl예약현황[강좌코드]&amp;tbl예약현황[고객코드]</f>
        <v>L00001S04016</v>
      </c>
      <c r="B9" s="26" t="s">
        <v>152</v>
      </c>
      <c r="C9" s="26" t="s">
        <v>38</v>
      </c>
      <c r="D9" s="26" t="str">
        <f>IFERROR(VLOOKUP(tbl예약현황[[#This Row],[고객코드]],tbl고객정보[#All],2,0),"")</f>
        <v>고희동</v>
      </c>
      <c r="E9" s="38">
        <v>41675</v>
      </c>
      <c r="F9" s="26"/>
      <c r="G9" s="26"/>
    </row>
    <row r="10" spans="1:9" x14ac:dyDescent="0.3">
      <c r="A10" s="26" t="str">
        <f>tbl예약현황[강좌코드]&amp;tbl예약현황[고객코드]</f>
        <v>L00001S04017</v>
      </c>
      <c r="B10" s="26" t="s">
        <v>152</v>
      </c>
      <c r="C10" s="26" t="s">
        <v>41</v>
      </c>
      <c r="D10" s="26" t="str">
        <f>IFERROR(VLOOKUP(tbl예약현황[[#This Row],[고객코드]],tbl고객정보[#All],2,0),"")</f>
        <v>정유진</v>
      </c>
      <c r="E10" s="38">
        <v>41675</v>
      </c>
      <c r="F10" s="26"/>
      <c r="G10" s="26"/>
    </row>
    <row r="11" spans="1:9" x14ac:dyDescent="0.3">
      <c r="A11" s="26" t="str">
        <f>tbl예약현황[강좌코드]&amp;tbl예약현황[고객코드]</f>
        <v>L00001S04018</v>
      </c>
      <c r="B11" s="26" t="s">
        <v>152</v>
      </c>
      <c r="C11" s="26" t="s">
        <v>44</v>
      </c>
      <c r="D11" s="26" t="str">
        <f>IFERROR(VLOOKUP(tbl예약현황[[#This Row],[고객코드]],tbl고객정보[#All],2,0),"")</f>
        <v>홍길동</v>
      </c>
      <c r="E11" s="38">
        <v>41675</v>
      </c>
      <c r="F11" s="26"/>
      <c r="G11" s="26"/>
    </row>
    <row r="12" spans="1:9" x14ac:dyDescent="0.3">
      <c r="A12" s="26" t="str">
        <f>tbl예약현황[강좌코드]&amp;tbl예약현황[고객코드]</f>
        <v>L00001S04019</v>
      </c>
      <c r="B12" s="26" t="s">
        <v>152</v>
      </c>
      <c r="C12" s="26" t="s">
        <v>47</v>
      </c>
      <c r="D12" s="26" t="str">
        <f>IFERROR(VLOOKUP(tbl예약현황[[#This Row],[고객코드]],tbl고객정보[#All],2,0),"")</f>
        <v>김미려</v>
      </c>
      <c r="E12" s="38">
        <v>41892</v>
      </c>
      <c r="F12" s="26"/>
      <c r="G12" s="26"/>
    </row>
    <row r="13" spans="1:9" x14ac:dyDescent="0.3">
      <c r="A13" s="26" t="str">
        <f>tbl예약현황[강좌코드]&amp;tbl예약현황[고객코드]</f>
        <v>L00001S04020</v>
      </c>
      <c r="B13" s="26" t="s">
        <v>152</v>
      </c>
      <c r="C13" s="26" t="s">
        <v>50</v>
      </c>
      <c r="D13" s="26" t="str">
        <f>IFERROR(VLOOKUP(tbl예약현황[[#This Row],[고객코드]],tbl고객정보[#All],2,0),"")</f>
        <v>여홍신</v>
      </c>
      <c r="E13" s="38">
        <v>41866</v>
      </c>
      <c r="F13" s="26"/>
      <c r="G13" s="26"/>
    </row>
    <row r="14" spans="1:9" x14ac:dyDescent="0.3">
      <c r="A14" s="26" t="str">
        <f>tbl예약현황[강좌코드]&amp;tbl예약현황[고객코드]</f>
        <v>L00001S04021</v>
      </c>
      <c r="B14" s="26" t="s">
        <v>152</v>
      </c>
      <c r="C14" s="26" t="s">
        <v>153</v>
      </c>
      <c r="D14" s="26" t="str">
        <f>IFERROR(VLOOKUP(tbl예약현황[[#This Row],[고객코드]],tbl고객정보[#All],2,0),"")</f>
        <v/>
      </c>
      <c r="E14" s="38">
        <v>41675</v>
      </c>
      <c r="F14" s="26"/>
      <c r="G14" s="26"/>
    </row>
    <row r="15" spans="1:9" x14ac:dyDescent="0.3">
      <c r="A15" s="26" t="str">
        <f>tbl예약현황[강좌코드]&amp;tbl예약현황[고객코드]</f>
        <v>L00002S04002</v>
      </c>
      <c r="B15" s="26" t="s">
        <v>77</v>
      </c>
      <c r="C15" s="26" t="s">
        <v>156</v>
      </c>
      <c r="D15" s="26" t="str">
        <f>IFERROR(VLOOKUP(tbl예약현황[[#This Row],[고객코드]],tbl고객정보[#All],2,0),"")</f>
        <v>김수동</v>
      </c>
      <c r="E15" s="38">
        <v>41675</v>
      </c>
      <c r="F15" s="26"/>
      <c r="G15" s="26"/>
    </row>
    <row r="16" spans="1:9" x14ac:dyDescent="0.3">
      <c r="A16" s="26" t="str">
        <f>tbl예약현황[강좌코드]&amp;tbl예약현황[고객코드]</f>
        <v>L00002S04007</v>
      </c>
      <c r="B16" s="26" t="s">
        <v>77</v>
      </c>
      <c r="C16" s="26" t="s">
        <v>157</v>
      </c>
      <c r="D16" s="26" t="str">
        <f>IFERROR(VLOOKUP(tbl예약현황[[#This Row],[고객코드]],tbl고객정보[#All],2,0),"")</f>
        <v>장인영</v>
      </c>
      <c r="E16" s="38">
        <v>41675</v>
      </c>
      <c r="F16" s="26"/>
      <c r="G16" s="26"/>
    </row>
    <row r="17" spans="1:7" x14ac:dyDescent="0.3">
      <c r="A17" s="26" t="str">
        <f>tbl예약현황[강좌코드]&amp;tbl예약현황[고객코드]</f>
        <v>L00002S04009</v>
      </c>
      <c r="B17" s="26" t="s">
        <v>77</v>
      </c>
      <c r="C17" s="26" t="s">
        <v>158</v>
      </c>
      <c r="D17" s="26" t="str">
        <f>IFERROR(VLOOKUP(tbl예약현황[[#This Row],[고객코드]],tbl고객정보[#All],2,0),"")</f>
        <v>이상민</v>
      </c>
      <c r="E17" s="38">
        <v>41892</v>
      </c>
      <c r="F17" s="26"/>
      <c r="G17" s="26"/>
    </row>
    <row r="18" spans="1:7" x14ac:dyDescent="0.3">
      <c r="A18" s="26" t="str">
        <f>tbl예약현황[강좌코드]&amp;tbl예약현황[고객코드]</f>
        <v>L00002S04011</v>
      </c>
      <c r="B18" s="26" t="s">
        <v>77</v>
      </c>
      <c r="C18" s="26" t="s">
        <v>159</v>
      </c>
      <c r="D18" s="26" t="str">
        <f>IFERROR(VLOOKUP(tbl예약현황[[#This Row],[고객코드]],tbl고객정보[#All],2,0),"")</f>
        <v>안국성</v>
      </c>
      <c r="E18" s="38">
        <v>41675</v>
      </c>
      <c r="F18" s="26"/>
      <c r="G18" s="26"/>
    </row>
    <row r="19" spans="1:7" x14ac:dyDescent="0.3">
      <c r="A19" s="26" t="str">
        <f>tbl예약현황[강좌코드]&amp;tbl예약현황[고객코드]</f>
        <v>L00002S04001</v>
      </c>
      <c r="B19" s="26" t="s">
        <v>77</v>
      </c>
      <c r="C19" s="26" t="s">
        <v>160</v>
      </c>
      <c r="D19" s="26" t="str">
        <f>IFERROR(VLOOKUP(tbl예약현황[[#This Row],[고객코드]],tbl고객정보[#All],2,0),"")</f>
        <v>차수경</v>
      </c>
      <c r="E19" s="38">
        <v>41675</v>
      </c>
      <c r="F19" s="26"/>
      <c r="G19" s="26"/>
    </row>
    <row r="20" spans="1:7" x14ac:dyDescent="0.3">
      <c r="A20" s="26" t="str">
        <f>tbl예약현황[강좌코드]&amp;tbl예약현황[고객코드]</f>
        <v>L00002S04003</v>
      </c>
      <c r="B20" s="26" t="s">
        <v>77</v>
      </c>
      <c r="C20" s="26" t="s">
        <v>161</v>
      </c>
      <c r="D20" s="26" t="str">
        <f>IFERROR(VLOOKUP(tbl예약현황[[#This Row],[고객코드]],tbl고객정보[#All],2,0),"")</f>
        <v>서민우</v>
      </c>
      <c r="E20" s="38">
        <v>41866</v>
      </c>
      <c r="F20" s="26"/>
      <c r="G20" s="26"/>
    </row>
    <row r="21" spans="1:7" x14ac:dyDescent="0.3">
      <c r="A21" s="26" t="str">
        <f>tbl예약현황[강좌코드]&amp;tbl예약현황[고객코드]</f>
        <v>L00002S04006</v>
      </c>
      <c r="B21" s="26" t="s">
        <v>77</v>
      </c>
      <c r="C21" s="26" t="s">
        <v>162</v>
      </c>
      <c r="D21" s="26" t="str">
        <f>IFERROR(VLOOKUP(tbl예약현황[[#This Row],[고객코드]],tbl고객정보[#All],2,0),"")</f>
        <v>문현호</v>
      </c>
      <c r="E21" s="38">
        <v>41675</v>
      </c>
      <c r="F21" s="26"/>
      <c r="G21" s="26"/>
    </row>
    <row r="22" spans="1:7" x14ac:dyDescent="0.3">
      <c r="A22" s="26" t="str">
        <f>tbl예약현황[강좌코드]&amp;tbl예약현황[고객코드]</f>
        <v>L00004S04012</v>
      </c>
      <c r="B22" s="26" t="s">
        <v>79</v>
      </c>
      <c r="C22" s="26" t="s">
        <v>26</v>
      </c>
      <c r="D22" s="26" t="str">
        <f>IFERROR(VLOOKUP(tbl예약현황[[#This Row],[고객코드]],tbl고객정보[#All],2,0),"")</f>
        <v>장수연</v>
      </c>
      <c r="E22" s="38">
        <v>41892</v>
      </c>
      <c r="F22" s="26"/>
      <c r="G22" s="26"/>
    </row>
    <row r="23" spans="1:7" x14ac:dyDescent="0.3">
      <c r="A23" s="26" t="str">
        <f>tbl예약현황[강좌코드]&amp;tbl예약현황[고객코드]</f>
        <v>L00004S04014</v>
      </c>
      <c r="B23" s="26" t="s">
        <v>79</v>
      </c>
      <c r="C23" s="26" t="s">
        <v>32</v>
      </c>
      <c r="D23" s="26" t="str">
        <f>IFERROR(VLOOKUP(tbl예약현황[[#This Row],[고객코드]],tbl고객정보[#All],2,0),"")</f>
        <v>이상인</v>
      </c>
      <c r="E23" s="38">
        <v>41892</v>
      </c>
      <c r="F23" s="26"/>
      <c r="G23" s="26"/>
    </row>
    <row r="24" spans="1:7" x14ac:dyDescent="0.3">
      <c r="A24" s="26" t="str">
        <f>tbl예약현황[강좌코드]&amp;tbl예약현황[고객코드]</f>
        <v>L00004S04018</v>
      </c>
      <c r="B24" s="26" t="s">
        <v>79</v>
      </c>
      <c r="C24" s="26" t="s">
        <v>44</v>
      </c>
      <c r="D24" s="26" t="str">
        <f>IFERROR(VLOOKUP(tbl예약현황[[#This Row],[고객코드]],tbl고객정보[#All],2,0),"")</f>
        <v>홍길동</v>
      </c>
      <c r="E24" s="38">
        <v>41675</v>
      </c>
      <c r="F24" s="26"/>
      <c r="G24" s="26"/>
    </row>
    <row r="25" spans="1:7" x14ac:dyDescent="0.3">
      <c r="A25" s="26" t="str">
        <f>tbl예약현황[강좌코드]&amp;tbl예약현황[고객코드]</f>
        <v>L00004S04019</v>
      </c>
      <c r="B25" s="26" t="s">
        <v>79</v>
      </c>
      <c r="C25" s="26" t="s">
        <v>47</v>
      </c>
      <c r="D25" s="26" t="str">
        <f>IFERROR(VLOOKUP(tbl예약현황[[#This Row],[고객코드]],tbl고객정보[#All],2,0),"")</f>
        <v>김미려</v>
      </c>
      <c r="E25" s="38">
        <v>41675</v>
      </c>
      <c r="F25" s="26"/>
      <c r="G25" s="26"/>
    </row>
    <row r="26" spans="1:7" x14ac:dyDescent="0.3">
      <c r="A26" s="26" t="str">
        <f>tbl예약현황[강좌코드]&amp;tbl예약현황[고객코드]</f>
        <v>L00012S04009</v>
      </c>
      <c r="B26" s="26" t="s">
        <v>87</v>
      </c>
      <c r="C26" s="26" t="s">
        <v>158</v>
      </c>
      <c r="D26" s="26" t="str">
        <f>IFERROR(VLOOKUP(tbl예약현황[[#This Row],[고객코드]],tbl고객정보[#All],2,0),"")</f>
        <v>이상민</v>
      </c>
      <c r="E26" s="38">
        <v>41866</v>
      </c>
      <c r="F26" s="26"/>
      <c r="G26" s="26"/>
    </row>
    <row r="27" spans="1:7" x14ac:dyDescent="0.3">
      <c r="A27" s="26" t="str">
        <f>tbl예약현황[강좌코드]&amp;tbl예약현황[고객코드]</f>
        <v>L00012S04010</v>
      </c>
      <c r="B27" s="26" t="s">
        <v>87</v>
      </c>
      <c r="C27" s="26" t="s">
        <v>164</v>
      </c>
      <c r="D27" s="26" t="str">
        <f>IFERROR(VLOOKUP(tbl예약현황[[#This Row],[고객코드]],tbl고객정보[#All],2,0),"")</f>
        <v>김혜련</v>
      </c>
      <c r="E27" s="38">
        <v>41675</v>
      </c>
      <c r="F27" s="26"/>
      <c r="G27" s="26"/>
    </row>
    <row r="28" spans="1:7" x14ac:dyDescent="0.3">
      <c r="A28" s="26" t="str">
        <f>tbl예약현황[강좌코드]&amp;tbl예약현황[고객코드]</f>
        <v>L00012S04011</v>
      </c>
      <c r="B28" s="26" t="s">
        <v>87</v>
      </c>
      <c r="C28" s="26" t="s">
        <v>159</v>
      </c>
      <c r="D28" s="26" t="str">
        <f>IFERROR(VLOOKUP(tbl예약현황[[#This Row],[고객코드]],tbl고객정보[#All],2,0),"")</f>
        <v>안국성</v>
      </c>
      <c r="E28" s="38">
        <v>41866</v>
      </c>
      <c r="F28" s="26"/>
      <c r="G28" s="26"/>
    </row>
    <row r="29" spans="1:7" x14ac:dyDescent="0.3">
      <c r="A29" s="26" t="str">
        <f>tbl예약현황[강좌코드]&amp;tbl예약현황[고객코드]</f>
        <v>L00012S04012</v>
      </c>
      <c r="B29" s="26" t="s">
        <v>87</v>
      </c>
      <c r="C29" s="26" t="s">
        <v>26</v>
      </c>
      <c r="D29" s="26" t="str">
        <f>IFERROR(VLOOKUP(tbl예약현황[[#This Row],[고객코드]],tbl고객정보[#All],2,0),"")</f>
        <v>장수연</v>
      </c>
      <c r="E29" s="38">
        <v>41892</v>
      </c>
      <c r="F29" s="26"/>
      <c r="G29" s="26"/>
    </row>
    <row r="30" spans="1:7" x14ac:dyDescent="0.3">
      <c r="A30" s="26" t="str">
        <f>tbl예약현황[강좌코드]&amp;tbl예약현황[고객코드]</f>
        <v>L00008S04012</v>
      </c>
      <c r="B30" s="26" t="s">
        <v>83</v>
      </c>
      <c r="C30" s="26" t="s">
        <v>26</v>
      </c>
      <c r="D30" s="26" t="str">
        <f>IFERROR(VLOOKUP(tbl예약현황[[#This Row],[고객코드]],tbl고객정보[#All],2,0),"")</f>
        <v>장수연</v>
      </c>
      <c r="E30" s="38">
        <v>41866</v>
      </c>
      <c r="F30" s="26"/>
      <c r="G30" s="26"/>
    </row>
    <row r="31" spans="1:7" x14ac:dyDescent="0.3">
      <c r="A31" s="26" t="str">
        <f>tbl예약현황[강좌코드]&amp;tbl예약현황[고객코드]</f>
        <v>L00008S04015</v>
      </c>
      <c r="B31" s="26" t="s">
        <v>83</v>
      </c>
      <c r="C31" s="26" t="s">
        <v>35</v>
      </c>
      <c r="D31" s="26" t="str">
        <f>IFERROR(VLOOKUP(tbl예약현황[[#This Row],[고객코드]],tbl고객정보[#All],2,0),"")</f>
        <v>박상원</v>
      </c>
      <c r="E31" s="38">
        <v>41675</v>
      </c>
      <c r="F31" s="26"/>
      <c r="G31" s="26"/>
    </row>
    <row r="32" spans="1:7" x14ac:dyDescent="0.3">
      <c r="A32" s="26" t="str">
        <f>tbl예약현황[강좌코드]&amp;tbl예약현황[고객코드]</f>
        <v>L00008S04018</v>
      </c>
      <c r="B32" s="26" t="s">
        <v>83</v>
      </c>
      <c r="C32" s="26" t="s">
        <v>44</v>
      </c>
      <c r="D32" s="26" t="str">
        <f>IFERROR(VLOOKUP(tbl예약현황[[#This Row],[고객코드]],tbl고객정보[#All],2,0),"")</f>
        <v>홍길동</v>
      </c>
      <c r="E32" s="38">
        <v>41675</v>
      </c>
      <c r="F32" s="26"/>
      <c r="G32" s="26"/>
    </row>
    <row r="33" spans="1:7" x14ac:dyDescent="0.3">
      <c r="A33" s="26" t="str">
        <f>tbl예약현황[강좌코드]&amp;tbl예약현황[고객코드]</f>
        <v>L00008S04020</v>
      </c>
      <c r="B33" s="26" t="s">
        <v>83</v>
      </c>
      <c r="C33" s="26" t="s">
        <v>50</v>
      </c>
      <c r="D33" s="26" t="str">
        <f>IFERROR(VLOOKUP(tbl예약현황[[#This Row],[고객코드]],tbl고객정보[#All],2,0),"")</f>
        <v>여홍신</v>
      </c>
      <c r="E33" s="38">
        <v>41978</v>
      </c>
      <c r="F33" s="26"/>
      <c r="G33" s="26"/>
    </row>
    <row r="34" spans="1:7" x14ac:dyDescent="0.3">
      <c r="A34" s="26" t="str">
        <f>tbl예약현황[강좌코드]&amp;tbl예약현황[고객코드]</f>
        <v>L00010S04012</v>
      </c>
      <c r="B34" s="26" t="s">
        <v>85</v>
      </c>
      <c r="C34" s="26" t="s">
        <v>26</v>
      </c>
      <c r="D34" s="26" t="str">
        <f>IFERROR(VLOOKUP(tbl예약현황[[#This Row],[고객코드]],tbl고객정보[#All],2,0),"")</f>
        <v>장수연</v>
      </c>
      <c r="E34" s="38">
        <v>41675</v>
      </c>
      <c r="F34" s="26"/>
      <c r="G34" s="26"/>
    </row>
    <row r="35" spans="1:7" x14ac:dyDescent="0.3">
      <c r="A35" s="26" t="str">
        <f>tbl예약현황[강좌코드]&amp;tbl예약현황[고객코드]</f>
        <v>L00010S04014</v>
      </c>
      <c r="B35" s="26" t="s">
        <v>85</v>
      </c>
      <c r="C35" s="26" t="s">
        <v>32</v>
      </c>
      <c r="D35" s="26" t="str">
        <f>IFERROR(VLOOKUP(tbl예약현황[[#This Row],[고객코드]],tbl고객정보[#All],2,0),"")</f>
        <v>이상인</v>
      </c>
      <c r="E35" s="38">
        <v>41892</v>
      </c>
      <c r="F35" s="26"/>
      <c r="G35" s="26"/>
    </row>
    <row r="36" spans="1:7" x14ac:dyDescent="0.3">
      <c r="A36" s="26" t="str">
        <f>tbl예약현황[강좌코드]&amp;tbl예약현황[고객코드]</f>
        <v>L00010S04015</v>
      </c>
      <c r="B36" s="26" t="s">
        <v>85</v>
      </c>
      <c r="C36" s="26" t="s">
        <v>35</v>
      </c>
      <c r="D36" s="26" t="str">
        <f>IFERROR(VLOOKUP(tbl예약현황[[#This Row],[고객코드]],tbl고객정보[#All],2,0),"")</f>
        <v>박상원</v>
      </c>
      <c r="E36" s="38">
        <v>41866</v>
      </c>
      <c r="F36" s="26"/>
      <c r="G36" s="26"/>
    </row>
    <row r="37" spans="1:7" x14ac:dyDescent="0.3">
      <c r="A37" s="26" t="str">
        <f>tbl예약현황[강좌코드]&amp;tbl예약현황[고객코드]</f>
        <v>L00010S04016</v>
      </c>
      <c r="B37" s="26" t="s">
        <v>85</v>
      </c>
      <c r="C37" s="26" t="s">
        <v>38</v>
      </c>
      <c r="D37" s="26" t="str">
        <f>IFERROR(VLOOKUP(tbl예약현황[[#This Row],[고객코드]],tbl고객정보[#All],2,0),"")</f>
        <v>고희동</v>
      </c>
      <c r="E37" s="38">
        <v>41675</v>
      </c>
      <c r="F37" s="26"/>
      <c r="G37" s="26"/>
    </row>
    <row r="38" spans="1:7" x14ac:dyDescent="0.3">
      <c r="A38" s="26" t="str">
        <f>tbl예약현황[강좌코드]&amp;tbl예약현황[고객코드]</f>
        <v>L00009S04013</v>
      </c>
      <c r="B38" s="26" t="s">
        <v>84</v>
      </c>
      <c r="C38" s="26" t="s">
        <v>29</v>
      </c>
      <c r="D38" s="26" t="str">
        <f>IFERROR(VLOOKUP(tbl예약현황[[#This Row],[고객코드]],tbl고객정보[#All],2,0),"")</f>
        <v>최승호</v>
      </c>
      <c r="E38" s="38">
        <v>41866</v>
      </c>
      <c r="F38" s="26"/>
      <c r="G38" s="26"/>
    </row>
    <row r="39" spans="1:7" x14ac:dyDescent="0.3">
      <c r="A39" s="26" t="str">
        <f>tbl예약현황[강좌코드]&amp;tbl예약현황[고객코드]</f>
        <v>L00009S04016</v>
      </c>
      <c r="B39" s="26" t="s">
        <v>84</v>
      </c>
      <c r="C39" s="26" t="s">
        <v>38</v>
      </c>
      <c r="D39" s="26" t="str">
        <f>IFERROR(VLOOKUP(tbl예약현황[[#This Row],[고객코드]],tbl고객정보[#All],2,0),"")</f>
        <v>고희동</v>
      </c>
      <c r="E39" s="38">
        <v>41866</v>
      </c>
      <c r="F39" s="26"/>
      <c r="G39" s="26"/>
    </row>
    <row r="40" spans="1:7" x14ac:dyDescent="0.3">
      <c r="A40" s="26" t="str">
        <f>tbl예약현황[강좌코드]&amp;tbl예약현황[고객코드]</f>
        <v>L00009S04018</v>
      </c>
      <c r="B40" s="26" t="s">
        <v>84</v>
      </c>
      <c r="C40" s="26" t="s">
        <v>44</v>
      </c>
      <c r="D40" s="26" t="str">
        <f>IFERROR(VLOOKUP(tbl예약현황[[#This Row],[고객코드]],tbl고객정보[#All],2,0),"")</f>
        <v>홍길동</v>
      </c>
      <c r="E40" s="38">
        <v>41675</v>
      </c>
      <c r="F40" s="26"/>
      <c r="G40" s="26"/>
    </row>
    <row r="41" spans="1:7" x14ac:dyDescent="0.3">
      <c r="A41" s="26" t="str">
        <f>tbl예약현황[강좌코드]&amp;tbl예약현황[고객코드]</f>
        <v>L00009S04020</v>
      </c>
      <c r="B41" s="26" t="s">
        <v>84</v>
      </c>
      <c r="C41" s="26" t="s">
        <v>50</v>
      </c>
      <c r="D41" s="26" t="str">
        <f>IFERROR(VLOOKUP(tbl예약현황[[#This Row],[고객코드]],tbl고객정보[#All],2,0),"")</f>
        <v>여홍신</v>
      </c>
      <c r="E41" s="38">
        <v>41675</v>
      </c>
      <c r="F41" s="26"/>
      <c r="G41" s="26"/>
    </row>
    <row r="42" spans="1:7" x14ac:dyDescent="0.3">
      <c r="A42" s="26" t="str">
        <f>tbl예약현황[강좌코드]&amp;tbl예약현황[고객코드]</f>
        <v>L00007S04001</v>
      </c>
      <c r="B42" s="26" t="s">
        <v>82</v>
      </c>
      <c r="C42" s="26" t="s">
        <v>160</v>
      </c>
      <c r="D42" s="26" t="str">
        <f>IFERROR(VLOOKUP(tbl예약현황[[#This Row],[고객코드]],tbl고객정보[#All],2,0),"")</f>
        <v>차수경</v>
      </c>
      <c r="E42" s="38">
        <v>41866</v>
      </c>
      <c r="F42" s="26"/>
      <c r="G42" s="26"/>
    </row>
    <row r="43" spans="1:7" x14ac:dyDescent="0.3">
      <c r="A43" s="26" t="str">
        <f>tbl예약현황[강좌코드]&amp;tbl예약현황[고객코드]</f>
        <v>L00007S04003</v>
      </c>
      <c r="B43" s="26" t="s">
        <v>82</v>
      </c>
      <c r="C43" s="26" t="s">
        <v>161</v>
      </c>
      <c r="D43" s="26" t="str">
        <f>IFERROR(VLOOKUP(tbl예약현황[[#This Row],[고객코드]],tbl고객정보[#All],2,0),"")</f>
        <v>서민우</v>
      </c>
      <c r="E43" s="38">
        <v>41978</v>
      </c>
      <c r="F43" s="26"/>
      <c r="G43" s="26"/>
    </row>
    <row r="44" spans="1:7" x14ac:dyDescent="0.3">
      <c r="A44" s="26" t="str">
        <f>tbl예약현황[강좌코드]&amp;tbl예약현황[고객코드]</f>
        <v>L00007S04013</v>
      </c>
      <c r="B44" s="26" t="s">
        <v>82</v>
      </c>
      <c r="C44" s="26" t="s">
        <v>29</v>
      </c>
      <c r="D44" s="26" t="str">
        <f>IFERROR(VLOOKUP(tbl예약현황[[#This Row],[고객코드]],tbl고객정보[#All],2,0),"")</f>
        <v>최승호</v>
      </c>
      <c r="E44" s="38">
        <v>41978</v>
      </c>
      <c r="F44" s="26"/>
      <c r="G44" s="26"/>
    </row>
    <row r="45" spans="1:7" x14ac:dyDescent="0.3">
      <c r="A45" s="26" t="str">
        <f>tbl예약현황[강좌코드]&amp;tbl예약현황[고객코드]</f>
        <v>L00007S04017</v>
      </c>
      <c r="B45" s="26" t="s">
        <v>82</v>
      </c>
      <c r="C45" s="26" t="s">
        <v>41</v>
      </c>
      <c r="D45" s="26" t="str">
        <f>IFERROR(VLOOKUP(tbl예약현황[[#This Row],[고객코드]],tbl고객정보[#All],2,0),"")</f>
        <v>정유진</v>
      </c>
      <c r="E45" s="38">
        <v>41675</v>
      </c>
      <c r="F45" s="26"/>
      <c r="G45" s="26"/>
    </row>
    <row r="46" spans="1:7" x14ac:dyDescent="0.3">
      <c r="A46" s="26" t="str">
        <f>tbl예약현황[강좌코드]&amp;tbl예약현황[고객코드]</f>
        <v>L00007S04021</v>
      </c>
      <c r="B46" s="26" t="s">
        <v>82</v>
      </c>
      <c r="C46" s="26" t="s">
        <v>153</v>
      </c>
      <c r="D46" s="26" t="str">
        <f>IFERROR(VLOOKUP(tbl예약현황[[#This Row],[고객코드]],tbl고객정보[#All],2,0),"")</f>
        <v/>
      </c>
      <c r="E46" s="38">
        <v>41675</v>
      </c>
      <c r="F46" s="26"/>
      <c r="G46" s="26"/>
    </row>
    <row r="47" spans="1:7" x14ac:dyDescent="0.3">
      <c r="A47" s="26" t="str">
        <f>tbl예약현황[강좌코드]&amp;tbl예약현황[고객코드]</f>
        <v>L00003S04002</v>
      </c>
      <c r="B47" s="26" t="s">
        <v>78</v>
      </c>
      <c r="C47" s="26" t="s">
        <v>156</v>
      </c>
      <c r="D47" s="26" t="str">
        <f>IFERROR(VLOOKUP(tbl예약현황[[#This Row],[고객코드]],tbl고객정보[#All],2,0),"")</f>
        <v>김수동</v>
      </c>
      <c r="E47" s="38">
        <v>41675</v>
      </c>
      <c r="F47" s="26"/>
      <c r="G47" s="26"/>
    </row>
    <row r="48" spans="1:7" x14ac:dyDescent="0.3">
      <c r="A48" s="26" t="str">
        <f>tbl예약현황[강좌코드]&amp;tbl예약현황[고객코드]</f>
        <v>L00003S04012</v>
      </c>
      <c r="B48" s="26" t="s">
        <v>78</v>
      </c>
      <c r="C48" s="26" t="s">
        <v>26</v>
      </c>
      <c r="D48" s="26" t="str">
        <f>IFERROR(VLOOKUP(tbl예약현황[[#This Row],[고객코드]],tbl고객정보[#All],2,0),"")</f>
        <v>장수연</v>
      </c>
      <c r="E48" s="38">
        <v>41675</v>
      </c>
      <c r="F48" s="26"/>
      <c r="G48" s="26"/>
    </row>
    <row r="49" spans="1:7" x14ac:dyDescent="0.3">
      <c r="A49" s="26" t="str">
        <f>tbl예약현황[강좌코드]&amp;tbl예약현황[고객코드]</f>
        <v>L00003S04016</v>
      </c>
      <c r="B49" s="26" t="s">
        <v>78</v>
      </c>
      <c r="C49" s="26" t="s">
        <v>38</v>
      </c>
      <c r="D49" s="26" t="str">
        <f>IFERROR(VLOOKUP(tbl예약현황[[#This Row],[고객코드]],tbl고객정보[#All],2,0),"")</f>
        <v>고희동</v>
      </c>
      <c r="E49" s="38">
        <v>41978</v>
      </c>
      <c r="F49" s="26"/>
      <c r="G49" s="26"/>
    </row>
    <row r="50" spans="1:7" x14ac:dyDescent="0.3">
      <c r="A50" s="26" t="str">
        <f>tbl예약현황[강좌코드]&amp;tbl예약현황[고객코드]</f>
        <v>L00003S04020</v>
      </c>
      <c r="B50" s="26" t="s">
        <v>78</v>
      </c>
      <c r="C50" s="26" t="s">
        <v>50</v>
      </c>
      <c r="D50" s="26" t="str">
        <f>IFERROR(VLOOKUP(tbl예약현황[[#This Row],[고객코드]],tbl고객정보[#All],2,0),"")</f>
        <v>여홍신</v>
      </c>
      <c r="E50" s="38">
        <v>41866</v>
      </c>
      <c r="F50" s="26"/>
      <c r="G50" s="26"/>
    </row>
    <row r="51" spans="1:7" x14ac:dyDescent="0.3">
      <c r="A51" s="26" t="str">
        <f>tbl예약현황[강좌코드]&amp;tbl예약현황[고객코드]</f>
        <v>L00005S04012</v>
      </c>
      <c r="B51" s="26" t="s">
        <v>80</v>
      </c>
      <c r="C51" s="26" t="s">
        <v>26</v>
      </c>
      <c r="D51" s="26" t="str">
        <f>IFERROR(VLOOKUP(tbl예약현황[[#This Row],[고객코드]],tbl고객정보[#All],2,0),"")</f>
        <v>장수연</v>
      </c>
      <c r="E51" s="38">
        <v>41978</v>
      </c>
      <c r="F51" s="26"/>
      <c r="G51" s="26"/>
    </row>
    <row r="52" spans="1:7" x14ac:dyDescent="0.3">
      <c r="A52" s="26" t="str">
        <f>tbl예약현황[강좌코드]&amp;tbl예약현황[고객코드]</f>
        <v>L00005S04015</v>
      </c>
      <c r="B52" s="26" t="s">
        <v>80</v>
      </c>
      <c r="C52" s="26" t="s">
        <v>35</v>
      </c>
      <c r="D52" s="26" t="str">
        <f>IFERROR(VLOOKUP(tbl예약현황[[#This Row],[고객코드]],tbl고객정보[#All],2,0),"")</f>
        <v>박상원</v>
      </c>
      <c r="E52" s="38">
        <v>41978</v>
      </c>
      <c r="F52" s="26"/>
      <c r="G52" s="26"/>
    </row>
    <row r="53" spans="1:7" x14ac:dyDescent="0.3">
      <c r="A53" s="26" t="str">
        <f>tbl예약현황[강좌코드]&amp;tbl예약현황[고객코드]</f>
        <v>L00006S04013</v>
      </c>
      <c r="B53" s="26" t="s">
        <v>81</v>
      </c>
      <c r="C53" s="26" t="s">
        <v>29</v>
      </c>
      <c r="D53" s="26" t="str">
        <f>IFERROR(VLOOKUP(tbl예약현황[[#This Row],[고객코드]],tbl고객정보[#All],2,0),"")</f>
        <v>최승호</v>
      </c>
      <c r="E53" s="38">
        <v>41978</v>
      </c>
      <c r="F53" s="26"/>
      <c r="G53" s="26"/>
    </row>
    <row r="54" spans="1:7" x14ac:dyDescent="0.3">
      <c r="A54" s="26" t="str">
        <f>tbl예약현황[강좌코드]&amp;tbl예약현황[고객코드]</f>
        <v>L00006S04017</v>
      </c>
      <c r="B54" s="26" t="s">
        <v>81</v>
      </c>
      <c r="C54" s="26" t="s">
        <v>41</v>
      </c>
      <c r="D54" s="26" t="str">
        <f>IFERROR(VLOOKUP(tbl예약현황[[#This Row],[고객코드]],tbl고객정보[#All],2,0),"")</f>
        <v>정유진</v>
      </c>
      <c r="E54" s="38">
        <v>41978</v>
      </c>
      <c r="F54" s="26"/>
      <c r="G54" s="26"/>
    </row>
  </sheetData>
  <mergeCells count="1">
    <mergeCell ref="A1:E1"/>
  </mergeCells>
  <phoneticPr fontId="1" type="noConversion"/>
  <printOptions horizontalCentered="1"/>
  <pageMargins left="0.74803149606299213" right="0.74803149606299213" top="0.98425196850393704" bottom="0.78740157480314965" header="0.39370078740157483" footer="0.39370078740157483"/>
  <pageSetup paperSize="9" orientation="portrait" r:id="rId1"/>
  <headerFooter alignWithMargins="0">
    <oddHeader>&amp;R&amp;"굴림,굵게"&amp;9도서출판 길벗&amp;"굴림,보통"&amp;10 &amp;G</oddHeader>
    <oddFooter>&amp;L&amp;9인쇄일: &amp;D&amp;C&amp;"굴림,굵게"&amp;9- &amp;P/&amp;N -</oddFooter>
  </headerFooter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0" tint="-0.499984740745262"/>
  </sheetPr>
  <dimension ref="A1:I18"/>
  <sheetViews>
    <sheetView showGridLines="0" view="pageBreakPreview" zoomScale="90" zoomScaleNormal="100" zoomScaleSheetLayoutView="90" workbookViewId="0">
      <selection activeCell="A9" sqref="A9:XFD11"/>
    </sheetView>
  </sheetViews>
  <sheetFormatPr defaultRowHeight="16.5" x14ac:dyDescent="0.3"/>
  <cols>
    <col min="1" max="1" width="6.5" customWidth="1"/>
    <col min="2" max="2" width="3.375" style="1" customWidth="1"/>
    <col min="3" max="3" width="6.375" style="1" customWidth="1"/>
    <col min="4" max="4" width="11.375" style="1" customWidth="1"/>
    <col min="5" max="5" width="11.875" customWidth="1"/>
    <col min="7" max="7" width="12.5" style="1" customWidth="1"/>
    <col min="8" max="8" width="10.25" customWidth="1"/>
    <col min="9" max="9" width="11.25" customWidth="1"/>
    <col min="10" max="10" width="3.125" customWidth="1"/>
  </cols>
  <sheetData>
    <row r="1" spans="1:9" ht="20.25" x14ac:dyDescent="0.3">
      <c r="A1" s="52" t="s">
        <v>58</v>
      </c>
      <c r="B1" s="52"/>
      <c r="C1" s="52"/>
      <c r="D1" s="52"/>
      <c r="E1" s="52"/>
      <c r="F1" s="52"/>
      <c r="G1" s="52"/>
      <c r="H1" s="52"/>
      <c r="I1" s="52"/>
    </row>
    <row r="3" spans="1:9" x14ac:dyDescent="0.3">
      <c r="A3" s="53" t="s">
        <v>61</v>
      </c>
      <c r="B3" s="53"/>
      <c r="C3" s="53" t="s">
        <v>178</v>
      </c>
      <c r="D3" s="53"/>
      <c r="E3" s="53"/>
      <c r="F3" s="16" t="s">
        <v>56</v>
      </c>
      <c r="G3" s="54" t="s">
        <v>181</v>
      </c>
      <c r="H3" s="54"/>
      <c r="I3" s="54"/>
    </row>
    <row r="4" spans="1:9" x14ac:dyDescent="0.3">
      <c r="A4" s="53" t="s">
        <v>62</v>
      </c>
      <c r="B4" s="53"/>
      <c r="C4" s="53" t="s">
        <v>179</v>
      </c>
      <c r="D4" s="53"/>
      <c r="E4" s="53"/>
    </row>
    <row r="5" spans="1:9" x14ac:dyDescent="0.3">
      <c r="A5" s="53" t="s">
        <v>65</v>
      </c>
      <c r="B5" s="53"/>
      <c r="C5" s="53" t="s">
        <v>180</v>
      </c>
      <c r="D5" s="53"/>
      <c r="E5" s="53"/>
    </row>
    <row r="6" spans="1:9" ht="17.25" thickBot="1" x14ac:dyDescent="0.35"/>
    <row r="7" spans="1:9" x14ac:dyDescent="0.3">
      <c r="A7" s="27" t="s">
        <v>60</v>
      </c>
      <c r="B7" s="50" t="s">
        <v>150</v>
      </c>
      <c r="C7" s="51"/>
      <c r="D7" s="40" t="s">
        <v>151</v>
      </c>
      <c r="E7" s="49" t="s">
        <v>63</v>
      </c>
      <c r="F7" s="49"/>
      <c r="G7" s="40" t="s">
        <v>149</v>
      </c>
      <c r="H7" s="28" t="s">
        <v>64</v>
      </c>
      <c r="I7" s="29" t="s">
        <v>66</v>
      </c>
    </row>
    <row r="8" spans="1:9" s="1" customFormat="1" ht="16.5" customHeight="1" x14ac:dyDescent="0.3">
      <c r="A8" s="17">
        <v>1</v>
      </c>
      <c r="B8" s="55" t="s">
        <v>182</v>
      </c>
      <c r="C8" s="56"/>
      <c r="D8" s="19" t="s">
        <v>183</v>
      </c>
      <c r="E8" s="55" t="str">
        <f>IFERROR(VLOOKUP(B8,tbl고객정보[],3,0),"")</f>
        <v>대통 택배</v>
      </c>
      <c r="F8" s="56"/>
      <c r="G8" s="41" t="s">
        <v>184</v>
      </c>
      <c r="H8" s="19"/>
      <c r="I8" s="18"/>
    </row>
    <row r="9" spans="1:9" s="1" customFormat="1" ht="16.5" customHeight="1" x14ac:dyDescent="0.3">
      <c r="A9" s="17">
        <v>2</v>
      </c>
      <c r="B9" s="55" t="s">
        <v>185</v>
      </c>
      <c r="C9" s="56"/>
      <c r="D9" s="19" t="s">
        <v>186</v>
      </c>
      <c r="E9" s="55" t="str">
        <f>IFERROR(VLOOKUP(B9,tbl고객정보[],3,0),"")</f>
        <v>이지원 네트워크</v>
      </c>
      <c r="F9" s="56"/>
      <c r="G9" s="43" t="s">
        <v>184</v>
      </c>
      <c r="H9" s="19"/>
      <c r="I9" s="18"/>
    </row>
    <row r="10" spans="1:9" s="1" customFormat="1" ht="16.5" customHeight="1" x14ac:dyDescent="0.3">
      <c r="A10" s="17">
        <v>3</v>
      </c>
      <c r="B10" s="55" t="s">
        <v>187</v>
      </c>
      <c r="C10" s="56"/>
      <c r="D10" s="19" t="s">
        <v>188</v>
      </c>
      <c r="E10" s="55" t="str">
        <f>IFERROR(VLOOKUP(B10,tbl고객정보[],3,0),"")</f>
        <v>케이윌 시스템</v>
      </c>
      <c r="F10" s="56"/>
      <c r="G10" s="43" t="s">
        <v>189</v>
      </c>
      <c r="H10" s="19"/>
      <c r="I10" s="18"/>
    </row>
    <row r="11" spans="1:9" s="1" customFormat="1" ht="16.5" customHeight="1" x14ac:dyDescent="0.3">
      <c r="A11" s="17">
        <v>4</v>
      </c>
      <c r="B11" s="55" t="s">
        <v>190</v>
      </c>
      <c r="C11" s="56"/>
      <c r="D11" s="19" t="s">
        <v>163</v>
      </c>
      <c r="E11" s="55" t="str">
        <f>IFERROR(VLOOKUP(B11,tbl고객정보[],3,0),"")</f>
        <v>유진무역</v>
      </c>
      <c r="F11" s="56"/>
      <c r="G11" s="43" t="s">
        <v>191</v>
      </c>
      <c r="H11" s="19"/>
      <c r="I11" s="18"/>
    </row>
    <row r="12" spans="1:9" s="1" customFormat="1" ht="16.5" customHeight="1" x14ac:dyDescent="0.3">
      <c r="A12"/>
      <c r="B12"/>
      <c r="C12"/>
      <c r="D12"/>
      <c r="E12"/>
      <c r="F12"/>
      <c r="G12"/>
      <c r="H12"/>
      <c r="I12"/>
    </row>
    <row r="13" spans="1:9" s="1" customFormat="1" ht="16.5" customHeight="1" x14ac:dyDescent="0.3">
      <c r="A13"/>
      <c r="B13"/>
      <c r="C13"/>
      <c r="D13"/>
      <c r="E13"/>
      <c r="F13"/>
      <c r="G13"/>
      <c r="H13"/>
      <c r="I13"/>
    </row>
    <row r="14" spans="1:9" s="1" customFormat="1" ht="16.5" customHeight="1" x14ac:dyDescent="0.3">
      <c r="A14"/>
      <c r="B14"/>
      <c r="C14"/>
      <c r="D14"/>
      <c r="E14"/>
      <c r="F14"/>
      <c r="G14"/>
      <c r="H14"/>
      <c r="I14"/>
    </row>
    <row r="15" spans="1:9" s="1" customFormat="1" ht="16.5" customHeight="1" x14ac:dyDescent="0.3">
      <c r="A15"/>
      <c r="B15"/>
      <c r="C15"/>
      <c r="D15"/>
      <c r="E15"/>
      <c r="F15"/>
      <c r="G15"/>
      <c r="H15"/>
      <c r="I15"/>
    </row>
    <row r="16" spans="1:9" s="1" customFormat="1" ht="16.5" customHeight="1" x14ac:dyDescent="0.3">
      <c r="A16"/>
      <c r="B16"/>
      <c r="C16"/>
      <c r="D16"/>
      <c r="E16"/>
      <c r="F16"/>
      <c r="G16"/>
      <c r="H16"/>
      <c r="I16"/>
    </row>
    <row r="17" spans="1:9" s="1" customFormat="1" ht="16.5" customHeight="1" x14ac:dyDescent="0.3">
      <c r="A17"/>
      <c r="B17"/>
      <c r="C17"/>
      <c r="D17"/>
      <c r="E17"/>
      <c r="F17"/>
      <c r="G17"/>
      <c r="H17"/>
      <c r="I17"/>
    </row>
    <row r="18" spans="1:9" x14ac:dyDescent="0.3">
      <c r="B18"/>
      <c r="C18"/>
      <c r="D18"/>
      <c r="G18"/>
    </row>
  </sheetData>
  <mergeCells count="18">
    <mergeCell ref="E8:F8"/>
    <mergeCell ref="E9:F9"/>
    <mergeCell ref="E10:F10"/>
    <mergeCell ref="E11:F11"/>
    <mergeCell ref="B8:C8"/>
    <mergeCell ref="B9:C9"/>
    <mergeCell ref="B10:C10"/>
    <mergeCell ref="B11:C11"/>
    <mergeCell ref="E7:F7"/>
    <mergeCell ref="B7:C7"/>
    <mergeCell ref="A1:I1"/>
    <mergeCell ref="A3:B3"/>
    <mergeCell ref="A4:B4"/>
    <mergeCell ref="A5:B5"/>
    <mergeCell ref="C3:E3"/>
    <mergeCell ref="C4:E4"/>
    <mergeCell ref="C5:E5"/>
    <mergeCell ref="G3:I3"/>
  </mergeCells>
  <phoneticPr fontId="1" type="noConversion"/>
  <printOptions horizontalCentered="1"/>
  <pageMargins left="0.47244094488188981" right="0.31496062992125984" top="0.74803149606299213" bottom="0.74803149606299213" header="0.31496062992125984" footer="0.31496062992125984"/>
  <pageSetup paperSize="9" orientation="portrait" verticalDpi="0" r:id="rId1"/>
  <headerFooter>
    <oddFooter>&amp;C&amp;"-,굵게"&amp;10- &amp;P/&amp;N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이름이 지정된 범위</vt:lpstr>
      </vt:variant>
      <vt:variant>
        <vt:i4>11</vt:i4>
      </vt:variant>
    </vt:vector>
  </HeadingPairs>
  <TitlesOfParts>
    <vt:vector size="17" baseType="lpstr">
      <vt:lpstr>Main</vt:lpstr>
      <vt:lpstr>@작업시트</vt:lpstr>
      <vt:lpstr>고객목록</vt:lpstr>
      <vt:lpstr>강좌목록</vt:lpstr>
      <vt:lpstr>예약현황</vt:lpstr>
      <vt:lpstr>출력-강좌별</vt:lpstr>
      <vt:lpstr>'@작업시트'!Criteria</vt:lpstr>
      <vt:lpstr>'@작업시트'!Extract</vt:lpstr>
      <vt:lpstr>nmMax코드</vt:lpstr>
      <vt:lpstr>nm강좌_조건</vt:lpstr>
      <vt:lpstr>nm강좌_출력</vt:lpstr>
      <vt:lpstr>nm고객_조건</vt:lpstr>
      <vt:lpstr>nm고객_출력</vt:lpstr>
      <vt:lpstr>nm예약_조건</vt:lpstr>
      <vt:lpstr>nm예약_출력</vt:lpstr>
      <vt:lpstr>'출력-강좌별'!Print_Area</vt:lpstr>
      <vt:lpstr>'출력-강좌별'!Print_Titles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cp:lastPrinted>2014-02-05T08:30:53Z</cp:lastPrinted>
  <dcterms:created xsi:type="dcterms:W3CDTF">2013-11-01T06:50:11Z</dcterms:created>
  <dcterms:modified xsi:type="dcterms:W3CDTF">2014-12-02T09:29:07Z</dcterms:modified>
  <cp:category>엑셀 매크로</cp:category>
</cp:coreProperties>
</file>