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'@작업시트'!$K$5:$M$6</definedName>
    <definedName name="_xlnm.Extract" localSheetId="1">'@작업시트'!$O$5:$V$5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'출력-강좌별'!$A$1:$I$18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E17" i="9"/>
  <c r="E16" i="9"/>
  <c r="E15" i="9"/>
  <c r="E14" i="9"/>
  <c r="E13" i="9"/>
  <c r="E12" i="9"/>
  <c r="E11" i="9"/>
  <c r="E10" i="9"/>
  <c r="E9" i="9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<sst xmlns="http://schemas.openxmlformats.org/spreadsheetml/2006/main" count="503" uniqueCount="209">
  <si>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</si>
  <si>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</si>
  <si>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</si>
  <si>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</si>
  <si>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</si>
  <si>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</si>
  <si>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</si>
  <si>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</si>
  <si>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</si>
  <si>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</si>
  <si>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</si>
  <si>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</si>
  <si>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</si>
  <si>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</si>
  <si>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</si>
  <si>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</si>
  <si>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</si>
  <si>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</si>
  <si>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</si>
  <si>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</si>
  <si>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</si>
  <si>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</si>
  <si>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</si>
  <si>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</si>
  <si>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</si>
  <si>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</si>
  <si>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</si>
  <si>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</si>
  <si>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</si>
  <si>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</si>
  <si>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</si>
  <si>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</si>
  <si>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</si>
  <si>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</si>
  <si>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</si>
  <si>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</si>
  <si>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</si>
  <si>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</si>
  <si>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</si>
  <si>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</si>
  <si>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</si>
  <si>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</si>
  <si>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</si>
  <si>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</si>
  <si>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</si>
  <si>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</si>
  <si>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</si>
  <si>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</si>
  <si>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</si>
  <si>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</si>
  <si>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</si>
  <si>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</si>
  <si>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</si>
  <si>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</si>
  <si>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</si>
  <si>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</si>
  <si>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</si>
  <si>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</si>
  <si>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</si>
  <si>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</si>
  <si>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</si>
  <si>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</si>
  <si>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</si>
  <si>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</si>
  <si>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</si>
  <si>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</si>
  <si>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</si>
  <si>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</si>
  <si>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</si>
  <si>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</si>
  <si>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</si>
  <si>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</si>
  <si>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</si>
  <si>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</si>
  <si>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</si>
  <si>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</si>
  <si>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</si>
  <si>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</si>
  <si>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</si>
  <si>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</si>
  <si>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</si>
  <si>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</si>
  <si>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</si>
  <si>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</si>
  <si>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</si>
  <si>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</si>
  <si>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</si>
  <si>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</si>
  <si>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</si>
  <si>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</si>
  <si>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</si>
  <si>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</si>
  <si>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</si>
  <si>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</si>
  <si>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</si>
  <si>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</si>
  <si>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</si>
  <si>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</si>
  <si>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</si>
  <si>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</si>
  <si>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</si>
  <si>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</si>
  <si>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</si>
  <si>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</si>
  <si>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</si>
  <si>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</si>
  <si>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</si>
  <si>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</si>
  <si>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</si>
  <si>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</si>
  <si>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</si>
  <si>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</si>
  <si>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</si>
  <si>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</si>
  <si>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</si>
  <si>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</si>
  <si>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</si>
  <si>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</si>
  <si>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</si>
  <si>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</si>
  <si>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</si>
  <si>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</si>
  <si>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</si>
  <si>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</si>
  <si>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</si>
  <si>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</si>
  <si>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</si>
  <si>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</si>
  <si>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</si>
  <si>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</si>
  <si>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</si>
  <si>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</si>
  <si>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</si>
  <si>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</si>
  <si>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</si>
  <si>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</si>
  <si>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</si>
  <si>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</si>
  <si>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</si>
  <si>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</si>
  <si>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</si>
  <si>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</si>
  <si>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</si>
  <si>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</si>
  <si>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</si>
  <si>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</si>
  <si>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</si>
  <si>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</si>
  <si>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</si>
  <si>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</si>
  <si>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</si>
  <si>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</si>
  <si>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</si>
  <si>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</si>
  <si>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14-10-02(목)</t>
    <phoneticPr fontId="1" type="noConversion"/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</si>
  <si>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</si>
  <si>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</si>
  <si>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</si>
  <si>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</si>
  <si>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</si>
  <si>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</si>
  <si>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</si>
  <si>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</si>
  <si>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</si>
  <si>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인문의 시대, 르네상스 (L00001)</t>
    <phoneticPr fontId="1" type="noConversion"/>
  </si>
  <si>
    <t>교육문화회관</t>
    <phoneticPr fontId="1" type="noConversion"/>
  </si>
  <si>
    <t>최인문 교수</t>
    <phoneticPr fontId="1" type="noConversion"/>
  </si>
  <si>
    <t>S04012</t>
    <phoneticPr fontId="1" type="noConversion"/>
  </si>
  <si>
    <t>장수연</t>
    <phoneticPr fontId="1" type="noConversion"/>
  </si>
  <si>
    <t>14-02-05(수)</t>
    <phoneticPr fontId="1" type="noConversion"/>
  </si>
  <si>
    <t>S04013</t>
    <phoneticPr fontId="1" type="noConversion"/>
  </si>
  <si>
    <t>최승호</t>
    <phoneticPr fontId="1" type="noConversion"/>
  </si>
  <si>
    <t>S04014</t>
    <phoneticPr fontId="1" type="noConversion"/>
  </si>
  <si>
    <t>이상인</t>
    <phoneticPr fontId="1" type="noConversion"/>
  </si>
  <si>
    <t>S04015</t>
    <phoneticPr fontId="1" type="noConversion"/>
  </si>
  <si>
    <t>박상원</t>
    <phoneticPr fontId="1" type="noConversion"/>
  </si>
  <si>
    <t>S04016</t>
    <phoneticPr fontId="1" type="noConversion"/>
  </si>
  <si>
    <t>고희동</t>
    <phoneticPr fontId="1" type="noConversion"/>
  </si>
  <si>
    <t>S04017</t>
    <phoneticPr fontId="1" type="noConversion"/>
  </si>
  <si>
    <t>정유진</t>
    <phoneticPr fontId="1" type="noConversion"/>
  </si>
  <si>
    <t>S04018</t>
    <phoneticPr fontId="1" type="noConversion"/>
  </si>
  <si>
    <t>홍길동</t>
    <phoneticPr fontId="1" type="noConversion"/>
  </si>
  <si>
    <t>S04019</t>
    <phoneticPr fontId="1" type="noConversion"/>
  </si>
  <si>
    <t>김미려</t>
    <phoneticPr fontId="1" type="noConversion"/>
  </si>
  <si>
    <t>S04020</t>
    <phoneticPr fontId="1" type="noConversion"/>
  </si>
  <si>
    <t>여홍신</t>
    <phoneticPr fontId="1" type="noConversion"/>
  </si>
  <si>
    <t>S04021</t>
    <phoneticPr fontId="1" type="noConversion"/>
  </si>
  <si>
    <t>이몽룡</t>
    <phoneticPr fontId="1" type="noConversion"/>
  </si>
  <si>
    <t>S04010</t>
  </si>
  <si>
    <t>**</t>
    <phoneticPr fontId="1" type="noConversion"/>
  </si>
  <si>
    <t>이상민</t>
  </si>
  <si>
    <t>안국성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</si>
  <si>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</si>
  <si>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</si>
  <si>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</si>
  <si>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</si>
  <si>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</si>
  <si>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</si>
  <si>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</si>
  <si>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</si>
  <si>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L00002</t>
    <phoneticPr fontId="3" type="noConversion"/>
  </si>
  <si>
    <t>김수동</t>
  </si>
  <si>
    <t>장인영</t>
  </si>
  <si>
    <t>차수경</t>
  </si>
  <si>
    <t>서민우</t>
  </si>
  <si>
    <t>문현호</t>
  </si>
  <si>
    <t>&gt;=2014-10-1</t>
    <phoneticPr fontId="3" type="noConversion"/>
  </si>
  <si>
    <t>&lt;=2014-12-21</t>
    <phoneticPr fontId="3" type="noConversion"/>
  </si>
  <si>
    <t>Ver. 20141117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</si>
</sst>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L21" sqref="L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208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80" r:id="rId4" name="Label1">
          <controlPr defaultSize="0" autoLine="0" r:id="rId5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4" name="Label1"/>
      </mc:Fallback>
    </mc:AlternateContent>
    <mc:AlternateContent xmlns:mc="http://schemas.openxmlformats.org/markup-compatibility/2006">
      <mc:Choice Requires="x14">
        <control shapeId="3079" r:id="rId6" name="lstSheet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6" name="lstSheet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192</v>
      </c>
    </row>
    <row r="2" spans="1:30" s="1" customFormat="1" ht="9" customHeight="1" x14ac:dyDescent="0.3">
      <c r="A2" s="44"/>
    </row>
    <row r="3" spans="1:30" s="1" customFormat="1" x14ac:dyDescent="0.3">
      <c r="A3" s="1" t="s">
        <v>193</v>
      </c>
      <c r="C3" s="1" t="s">
        <v>194</v>
      </c>
      <c r="E3" s="1" t="s">
        <v>195</v>
      </c>
      <c r="K3" s="1" t="s">
        <v>196</v>
      </c>
      <c r="O3" s="1" t="s">
        <v>197</v>
      </c>
      <c r="X3" s="1" t="s">
        <v>198</v>
      </c>
      <c r="Z3" s="1" t="s">
        <v>199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189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145</v>
      </c>
      <c r="L6" t="s">
        <v>206</v>
      </c>
      <c r="M6" t="s">
        <v>207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200</v>
      </c>
      <c r="Z6" s="26" t="s">
        <v>157</v>
      </c>
      <c r="AA6" s="26" t="s">
        <v>201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158</v>
      </c>
      <c r="AA7" s="26" t="s">
        <v>202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159</v>
      </c>
      <c r="AA8" s="26" t="s">
        <v>190</v>
      </c>
      <c r="AB8" s="38">
        <v>41892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160</v>
      </c>
      <c r="AA9" s="26" t="s">
        <v>191</v>
      </c>
      <c r="AB9" s="38">
        <v>41675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 t="s">
        <v>161</v>
      </c>
      <c r="AA10" s="26" t="s">
        <v>203</v>
      </c>
      <c r="AB10" s="38">
        <v>41675</v>
      </c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 t="s">
        <v>162</v>
      </c>
      <c r="AA11" s="26" t="s">
        <v>204</v>
      </c>
      <c r="AB11" s="38">
        <v>41866</v>
      </c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/>
      <c r="P12" s="25"/>
      <c r="Q12" s="24"/>
      <c r="R12" s="24"/>
      <c r="S12" s="24"/>
      <c r="T12" s="24"/>
      <c r="U12" s="24"/>
      <c r="V12" s="24"/>
      <c r="Z12" s="26" t="s">
        <v>163</v>
      </c>
      <c r="AA12" s="26" t="s">
        <v>205</v>
      </c>
      <c r="AB12" s="38">
        <v>41675</v>
      </c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/>
      <c r="P13" s="25"/>
      <c r="Q13" s="24"/>
      <c r="R13" s="24"/>
      <c r="S13" s="24"/>
      <c r="T13" s="24"/>
      <c r="U13" s="24"/>
      <c r="V13" s="24"/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/>
      <c r="P14" s="25"/>
      <c r="Q14" s="24"/>
      <c r="R14" s="24"/>
      <c r="S14" s="24"/>
      <c r="T14" s="24"/>
      <c r="U14" s="24"/>
      <c r="V14" s="24"/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/>
      <c r="P15" s="25"/>
      <c r="Q15" s="24"/>
      <c r="R15" s="24"/>
      <c r="S15" s="24"/>
      <c r="T15" s="24"/>
      <c r="U15" s="24"/>
      <c r="V15" s="24"/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/>
      <c r="P16" s="25"/>
      <c r="Q16" s="24"/>
      <c r="R16" s="24"/>
      <c r="S16" s="24"/>
      <c r="T16" s="24"/>
      <c r="U16" s="24"/>
      <c r="V16" s="24"/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/>
      <c r="P17" s="25"/>
      <c r="Q17" s="24"/>
      <c r="R17" s="24"/>
      <c r="S17" s="24"/>
      <c r="T17" s="24"/>
      <c r="U17" s="24"/>
      <c r="V17" s="24"/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156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155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157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158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159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160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161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162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163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159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188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160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161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162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157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M17" sqref="M17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4" t="s">
        <v>58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55" t="s">
        <v>61</v>
      </c>
      <c r="B3" s="55"/>
      <c r="C3" s="55" t="s">
        <v>164</v>
      </c>
      <c r="D3" s="55"/>
      <c r="E3" s="55"/>
      <c r="F3" s="16" t="s">
        <v>56</v>
      </c>
      <c r="G3" s="56" t="s">
        <v>166</v>
      </c>
      <c r="H3" s="56"/>
      <c r="I3" s="56"/>
    </row>
    <row r="4" spans="1:9" x14ac:dyDescent="0.3">
      <c r="A4" s="55" t="s">
        <v>62</v>
      </c>
      <c r="B4" s="55"/>
      <c r="C4" s="55" t="s">
        <v>154</v>
      </c>
      <c r="D4" s="55"/>
      <c r="E4" s="55"/>
    </row>
    <row r="5" spans="1:9" x14ac:dyDescent="0.3">
      <c r="A5" s="55" t="s">
        <v>65</v>
      </c>
      <c r="B5" s="55"/>
      <c r="C5" s="55" t="s">
        <v>165</v>
      </c>
      <c r="D5" s="55"/>
      <c r="E5" s="55"/>
    </row>
    <row r="6" spans="1:9" ht="17.25" thickBot="1" x14ac:dyDescent="0.35"/>
    <row r="7" spans="1:9" x14ac:dyDescent="0.3">
      <c r="A7" s="27" t="s">
        <v>60</v>
      </c>
      <c r="B7" s="52" t="s">
        <v>150</v>
      </c>
      <c r="C7" s="53"/>
      <c r="D7" s="40" t="s">
        <v>151</v>
      </c>
      <c r="E7" s="51" t="s">
        <v>63</v>
      </c>
      <c r="F7" s="51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49" t="s">
        <v>167</v>
      </c>
      <c r="C8" s="50"/>
      <c r="D8" s="19" t="s">
        <v>168</v>
      </c>
      <c r="E8" s="49" t="str">
        <f>IFERROR(VLOOKUP(B8,tbl고객정보[],3,0),"")</f>
        <v>이지원 네트워크</v>
      </c>
      <c r="F8" s="50"/>
      <c r="G8" s="41" t="s">
        <v>169</v>
      </c>
      <c r="H8" s="19"/>
      <c r="I8" s="18"/>
    </row>
    <row r="9" spans="1:9" s="1" customFormat="1" ht="16.5" customHeight="1" x14ac:dyDescent="0.3">
      <c r="A9" s="17">
        <v>2</v>
      </c>
      <c r="B9" s="49" t="s">
        <v>170</v>
      </c>
      <c r="C9" s="50"/>
      <c r="D9" s="19" t="s">
        <v>171</v>
      </c>
      <c r="E9" s="49" t="str">
        <f>IFERROR(VLOOKUP(B9,tbl고객정보[],3,0),"")</f>
        <v>대통 택배</v>
      </c>
      <c r="F9" s="50"/>
      <c r="G9" s="43" t="s">
        <v>169</v>
      </c>
      <c r="H9" s="19"/>
      <c r="I9" s="18"/>
    </row>
    <row r="10" spans="1:9" s="1" customFormat="1" ht="16.5" customHeight="1" x14ac:dyDescent="0.3">
      <c r="A10" s="17">
        <v>3</v>
      </c>
      <c r="B10" s="49" t="s">
        <v>172</v>
      </c>
      <c r="C10" s="50"/>
      <c r="D10" s="19" t="s">
        <v>173</v>
      </c>
      <c r="E10" s="49" t="str">
        <f>IFERROR(VLOOKUP(B10,tbl고객정보[],3,0),"")</f>
        <v>이지원 네트워크</v>
      </c>
      <c r="F10" s="50"/>
      <c r="G10" s="43" t="s">
        <v>169</v>
      </c>
      <c r="H10" s="19"/>
      <c r="I10" s="18"/>
    </row>
    <row r="11" spans="1:9" s="1" customFormat="1" ht="16.5" customHeight="1" x14ac:dyDescent="0.3">
      <c r="A11" s="17">
        <v>4</v>
      </c>
      <c r="B11" s="49" t="s">
        <v>174</v>
      </c>
      <c r="C11" s="50"/>
      <c r="D11" s="19" t="s">
        <v>175</v>
      </c>
      <c r="E11" s="49" t="str">
        <f>IFERROR(VLOOKUP(B11,tbl고객정보[],3,0),"")</f>
        <v>길벗출판사</v>
      </c>
      <c r="F11" s="50"/>
      <c r="G11" s="43" t="s">
        <v>169</v>
      </c>
      <c r="H11" s="19"/>
      <c r="I11" s="18"/>
    </row>
    <row r="12" spans="1:9" s="1" customFormat="1" ht="16.5" customHeight="1" x14ac:dyDescent="0.3">
      <c r="A12" s="17">
        <v>5</v>
      </c>
      <c r="B12" s="49" t="s">
        <v>176</v>
      </c>
      <c r="C12" s="50"/>
      <c r="D12" s="19" t="s">
        <v>177</v>
      </c>
      <c r="E12" s="49" t="str">
        <f>IFERROR(VLOOKUP(B12,tbl고객정보[],3,0),"")</f>
        <v>케이윌 시스템</v>
      </c>
      <c r="F12" s="50"/>
      <c r="G12" s="43" t="s">
        <v>169</v>
      </c>
      <c r="H12" s="19"/>
      <c r="I12" s="18"/>
    </row>
    <row r="13" spans="1:9" s="1" customFormat="1" ht="16.5" customHeight="1" x14ac:dyDescent="0.3">
      <c r="A13" s="17">
        <v>6</v>
      </c>
      <c r="B13" s="49" t="s">
        <v>178</v>
      </c>
      <c r="C13" s="50"/>
      <c r="D13" s="19" t="s">
        <v>179</v>
      </c>
      <c r="E13" s="49" t="str">
        <f>IFERROR(VLOOKUP(B13,tbl고객정보[],3,0),"")</f>
        <v>시호 시스템</v>
      </c>
      <c r="F13" s="50"/>
      <c r="G13" s="43" t="s">
        <v>169</v>
      </c>
      <c r="H13" s="19"/>
      <c r="I13" s="18"/>
    </row>
    <row r="14" spans="1:9" s="1" customFormat="1" ht="16.5" customHeight="1" x14ac:dyDescent="0.3">
      <c r="A14" s="17">
        <v>7</v>
      </c>
      <c r="B14" s="49" t="s">
        <v>180</v>
      </c>
      <c r="C14" s="50"/>
      <c r="D14" s="19" t="s">
        <v>181</v>
      </c>
      <c r="E14" s="49" t="str">
        <f>IFERROR(VLOOKUP(B14,tbl고객정보[],3,0),"")</f>
        <v>길벗출판사</v>
      </c>
      <c r="F14" s="50"/>
      <c r="G14" s="43" t="s">
        <v>169</v>
      </c>
      <c r="H14" s="19"/>
      <c r="I14" s="18"/>
    </row>
    <row r="15" spans="1:9" s="1" customFormat="1" ht="16.5" customHeight="1" x14ac:dyDescent="0.3">
      <c r="A15" s="17">
        <v>8</v>
      </c>
      <c r="B15" s="49" t="s">
        <v>182</v>
      </c>
      <c r="C15" s="50"/>
      <c r="D15" s="19" t="s">
        <v>183</v>
      </c>
      <c r="E15" s="49" t="str">
        <f>IFERROR(VLOOKUP(B15,tbl고객정보[],3,0),"")</f>
        <v>이지원 네트워크</v>
      </c>
      <c r="F15" s="50"/>
      <c r="G15" s="43" t="s">
        <v>169</v>
      </c>
      <c r="H15" s="19"/>
      <c r="I15" s="18"/>
    </row>
    <row r="16" spans="1:9" s="1" customFormat="1" ht="16.5" customHeight="1" x14ac:dyDescent="0.3">
      <c r="A16" s="17">
        <v>9</v>
      </c>
      <c r="B16" s="49" t="s">
        <v>184</v>
      </c>
      <c r="C16" s="50"/>
      <c r="D16" s="19" t="s">
        <v>185</v>
      </c>
      <c r="E16" s="49" t="str">
        <f>IFERROR(VLOOKUP(B16,tbl고객정보[],3,0),"")</f>
        <v>유진무역</v>
      </c>
      <c r="F16" s="50"/>
      <c r="G16" s="43" t="s">
        <v>169</v>
      </c>
      <c r="H16" s="19"/>
      <c r="I16" s="18"/>
    </row>
    <row r="17" spans="1:9" s="1" customFormat="1" ht="16.5" customHeight="1" x14ac:dyDescent="0.3">
      <c r="A17" s="17">
        <v>10</v>
      </c>
      <c r="B17" s="49" t="s">
        <v>186</v>
      </c>
      <c r="C17" s="50"/>
      <c r="D17" s="19" t="s">
        <v>187</v>
      </c>
      <c r="E17" s="49" t="str">
        <f>IFERROR(VLOOKUP(B17,tbl고객정보[],3,0),"")</f>
        <v/>
      </c>
      <c r="F17" s="50"/>
      <c r="G17" s="43" t="s">
        <v>169</v>
      </c>
      <c r="H17" s="19"/>
      <c r="I17" s="18"/>
    </row>
    <row r="18" spans="1:9" x14ac:dyDescent="0.3">
      <c r="B18"/>
      <c r="C18"/>
      <c r="D18"/>
      <c r="G18"/>
    </row>
  </sheetData>
  <mergeCells count="30"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2014-02-05T06:18:50Z</cp:lastPrinted>
  <dcterms:created xsi:type="dcterms:W3CDTF">2013-11-01T06:50:11Z</dcterms:created>
  <dcterms:modified xsi:type="dcterms:W3CDTF">2014-12-02T09:15:19Z</dcterms:modified>
  <cp:category>엑셀 매크로</cp:category>
</cp:coreProperties>
</file>