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<sst xmlns="http://schemas.openxmlformats.org/spreadsheetml/2006/main" count="507" uniqueCount="194">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</sst>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F24" sqref="F24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5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178</v>
      </c>
      <c r="D3" s="55"/>
      <c r="E3" s="55"/>
      <c r="F3" s="16" t="s">
        <v>56</v>
      </c>
      <c r="G3" s="56" t="s">
        <v>181</v>
      </c>
      <c r="H3" s="56"/>
      <c r="I3" s="56"/>
    </row>
    <row r="4" spans="1:9" x14ac:dyDescent="0.3">
      <c r="A4" s="55" t="s">
        <v>62</v>
      </c>
      <c r="B4" s="55"/>
      <c r="C4" s="55" t="s">
        <v>179</v>
      </c>
      <c r="D4" s="55"/>
      <c r="E4" s="55"/>
    </row>
    <row r="5" spans="1:9" x14ac:dyDescent="0.3">
      <c r="A5" s="55" t="s">
        <v>65</v>
      </c>
      <c r="B5" s="55"/>
      <c r="C5" s="55" t="s">
        <v>180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150</v>
      </c>
      <c r="C7" s="53"/>
      <c r="D7" s="40" t="s">
        <v>151</v>
      </c>
      <c r="E7" s="51" t="s">
        <v>63</v>
      </c>
      <c r="F7" s="51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182</v>
      </c>
      <c r="C8" s="50"/>
      <c r="D8" s="19" t="s">
        <v>183</v>
      </c>
      <c r="E8" s="49" t="str">
        <f>IFERROR(VLOOKUP(B8,tbl고객정보[],3,0),"")</f>
        <v>대통 택배</v>
      </c>
      <c r="F8" s="50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49" t="s">
        <v>185</v>
      </c>
      <c r="C9" s="50"/>
      <c r="D9" s="19" t="s">
        <v>186</v>
      </c>
      <c r="E9" s="49" t="str">
        <f>IFERROR(VLOOKUP(B9,tbl고객정보[],3,0),"")</f>
        <v>이지원 네트워크</v>
      </c>
      <c r="F9" s="50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49" t="s">
        <v>187</v>
      </c>
      <c r="C10" s="50"/>
      <c r="D10" s="19" t="s">
        <v>188</v>
      </c>
      <c r="E10" s="49" t="str">
        <f>IFERROR(VLOOKUP(B10,tbl고객정보[],3,0),"")</f>
        <v>케이윌 시스템</v>
      </c>
      <c r="F10" s="50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49" t="s">
        <v>190</v>
      </c>
      <c r="C11" s="50"/>
      <c r="D11" s="19" t="s">
        <v>163</v>
      </c>
      <c r="E11" s="49" t="str">
        <f>IFERROR(VLOOKUP(B11,tbl고객정보[],3,0),"")</f>
        <v>유진무역</v>
      </c>
      <c r="F11" s="50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2014-12-02T09:30:16Z</dcterms:modified>
  <cp:category>엑셀 매크로</cp:category>
</cp:coreProperties>
</file>