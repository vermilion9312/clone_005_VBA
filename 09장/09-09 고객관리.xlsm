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'@작업시트'!$K$5:$M$6</definedName>
    <definedName name="_xlnm.Extract" localSheetId="1">'@작업시트'!$O$5:$V$5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<sst xmlns="http://schemas.openxmlformats.org/spreadsheetml/2006/main" count="457" uniqueCount="194">
  <si>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</si>
  <si>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</si>
  <si>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</si>
  <si>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</si>
  <si>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</si>
  <si>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</si>
  <si>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</si>
  <si>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</si>
  <si>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</si>
  <si>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</si>
  <si>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</si>
  <si>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</si>
  <si>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</si>
  <si>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</si>
  <si>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</si>
  <si>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</si>
  <si>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</si>
  <si>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</si>
  <si>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</si>
  <si>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</si>
  <si>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</si>
  <si>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</si>
  <si>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</si>
  <si>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</si>
  <si>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</si>
  <si>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</si>
  <si>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</si>
  <si>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</si>
  <si>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</si>
  <si>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</si>
  <si>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</si>
  <si>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</si>
  <si>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</si>
  <si>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</si>
  <si>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</si>
  <si>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</si>
  <si>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</si>
  <si>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</si>
  <si>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</si>
  <si>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</si>
  <si>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</si>
  <si>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</si>
  <si>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</si>
  <si>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</si>
  <si>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</si>
  <si>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</si>
  <si>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</si>
  <si>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</si>
  <si>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</si>
  <si>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</si>
  <si>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</si>
  <si>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</si>
  <si>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</si>
  <si>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</si>
  <si>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</si>
  <si>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</si>
  <si>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</si>
  <si>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</si>
  <si>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</si>
  <si>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</si>
  <si>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</si>
  <si>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</si>
  <si>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</si>
  <si>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</si>
  <si>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</si>
  <si>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</si>
  <si>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</si>
  <si>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</si>
  <si>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</si>
  <si>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</si>
  <si>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</si>
  <si>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</si>
  <si>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</si>
  <si>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</si>
  <si>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</si>
  <si>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</si>
  <si>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</si>
  <si>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</si>
  <si>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</si>
  <si>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</si>
  <si>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</si>
  <si>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</si>
  <si>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</si>
  <si>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</si>
  <si>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</si>
  <si>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</si>
  <si>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</si>
  <si>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</si>
  <si>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</si>
  <si>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</si>
  <si>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</si>
  <si>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</si>
  <si>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</si>
  <si>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</si>
  <si>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</si>
  <si>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</si>
  <si>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</si>
  <si>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</si>
  <si>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</si>
  <si>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</si>
  <si>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</si>
  <si>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</si>
  <si>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</si>
  <si>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</si>
  <si>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</si>
  <si>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</si>
  <si>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</si>
  <si>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</si>
  <si>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</si>
  <si>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</si>
  <si>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</si>
  <si>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</si>
  <si>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</si>
  <si>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</si>
  <si>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</si>
  <si>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</si>
  <si>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</si>
  <si>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</si>
  <si>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</si>
  <si>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</si>
  <si>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</si>
  <si>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</si>
  <si>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</si>
  <si>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</si>
  <si>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</si>
  <si>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</si>
  <si>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</si>
  <si>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</si>
  <si>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</si>
  <si>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</si>
  <si>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</si>
  <si>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</si>
  <si>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</si>
  <si>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</si>
  <si>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</si>
  <si>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</si>
  <si>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</si>
  <si>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</si>
  <si>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</si>
  <si>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</si>
  <si>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</si>
  <si>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</si>
  <si>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</si>
  <si>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</si>
  <si>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</si>
  <si>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</si>
  <si>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</si>
  <si>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</si>
  <si>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</si>
  <si>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</si>
  <si>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</si>
  <si>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</si>
  <si>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</si>
  <si>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</si>
  <si>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</si>
  <si>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</si>
  <si>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</si>
  <si>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</si>
  <si>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</si>
  <si>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</si>
  <si>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</si>
  <si>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</si>
  <si>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</si>
  <si>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</si>
  <si>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</si>
  <si>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</si>
  <si>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</si>
  <si>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</si>
  <si>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</si>
  <si>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</si>
  <si>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</si>
  <si>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</si>
  <si>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</si>
  <si>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</si>
  <si>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</si>
  <si>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</si>
  <si>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</si>
  <si>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</si>
  <si>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</si>
  <si>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</si>
  <si>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</si>
  <si>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</si>
  <si>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</si>
  <si>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</si>
  <si>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</si>
  <si>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</si>
  <si>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</si>
  <si>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</si>
  <si>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</si>
  <si>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</si>
  <si>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</si>
  <si>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</si>
  <si>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*현대*</t>
    <phoneticPr fontId="3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</si>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</sst>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Label1">
          <controlPr defaultSize="0" autoLine="0" r:id="rId5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4" name="Label1"/>
      </mc:Fallback>
    </mc:AlternateContent>
    <mc:AlternateContent xmlns:mc="http://schemas.openxmlformats.org/markup-compatibility/2006">
      <mc:Choice Requires="x14">
        <control shapeId="3079" r:id="rId6" name="lstSheet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6" name="lstSheet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164</v>
      </c>
    </row>
    <row r="2" spans="1:30" s="1" customFormat="1" ht="9" customHeight="1" x14ac:dyDescent="0.3">
      <c r="A2" s="44"/>
    </row>
    <row r="3" spans="1:30" s="1" customFormat="1" x14ac:dyDescent="0.3">
      <c r="A3" s="1" t="s">
        <v>165</v>
      </c>
      <c r="C3" s="1" t="s">
        <v>166</v>
      </c>
      <c r="E3" s="1" t="s">
        <v>167</v>
      </c>
      <c r="K3" s="1" t="s">
        <v>168</v>
      </c>
      <c r="O3" s="1" t="s">
        <v>169</v>
      </c>
      <c r="X3" s="1" t="s">
        <v>170</v>
      </c>
      <c r="Z3" s="1" t="s">
        <v>171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145</v>
      </c>
      <c r="M5" s="32" t="s">
        <v>145</v>
      </c>
      <c r="O5" s="31" t="s">
        <v>68</v>
      </c>
      <c r="P5" s="32" t="s">
        <v>145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146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191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192</v>
      </c>
      <c r="O6" s="24" t="s">
        <v>77</v>
      </c>
      <c r="P6" s="25">
        <v>41932</v>
      </c>
      <c r="Q6" s="24" t="s">
        <v>98</v>
      </c>
      <c r="R6" s="24" t="s">
        <v>73</v>
      </c>
      <c r="S6" s="24" t="s">
        <v>94</v>
      </c>
      <c r="T6" s="24" t="s">
        <v>99</v>
      </c>
      <c r="U6" s="24">
        <v>30</v>
      </c>
      <c r="V6" s="24">
        <v>7</v>
      </c>
      <c r="X6" t="s">
        <v>173</v>
      </c>
      <c r="Z6" s="26" t="s">
        <v>155</v>
      </c>
      <c r="AA6" s="26" t="s">
        <v>172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82</v>
      </c>
      <c r="P7" s="25">
        <v>42009</v>
      </c>
      <c r="Q7" s="24" t="s">
        <v>113</v>
      </c>
      <c r="R7" s="24" t="s">
        <v>73</v>
      </c>
      <c r="S7" s="24" t="s">
        <v>94</v>
      </c>
      <c r="T7" s="24" t="s">
        <v>116</v>
      </c>
      <c r="U7" s="24">
        <v>30</v>
      </c>
      <c r="V7" s="24">
        <v>5</v>
      </c>
      <c r="Z7" s="26" t="s">
        <v>26</v>
      </c>
      <c r="AA7" s="26" t="s">
        <v>174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/>
      <c r="P8" s="25"/>
      <c r="Q8" s="24"/>
      <c r="R8" s="24"/>
      <c r="S8" s="24"/>
      <c r="T8" s="24"/>
      <c r="U8" s="24"/>
      <c r="V8" s="24"/>
      <c r="Z8" s="26" t="s">
        <v>38</v>
      </c>
      <c r="AA8" s="26" t="s">
        <v>175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/>
      <c r="P9" s="25"/>
      <c r="Q9" s="24"/>
      <c r="R9" s="24"/>
      <c r="S9" s="24"/>
      <c r="T9" s="24"/>
      <c r="U9" s="24"/>
      <c r="V9" s="24"/>
      <c r="Z9" s="26" t="s">
        <v>50</v>
      </c>
      <c r="AA9" s="26" t="s">
        <v>176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/>
      <c r="P10" s="25"/>
      <c r="Q10" s="24"/>
      <c r="R10" s="24"/>
      <c r="S10" s="24"/>
      <c r="T10" s="24"/>
      <c r="U10" s="24"/>
      <c r="V10" s="24"/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/>
      <c r="P11" s="25"/>
      <c r="Q11" s="24"/>
      <c r="R11" s="24"/>
      <c r="S11" s="24"/>
      <c r="T11" s="24"/>
      <c r="U11" s="24"/>
      <c r="V11" s="24"/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/>
      <c r="P12" s="25"/>
      <c r="Q12" s="24"/>
      <c r="R12" s="24"/>
      <c r="S12" s="24"/>
      <c r="T12" s="24"/>
      <c r="U12" s="24"/>
      <c r="V12" s="24"/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/>
      <c r="P13" s="25"/>
      <c r="Q13" s="24"/>
      <c r="R13" s="24"/>
      <c r="S13" s="24"/>
      <c r="T13" s="24"/>
      <c r="U13" s="24"/>
      <c r="V13" s="24"/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/>
      <c r="P14" s="25"/>
      <c r="Q14" s="24"/>
      <c r="R14" s="24"/>
      <c r="S14" s="24"/>
      <c r="T14" s="24"/>
      <c r="U14" s="24"/>
      <c r="V14" s="24"/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/>
      <c r="P15" s="25"/>
      <c r="Q15" s="24"/>
      <c r="R15" s="24"/>
      <c r="S15" s="24"/>
      <c r="T15" s="24"/>
      <c r="U15" s="24"/>
      <c r="V15" s="24"/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/>
      <c r="P16" s="25"/>
      <c r="Q16" s="24"/>
      <c r="R16" s="24"/>
      <c r="S16" s="24"/>
      <c r="T16" s="24"/>
      <c r="U16" s="24"/>
      <c r="V16" s="24"/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/>
      <c r="P17" s="25"/>
      <c r="Q17" s="24"/>
      <c r="R17" s="24"/>
      <c r="S17" s="24"/>
      <c r="T17" s="24"/>
      <c r="U17" s="24"/>
      <c r="V17" s="24"/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145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147</v>
      </c>
      <c r="B3" s="26" t="s">
        <v>68</v>
      </c>
      <c r="C3" s="26" t="s">
        <v>69</v>
      </c>
      <c r="D3" s="26" t="s">
        <v>146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154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153</v>
      </c>
    </row>
    <row r="5" spans="1:9" x14ac:dyDescent="0.3">
      <c r="A5" s="26" t="str">
        <f>tbl예약현황[강좌코드]&amp;tbl예약현황[고객코드]</f>
        <v>L00001S04012</v>
      </c>
      <c r="B5" s="26" t="s">
        <v>151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151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151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151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151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151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151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151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151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151</v>
      </c>
      <c r="C14" s="26" t="s">
        <v>152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155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156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157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158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159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160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161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157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163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158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159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160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152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155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177</v>
      </c>
      <c r="D3" s="55"/>
      <c r="E3" s="55"/>
      <c r="F3" s="16" t="s">
        <v>56</v>
      </c>
      <c r="G3" s="56" t="s">
        <v>180</v>
      </c>
      <c r="H3" s="56"/>
      <c r="I3" s="56"/>
    </row>
    <row r="4" spans="1:9" x14ac:dyDescent="0.3">
      <c r="A4" s="55" t="s">
        <v>62</v>
      </c>
      <c r="B4" s="55"/>
      <c r="C4" s="55" t="s">
        <v>178</v>
      </c>
      <c r="D4" s="55"/>
      <c r="E4" s="55"/>
    </row>
    <row r="5" spans="1:9" x14ac:dyDescent="0.3">
      <c r="A5" s="55" t="s">
        <v>65</v>
      </c>
      <c r="B5" s="55"/>
      <c r="C5" s="55" t="s">
        <v>179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149</v>
      </c>
      <c r="C7" s="53"/>
      <c r="D7" s="40" t="s">
        <v>150</v>
      </c>
      <c r="E7" s="51" t="s">
        <v>63</v>
      </c>
      <c r="F7" s="51"/>
      <c r="G7" s="40" t="s">
        <v>148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181</v>
      </c>
      <c r="C8" s="50"/>
      <c r="D8" s="19" t="s">
        <v>182</v>
      </c>
      <c r="E8" s="49" t="str">
        <f>IFERROR(VLOOKUP(B8,tbl고객정보[],3,0),"")</f>
        <v>대통 택배</v>
      </c>
      <c r="F8" s="50"/>
      <c r="G8" s="41" t="s">
        <v>183</v>
      </c>
      <c r="H8" s="19"/>
      <c r="I8" s="18"/>
    </row>
    <row r="9" spans="1:9" s="1" customFormat="1" ht="16.5" customHeight="1" x14ac:dyDescent="0.3">
      <c r="A9" s="17">
        <v>2</v>
      </c>
      <c r="B9" s="49" t="s">
        <v>184</v>
      </c>
      <c r="C9" s="50"/>
      <c r="D9" s="19" t="s">
        <v>185</v>
      </c>
      <c r="E9" s="49" t="str">
        <f>IFERROR(VLOOKUP(B9,tbl고객정보[],3,0),"")</f>
        <v>이지원 네트워크</v>
      </c>
      <c r="F9" s="50"/>
      <c r="G9" s="43" t="s">
        <v>183</v>
      </c>
      <c r="H9" s="19"/>
      <c r="I9" s="18"/>
    </row>
    <row r="10" spans="1:9" s="1" customFormat="1" ht="16.5" customHeight="1" x14ac:dyDescent="0.3">
      <c r="A10" s="17">
        <v>3</v>
      </c>
      <c r="B10" s="49" t="s">
        <v>186</v>
      </c>
      <c r="C10" s="50"/>
      <c r="D10" s="19" t="s">
        <v>187</v>
      </c>
      <c r="E10" s="49" t="str">
        <f>IFERROR(VLOOKUP(B10,tbl고객정보[],3,0),"")</f>
        <v>케이윌 시스템</v>
      </c>
      <c r="F10" s="50"/>
      <c r="G10" s="43" t="s">
        <v>188</v>
      </c>
      <c r="H10" s="19"/>
      <c r="I10" s="18"/>
    </row>
    <row r="11" spans="1:9" s="1" customFormat="1" ht="16.5" customHeight="1" x14ac:dyDescent="0.3">
      <c r="A11" s="17">
        <v>4</v>
      </c>
      <c r="B11" s="49" t="s">
        <v>189</v>
      </c>
      <c r="C11" s="50"/>
      <c r="D11" s="19" t="s">
        <v>162</v>
      </c>
      <c r="E11" s="49" t="str">
        <f>IFERROR(VLOOKUP(B11,tbl고객정보[],3,0),"")</f>
        <v>유진무역</v>
      </c>
      <c r="F11" s="50"/>
      <c r="G11" s="43" t="s">
        <v>190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E8:F8"/>
    <mergeCell ref="E9:F9"/>
    <mergeCell ref="E10:F10"/>
    <mergeCell ref="E11:F11"/>
    <mergeCell ref="B8:C8"/>
    <mergeCell ref="B9:C9"/>
    <mergeCell ref="B10:C10"/>
    <mergeCell ref="B11:C11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2014-12-02T09:40:14Z</dcterms:modified>
  <cp:category>엑셀 매크로</cp:category>
</cp:coreProperties>
</file>