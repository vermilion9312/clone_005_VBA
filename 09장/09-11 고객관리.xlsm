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예약현황!$A$3:$G$56</definedName>
    <definedName name="_xlnm.Criteria" localSheetId="1">'@작업시트'!$X$5:$X$6</definedName>
    <definedName name="_xlnm.Extract" localSheetId="1">'@작업시트'!$Z$5:$AD$5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/>
  <c r="A56" i="5" l="1"/>
  <c r="D56" i="5"/>
  <c r="A55" i="5"/>
  <c r="D55" i="5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<sst xmlns="http://schemas.openxmlformats.org/spreadsheetml/2006/main" count="527" uniqueCount="203">
  <si>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</si>
  <si>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</si>
  <si>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</si>
  <si>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</si>
  <si>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</si>
  <si>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</si>
  <si>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</si>
  <si>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</si>
  <si>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</si>
  <si>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</si>
  <si>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</si>
  <si>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</si>
  <si>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</si>
  <si>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</si>
  <si>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</si>
  <si>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</si>
  <si>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</si>
  <si>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</si>
  <si>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</si>
  <si>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</si>
  <si>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</si>
  <si>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</si>
  <si>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</si>
  <si>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</si>
  <si>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</si>
  <si>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</si>
  <si>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</si>
  <si>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</si>
  <si>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</si>
  <si>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</si>
  <si>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</si>
  <si>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</si>
  <si>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</si>
  <si>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</si>
  <si>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</si>
  <si>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</si>
  <si>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</si>
  <si>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</si>
  <si>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</si>
  <si>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</si>
  <si>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</si>
  <si>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</si>
  <si>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</si>
  <si>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</si>
  <si>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</si>
  <si>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</si>
  <si>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</si>
  <si>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</si>
  <si>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</si>
  <si>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</si>
  <si>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</si>
  <si>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</si>
  <si>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</si>
  <si>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</si>
  <si>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</si>
  <si>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</si>
  <si>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</si>
  <si>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</si>
  <si>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</si>
  <si>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</si>
  <si>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</si>
  <si>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</si>
  <si>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</si>
  <si>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</si>
  <si>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</si>
  <si>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</si>
  <si>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</si>
  <si>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</si>
  <si>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</si>
  <si>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</si>
  <si>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</si>
  <si>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</si>
  <si>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</si>
  <si>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</si>
  <si>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</si>
  <si>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</si>
  <si>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</si>
  <si>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</si>
  <si>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</si>
  <si>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</si>
  <si>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</si>
  <si>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</si>
  <si>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</si>
  <si>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</si>
  <si>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</si>
  <si>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</si>
  <si>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</si>
  <si>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</si>
  <si>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</si>
  <si>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</si>
  <si>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</si>
  <si>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</si>
  <si>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</si>
  <si>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</si>
  <si>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</si>
  <si>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</si>
  <si>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</si>
  <si>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</si>
  <si>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</si>
  <si>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</si>
  <si>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</si>
  <si>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</si>
  <si>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</si>
  <si>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</si>
  <si>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</si>
  <si>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</si>
  <si>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</si>
  <si>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</si>
  <si>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</si>
  <si>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</si>
  <si>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</si>
  <si>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</si>
  <si>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</si>
  <si>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</si>
  <si>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</si>
  <si>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</si>
  <si>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</si>
  <si>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</si>
  <si>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</si>
  <si>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</si>
  <si>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</si>
  <si>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</si>
  <si>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</si>
  <si>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</si>
  <si>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</si>
  <si>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</si>
  <si>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</si>
  <si>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</si>
  <si>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</si>
  <si>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</si>
  <si>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</si>
  <si>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</si>
  <si>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</si>
  <si>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</si>
  <si>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</si>
  <si>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</si>
  <si>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</si>
  <si>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</si>
  <si>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</si>
  <si>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</si>
  <si>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</si>
  <si>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</si>
  <si>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</si>
  <si>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</si>
  <si>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</si>
  <si>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</si>
  <si>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</si>
  <si>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</si>
  <si>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</si>
  <si>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</si>
  <si>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</si>
  <si>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</si>
  <si>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</si>
  <si>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</si>
  <si>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</si>
  <si>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</si>
  <si>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</si>
  <si>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</si>
  <si>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</si>
  <si>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</si>
  <si>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</si>
  <si>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</si>
  <si>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</si>
  <si>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</si>
  <si>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</si>
  <si>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</si>
  <si>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</si>
  <si>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</si>
  <si>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</si>
  <si>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</si>
  <si>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</si>
  <si>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</si>
  <si>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</si>
  <si>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</si>
  <si>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</si>
  <si>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</si>
  <si>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</si>
  <si>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</si>
  <si>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</si>
  <si>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</si>
  <si>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</si>
  <si>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</si>
  <si>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</si>
  <si>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</si>
  <si>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</si>
  <si>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</si>
  <si>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</si>
  <si>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</si>
  <si>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</si>
  <si>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</si>
  <si>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**</t>
    <phoneticPr fontId="3" type="noConversion"/>
  </si>
  <si>
    <t>차수경</t>
  </si>
  <si>
    <t>박상원</t>
  </si>
  <si>
    <t>L00001</t>
    <phoneticPr fontId="3" type="noConversion"/>
  </si>
  <si>
    <t>최승호</t>
  </si>
  <si>
    <t>이상인</t>
  </si>
  <si>
    <t>정유진</t>
  </si>
  <si>
    <t>홍길동</t>
  </si>
  <si>
    <t>김미려</t>
  </si>
  <si>
    <t/>
  </si>
  <si>
    <t>S04004</t>
  </si>
  <si>
    <t>노찬종</t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</si>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</sst>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6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B21" sqref="B21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202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164</v>
      </c>
    </row>
    <row r="2" spans="1:30" s="1" customFormat="1" ht="9" customHeight="1" x14ac:dyDescent="0.3">
      <c r="A2" s="44"/>
    </row>
    <row r="3" spans="1:30" s="1" customFormat="1" x14ac:dyDescent="0.3">
      <c r="A3" s="1" t="s">
        <v>165</v>
      </c>
      <c r="C3" s="1" t="s">
        <v>166</v>
      </c>
      <c r="E3" s="1" t="s">
        <v>167</v>
      </c>
      <c r="K3" s="1" t="s">
        <v>168</v>
      </c>
      <c r="O3" s="1" t="s">
        <v>169</v>
      </c>
      <c r="X3" s="1" t="s">
        <v>170</v>
      </c>
      <c r="Z3" s="1" t="s">
        <v>171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145</v>
      </c>
      <c r="M5" s="32" t="s">
        <v>145</v>
      </c>
      <c r="O5" s="31" t="s">
        <v>68</v>
      </c>
      <c r="P5" s="32" t="s">
        <v>145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146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189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190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193</v>
      </c>
      <c r="Z6" s="26" t="s">
        <v>26</v>
      </c>
      <c r="AA6" s="26" t="s">
        <v>172</v>
      </c>
      <c r="AB6" s="38">
        <v>41892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29</v>
      </c>
      <c r="AA7" s="26" t="s">
        <v>194</v>
      </c>
      <c r="AB7" s="38">
        <v>41866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32</v>
      </c>
      <c r="AA8" s="26" t="s">
        <v>195</v>
      </c>
      <c r="AB8" s="38">
        <v>41892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35</v>
      </c>
      <c r="AA9" s="26" t="s">
        <v>192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 t="s">
        <v>38</v>
      </c>
      <c r="AA10" s="26" t="s">
        <v>173</v>
      </c>
      <c r="AB10" s="38">
        <v>41675</v>
      </c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 t="s">
        <v>41</v>
      </c>
      <c r="AA11" s="26" t="s">
        <v>196</v>
      </c>
      <c r="AB11" s="38">
        <v>41675</v>
      </c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 t="s">
        <v>44</v>
      </c>
      <c r="AA12" s="26" t="s">
        <v>197</v>
      </c>
      <c r="AB12" s="38">
        <v>41675</v>
      </c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 t="s">
        <v>47</v>
      </c>
      <c r="AA13" s="26" t="s">
        <v>198</v>
      </c>
      <c r="AB13" s="38">
        <v>41892</v>
      </c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 t="s">
        <v>50</v>
      </c>
      <c r="AA14" s="26" t="s">
        <v>174</v>
      </c>
      <c r="AB14" s="38">
        <v>41866</v>
      </c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 t="s">
        <v>152</v>
      </c>
      <c r="AA15" s="26" t="s">
        <v>199</v>
      </c>
      <c r="AB15" s="38">
        <v>41675</v>
      </c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 t="s">
        <v>159</v>
      </c>
      <c r="AA16" s="26" t="s">
        <v>191</v>
      </c>
      <c r="AB16" s="38">
        <v>41680</v>
      </c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 t="s">
        <v>200</v>
      </c>
      <c r="AA17" s="26" t="s">
        <v>201</v>
      </c>
      <c r="AB17" s="38">
        <v>41680</v>
      </c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145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12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6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147</v>
      </c>
      <c r="B3" s="26" t="s">
        <v>68</v>
      </c>
      <c r="C3" s="26" t="s">
        <v>69</v>
      </c>
      <c r="D3" s="26" t="s">
        <v>146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154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153</v>
      </c>
    </row>
    <row r="5" spans="1:9" x14ac:dyDescent="0.3">
      <c r="A5" s="26" t="str">
        <f>tbl예약현황[강좌코드]&amp;tbl예약현황[고객코드]</f>
        <v>L00001S04012</v>
      </c>
      <c r="B5" s="26" t="s">
        <v>151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151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151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151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151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151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151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151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151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151</v>
      </c>
      <c r="C14" s="26" t="s">
        <v>152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155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156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157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158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159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160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161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157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163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158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159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160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152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155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  <row r="55" spans="1:7" x14ac:dyDescent="0.3">
      <c r="A55" s="26" t="str">
        <f>tbl예약현황[강좌코드]&amp;tbl예약현황[고객코드]</f>
        <v>L00001S04001</v>
      </c>
      <c r="B55" s="26" t="s">
        <v>151</v>
      </c>
      <c r="C55" s="26" t="s">
        <v>159</v>
      </c>
      <c r="D55" s="26" t="str">
        <f>IFERROR(VLOOKUP(tbl예약현황[[#This Row],[고객코드]],tbl고객정보[#All],2,0),"")</f>
        <v>차수경</v>
      </c>
      <c r="E55" s="38">
        <v>41680</v>
      </c>
      <c r="F55" s="26"/>
      <c r="G55" s="26"/>
    </row>
    <row r="56" spans="1:7" x14ac:dyDescent="0.3">
      <c r="A56" s="26" t="str">
        <f>tbl예약현황[강좌코드]&amp;tbl예약현황[고객코드]</f>
        <v>L00001S04004</v>
      </c>
      <c r="B56" s="26" t="s">
        <v>151</v>
      </c>
      <c r="C56" s="26" t="s">
        <v>200</v>
      </c>
      <c r="D56" s="26" t="str">
        <f>IFERROR(VLOOKUP(tbl예약현황[[#This Row],[고객코드]],tbl고객정보[#All],2,0),"")</f>
        <v>노찬종</v>
      </c>
      <c r="E56" s="38">
        <v>41680</v>
      </c>
      <c r="F56" s="26"/>
      <c r="G56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175</v>
      </c>
      <c r="D3" s="53"/>
      <c r="E3" s="53"/>
      <c r="F3" s="16" t="s">
        <v>56</v>
      </c>
      <c r="G3" s="54" t="s">
        <v>178</v>
      </c>
      <c r="H3" s="54"/>
      <c r="I3" s="54"/>
    </row>
    <row r="4" spans="1:9" x14ac:dyDescent="0.3">
      <c r="A4" s="53" t="s">
        <v>62</v>
      </c>
      <c r="B4" s="53"/>
      <c r="C4" s="53" t="s">
        <v>176</v>
      </c>
      <c r="D4" s="53"/>
      <c r="E4" s="53"/>
    </row>
    <row r="5" spans="1:9" x14ac:dyDescent="0.3">
      <c r="A5" s="53" t="s">
        <v>65</v>
      </c>
      <c r="B5" s="53"/>
      <c r="C5" s="53" t="s">
        <v>177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149</v>
      </c>
      <c r="C7" s="51"/>
      <c r="D7" s="40" t="s">
        <v>150</v>
      </c>
      <c r="E7" s="49" t="s">
        <v>63</v>
      </c>
      <c r="F7" s="49"/>
      <c r="G7" s="40" t="s">
        <v>148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179</v>
      </c>
      <c r="C8" s="56"/>
      <c r="D8" s="19" t="s">
        <v>180</v>
      </c>
      <c r="E8" s="55" t="str">
        <f>IFERROR(VLOOKUP(B8,tbl고객정보[],3,0),"")</f>
        <v>대통 택배</v>
      </c>
      <c r="F8" s="56"/>
      <c r="G8" s="41" t="s">
        <v>181</v>
      </c>
      <c r="H8" s="19"/>
      <c r="I8" s="18"/>
    </row>
    <row r="9" spans="1:9" s="1" customFormat="1" ht="16.5" customHeight="1" x14ac:dyDescent="0.3">
      <c r="A9" s="17">
        <v>2</v>
      </c>
      <c r="B9" s="55" t="s">
        <v>182</v>
      </c>
      <c r="C9" s="56"/>
      <c r="D9" s="19" t="s">
        <v>183</v>
      </c>
      <c r="E9" s="55" t="str">
        <f>IFERROR(VLOOKUP(B9,tbl고객정보[],3,0),"")</f>
        <v>이지원 네트워크</v>
      </c>
      <c r="F9" s="56"/>
      <c r="G9" s="43" t="s">
        <v>181</v>
      </c>
      <c r="H9" s="19"/>
      <c r="I9" s="18"/>
    </row>
    <row r="10" spans="1:9" s="1" customFormat="1" ht="16.5" customHeight="1" x14ac:dyDescent="0.3">
      <c r="A10" s="17">
        <v>3</v>
      </c>
      <c r="B10" s="55" t="s">
        <v>184</v>
      </c>
      <c r="C10" s="56"/>
      <c r="D10" s="19" t="s">
        <v>185</v>
      </c>
      <c r="E10" s="55" t="str">
        <f>IFERROR(VLOOKUP(B10,tbl고객정보[],3,0),"")</f>
        <v>케이윌 시스템</v>
      </c>
      <c r="F10" s="56"/>
      <c r="G10" s="43" t="s">
        <v>186</v>
      </c>
      <c r="H10" s="19"/>
      <c r="I10" s="18"/>
    </row>
    <row r="11" spans="1:9" s="1" customFormat="1" ht="16.5" customHeight="1" x14ac:dyDescent="0.3">
      <c r="A11" s="17">
        <v>4</v>
      </c>
      <c r="B11" s="55" t="s">
        <v>187</v>
      </c>
      <c r="C11" s="56"/>
      <c r="D11" s="19" t="s">
        <v>162</v>
      </c>
      <c r="E11" s="55" t="str">
        <f>IFERROR(VLOOKUP(B11,tbl고객정보[],3,0),"")</f>
        <v>유진무역</v>
      </c>
      <c r="F11" s="56"/>
      <c r="G11" s="43" t="s">
        <v>188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2014-12-02T09:43:21Z</dcterms:modified>
  <cp:category>엑셀 매크로</cp:category>
</cp:coreProperties>
</file>