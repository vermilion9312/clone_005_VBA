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'@작업시트'!$X$5:$X$6</definedName>
    <definedName name="_xlnm.Extract" localSheetId="1">'@작업시트'!$Z$5:$AD$5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<sst xmlns="http://schemas.openxmlformats.org/spreadsheetml/2006/main" count="507" uniqueCount="194">
  <si>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</si>
  <si>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</si>
  <si>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</si>
  <si>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</si>
  <si>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</si>
  <si>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</si>
  <si>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</si>
  <si>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</si>
  <si>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</si>
  <si>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</si>
  <si>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</si>
  <si>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</si>
  <si>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</si>
  <si>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</si>
  <si>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</si>
  <si>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</si>
  <si>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</si>
  <si>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</si>
  <si>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</si>
  <si>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</si>
  <si>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</si>
  <si>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</si>
  <si>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</si>
  <si>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</si>
  <si>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</si>
  <si>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</si>
  <si>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</si>
  <si>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</si>
  <si>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</si>
  <si>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</si>
  <si>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</si>
  <si>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</si>
  <si>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</si>
  <si>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</si>
  <si>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</si>
  <si>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</si>
  <si>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</si>
  <si>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</si>
  <si>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</si>
  <si>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</si>
  <si>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</si>
  <si>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</si>
  <si>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</si>
  <si>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</si>
  <si>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</si>
  <si>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</si>
  <si>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</si>
  <si>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</si>
  <si>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</si>
  <si>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</si>
  <si>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</si>
  <si>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</si>
  <si>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</si>
  <si>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</si>
  <si>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</si>
  <si>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</si>
  <si>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</si>
  <si>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</si>
  <si>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</si>
  <si>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</si>
  <si>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</si>
  <si>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</si>
  <si>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</si>
  <si>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</si>
  <si>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</si>
  <si>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</si>
  <si>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</si>
  <si>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</si>
  <si>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</si>
  <si>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</si>
  <si>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</si>
  <si>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</si>
  <si>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</si>
  <si>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</si>
  <si>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</si>
  <si>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</si>
  <si>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</si>
  <si>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</si>
  <si>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</si>
  <si>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</si>
  <si>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</si>
  <si>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</si>
  <si>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</si>
  <si>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</si>
  <si>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</si>
  <si>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</si>
  <si>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</si>
  <si>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</si>
  <si>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</si>
  <si>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</si>
  <si>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</si>
  <si>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</si>
  <si>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</si>
  <si>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</si>
  <si>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</si>
  <si>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</si>
  <si>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</si>
  <si>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</si>
  <si>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</si>
  <si>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</si>
  <si>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</si>
  <si>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</si>
  <si>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</si>
  <si>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</si>
  <si>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</si>
  <si>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</si>
  <si>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</si>
  <si>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</si>
  <si>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</si>
  <si>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</si>
  <si>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</si>
  <si>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</si>
  <si>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</si>
  <si>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</si>
  <si>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</si>
  <si>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</si>
  <si>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</si>
  <si>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</si>
  <si>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</si>
  <si>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</si>
  <si>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</si>
  <si>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</si>
  <si>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</si>
  <si>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</si>
  <si>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</si>
  <si>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</si>
  <si>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</si>
  <si>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</si>
  <si>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</si>
  <si>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</si>
  <si>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</si>
  <si>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</si>
  <si>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</si>
  <si>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</si>
  <si>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</si>
  <si>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</si>
  <si>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</si>
  <si>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</si>
  <si>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</si>
  <si>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</si>
  <si>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</si>
  <si>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</si>
  <si>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</si>
  <si>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</si>
  <si>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</si>
  <si>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</si>
  <si>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</si>
  <si>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</si>
  <si>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</si>
  <si>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</si>
  <si>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</si>
  <si>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</si>
  <si>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</si>
  <si>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</si>
  <si>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</si>
  <si>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</si>
  <si>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</si>
  <si>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</si>
  <si>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</si>
  <si>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</si>
  <si>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</si>
  <si>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</si>
  <si>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</si>
  <si>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</si>
  <si>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</si>
  <si>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</si>
  <si>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</si>
  <si>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</si>
  <si>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</si>
  <si>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</si>
  <si>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</si>
  <si>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</si>
  <si>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</si>
  <si>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</si>
  <si>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**</t>
    <phoneticPr fontId="1" type="noConversion"/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</si>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</sst>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B21" sqref="B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174</v>
      </c>
      <c r="E6" s="20" t="s">
        <v>38</v>
      </c>
      <c r="F6" s="20" t="s">
        <v>39</v>
      </c>
      <c r="G6" s="20" t="s">
        <v>137</v>
      </c>
      <c r="H6" s="20" t="s">
        <v>40</v>
      </c>
      <c r="I6" s="20" t="s">
        <v>144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175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47</v>
      </c>
      <c r="F7" s="20" t="s">
        <v>48</v>
      </c>
      <c r="G7" s="20" t="s">
        <v>142</v>
      </c>
      <c r="H7" s="20" t="s">
        <v>49</v>
      </c>
      <c r="I7" s="20" t="s">
        <v>143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176</v>
      </c>
      <c r="AB7" s="38">
        <v>41675</v>
      </c>
      <c r="AC7" s="26"/>
      <c r="AD7" s="26"/>
    </row>
    <row r="8" spans="1:30" x14ac:dyDescent="0.3">
      <c r="E8" s="20" t="s">
        <v>6</v>
      </c>
      <c r="F8" s="20" t="s">
        <v>7</v>
      </c>
      <c r="G8" s="20" t="s">
        <v>11</v>
      </c>
      <c r="H8" s="20" t="s">
        <v>8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177</v>
      </c>
      <c r="AB8" s="38">
        <v>41978</v>
      </c>
      <c r="AC8" s="26"/>
      <c r="AD8" s="26"/>
    </row>
    <row r="9" spans="1:30" x14ac:dyDescent="0.3">
      <c r="E9" s="20" t="s">
        <v>20</v>
      </c>
      <c r="F9" s="20" t="s">
        <v>21</v>
      </c>
      <c r="G9" s="20" t="s">
        <v>142</v>
      </c>
      <c r="H9" s="20" t="s">
        <v>22</v>
      </c>
      <c r="I9" s="20" t="s">
        <v>143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178</v>
      </c>
      <c r="AB9" s="38">
        <v>41866</v>
      </c>
      <c r="AC9" s="26"/>
      <c r="AD9" s="26"/>
    </row>
    <row r="10" spans="1:30" x14ac:dyDescent="0.3">
      <c r="E10" s="20" t="s">
        <v>13</v>
      </c>
      <c r="F10" s="20" t="s">
        <v>14</v>
      </c>
      <c r="G10" s="20" t="s">
        <v>138</v>
      </c>
      <c r="H10" s="20" t="s">
        <v>15</v>
      </c>
      <c r="I10" s="20" t="s">
        <v>136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134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16</v>
      </c>
      <c r="F12" s="20" t="s">
        <v>17</v>
      </c>
      <c r="G12" s="20" t="s">
        <v>142</v>
      </c>
      <c r="H12" s="20" t="s">
        <v>18</v>
      </c>
      <c r="I12" s="20" t="s">
        <v>143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35</v>
      </c>
      <c r="F13" s="20" t="s">
        <v>36</v>
      </c>
      <c r="G13" s="20" t="s">
        <v>19</v>
      </c>
      <c r="H13" s="20" t="s">
        <v>37</v>
      </c>
      <c r="I13" s="20" t="s">
        <v>139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9</v>
      </c>
      <c r="F14" s="20" t="s">
        <v>10</v>
      </c>
      <c r="G14" s="20" t="s">
        <v>11</v>
      </c>
      <c r="H14" s="20" t="s">
        <v>12</v>
      </c>
      <c r="I14" s="20" t="s">
        <v>140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50</v>
      </c>
      <c r="F16" s="20" t="s">
        <v>51</v>
      </c>
      <c r="G16" s="20" t="s">
        <v>52</v>
      </c>
      <c r="H16" s="20" t="s">
        <v>53</v>
      </c>
      <c r="I16" s="34" t="s">
        <v>141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126</v>
      </c>
      <c r="F17" s="20" t="s">
        <v>127</v>
      </c>
      <c r="G17" s="20" t="s">
        <v>138</v>
      </c>
      <c r="H17" s="20" t="s">
        <v>128</v>
      </c>
      <c r="I17" s="20" t="s">
        <v>136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26</v>
      </c>
      <c r="F19" s="20" t="s">
        <v>27</v>
      </c>
      <c r="G19" s="20" t="s">
        <v>142</v>
      </c>
      <c r="H19" s="20" t="s">
        <v>28</v>
      </c>
      <c r="I19" s="20" t="s">
        <v>143</v>
      </c>
      <c r="Z19" s="26"/>
      <c r="AA19" s="26"/>
      <c r="AB19" s="38"/>
      <c r="AC19" s="26"/>
      <c r="AD19" s="26"/>
    </row>
    <row r="20" spans="5:30" x14ac:dyDescent="0.3">
      <c r="E20" s="20" t="s">
        <v>129</v>
      </c>
      <c r="F20" s="20" t="s">
        <v>130</v>
      </c>
      <c r="G20" s="20" t="s">
        <v>137</v>
      </c>
      <c r="H20" s="20" t="s">
        <v>131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3</v>
      </c>
      <c r="F22" s="20" t="s">
        <v>4</v>
      </c>
      <c r="G22" s="20" t="s">
        <v>138</v>
      </c>
      <c r="H22" s="20" t="s">
        <v>5</v>
      </c>
      <c r="I22" s="20" t="s">
        <v>136</v>
      </c>
    </row>
    <row r="23" spans="5:30" x14ac:dyDescent="0.3">
      <c r="E23" s="20" t="s">
        <v>29</v>
      </c>
      <c r="F23" s="20" t="s">
        <v>30</v>
      </c>
      <c r="G23" s="20" t="s">
        <v>11</v>
      </c>
      <c r="H23" s="20" t="s">
        <v>31</v>
      </c>
      <c r="I23" s="20" t="s">
        <v>140</v>
      </c>
    </row>
    <row r="24" spans="5:30" x14ac:dyDescent="0.3">
      <c r="E24" s="20" t="s">
        <v>44</v>
      </c>
      <c r="F24" s="20" t="s">
        <v>45</v>
      </c>
      <c r="G24" s="20" t="s">
        <v>19</v>
      </c>
      <c r="H24" s="20" t="s">
        <v>46</v>
      </c>
      <c r="I24" s="20" t="s">
        <v>139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F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2" t="s">
        <v>58</v>
      </c>
      <c r="B1" s="52"/>
      <c r="C1" s="52"/>
      <c r="D1" s="52"/>
      <c r="E1" s="52"/>
      <c r="F1" s="52"/>
      <c r="G1" s="52"/>
      <c r="H1" s="52"/>
      <c r="I1" s="52"/>
    </row>
    <row r="3" spans="1:9" x14ac:dyDescent="0.3">
      <c r="A3" s="53" t="s">
        <v>61</v>
      </c>
      <c r="B3" s="53"/>
      <c r="C3" s="53" t="s">
        <v>179</v>
      </c>
      <c r="D3" s="53"/>
      <c r="E3" s="53"/>
      <c r="F3" s="16" t="s">
        <v>56</v>
      </c>
      <c r="G3" s="54" t="s">
        <v>182</v>
      </c>
      <c r="H3" s="54"/>
      <c r="I3" s="54"/>
    </row>
    <row r="4" spans="1:9" x14ac:dyDescent="0.3">
      <c r="A4" s="53" t="s">
        <v>62</v>
      </c>
      <c r="B4" s="53"/>
      <c r="C4" s="53" t="s">
        <v>180</v>
      </c>
      <c r="D4" s="53"/>
      <c r="E4" s="53"/>
    </row>
    <row r="5" spans="1:9" x14ac:dyDescent="0.3">
      <c r="A5" s="53" t="s">
        <v>65</v>
      </c>
      <c r="B5" s="53"/>
      <c r="C5" s="53" t="s">
        <v>181</v>
      </c>
      <c r="D5" s="53"/>
      <c r="E5" s="53"/>
    </row>
    <row r="6" spans="1:9" ht="17.25" thickBot="1" x14ac:dyDescent="0.35"/>
    <row r="7" spans="1:9" x14ac:dyDescent="0.3">
      <c r="A7" s="27" t="s">
        <v>60</v>
      </c>
      <c r="B7" s="50" t="s">
        <v>150</v>
      </c>
      <c r="C7" s="51"/>
      <c r="D7" s="40" t="s">
        <v>151</v>
      </c>
      <c r="E7" s="49" t="s">
        <v>63</v>
      </c>
      <c r="F7" s="49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55" t="s">
        <v>183</v>
      </c>
      <c r="C8" s="56"/>
      <c r="D8" s="19" t="s">
        <v>184</v>
      </c>
      <c r="E8" s="55" t="str">
        <f>IFERROR(VLOOKUP(B8,tbl고객정보[],3,0),"")</f>
        <v>대통 택배</v>
      </c>
      <c r="F8" s="56"/>
      <c r="G8" s="41" t="s">
        <v>185</v>
      </c>
      <c r="H8" s="19"/>
      <c r="I8" s="18"/>
    </row>
    <row r="9" spans="1:9" s="1" customFormat="1" ht="16.5" customHeight="1" x14ac:dyDescent="0.3">
      <c r="A9" s="17">
        <v>2</v>
      </c>
      <c r="B9" s="55" t="s">
        <v>186</v>
      </c>
      <c r="C9" s="56"/>
      <c r="D9" s="19" t="s">
        <v>187</v>
      </c>
      <c r="E9" s="55" t="str">
        <f>IFERROR(VLOOKUP(B9,tbl고객정보[],3,0),"")</f>
        <v>이지원 네트워크</v>
      </c>
      <c r="F9" s="56"/>
      <c r="G9" s="43" t="s">
        <v>185</v>
      </c>
      <c r="H9" s="19"/>
      <c r="I9" s="18"/>
    </row>
    <row r="10" spans="1:9" s="1" customFormat="1" ht="16.5" customHeight="1" x14ac:dyDescent="0.3">
      <c r="A10" s="17">
        <v>3</v>
      </c>
      <c r="B10" s="55" t="s">
        <v>188</v>
      </c>
      <c r="C10" s="56"/>
      <c r="D10" s="19" t="s">
        <v>189</v>
      </c>
      <c r="E10" s="55" t="str">
        <f>IFERROR(VLOOKUP(B10,tbl고객정보[],3,0),"")</f>
        <v>케이윌 시스템</v>
      </c>
      <c r="F10" s="56"/>
      <c r="G10" s="43" t="s">
        <v>190</v>
      </c>
      <c r="H10" s="19"/>
      <c r="I10" s="18"/>
    </row>
    <row r="11" spans="1:9" s="1" customFormat="1" ht="16.5" customHeight="1" x14ac:dyDescent="0.3">
      <c r="A11" s="17">
        <v>4</v>
      </c>
      <c r="B11" s="55" t="s">
        <v>191</v>
      </c>
      <c r="C11" s="56"/>
      <c r="D11" s="19" t="s">
        <v>163</v>
      </c>
      <c r="E11" s="55" t="str">
        <f>IFERROR(VLOOKUP(B11,tbl고객정보[],3,0),"")</f>
        <v>유진무역</v>
      </c>
      <c r="F11" s="56"/>
      <c r="G11" s="43" t="s">
        <v>192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2014-12-02T09:21:02Z</dcterms:modified>
  <cp:category>엑셀 매크로</cp:category>
</cp:coreProperties>
</file>